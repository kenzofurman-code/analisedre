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HomePC\.gemini\antigravity-ide\scratch\analise-dre\"/>
    </mc:Choice>
  </mc:AlternateContent>
  <xr:revisionPtr revIDLastSave="0" documentId="13_ncr:1_{1DF744CD-C47E-46B2-977E-84C94F8F53F0}" xr6:coauthVersionLast="47" xr6:coauthVersionMax="47" xr10:uidLastSave="{00000000-0000-0000-0000-000000000000}"/>
  <bookViews>
    <workbookView xWindow="-120" yWindow="-120" windowWidth="29040" windowHeight="15720" tabRatio="706" firstSheet="1" activeTab="2" xr2:uid="{00000000-000D-0000-FFFF-FFFF00000000}"/>
  </bookViews>
  <sheets>
    <sheet name="Indicadores" sheetId="10" state="hidden" r:id="rId1"/>
    <sheet name="Prazo Obras" sheetId="5" r:id="rId2"/>
    <sheet name="Custo Obras" sheetId="6" r:id="rId3"/>
  </sheets>
  <externalReferences>
    <externalReference r:id="rId4"/>
  </externalReferences>
  <definedNames>
    <definedName name="_xlnm._FilterDatabase" localSheetId="2" hidden="1">'Custo Obras'!$A$1:$L$21</definedName>
    <definedName name="_xlnm._FilterDatabase" localSheetId="1" hidden="1">'Prazo Obras'!$A$1:$S$21</definedName>
    <definedName name="Estratégias">'[1]Estratégias (legenda)'!$A$2:$A$5</definedName>
    <definedName name="EstrategiasOport">'[1]Estratégias (legenda)'!$D$2:$D$5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6" l="1"/>
  <c r="J2" i="6"/>
  <c r="L24" i="5"/>
  <c r="L23" i="5"/>
  <c r="L22" i="5"/>
  <c r="L20" i="5"/>
  <c r="L18" i="5"/>
  <c r="L1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9" i="5"/>
  <c r="L21" i="5"/>
  <c r="L25" i="5"/>
  <c r="L2" i="5"/>
  <c r="R25" i="5"/>
  <c r="S25" i="5"/>
  <c r="P24" i="5"/>
  <c r="K15" i="5"/>
  <c r="R5" i="5"/>
  <c r="S3" i="5"/>
  <c r="S4" i="5"/>
  <c r="S5" i="5"/>
  <c r="S7" i="5"/>
  <c r="S8" i="5"/>
  <c r="S10" i="5"/>
  <c r="S15" i="5"/>
  <c r="S21" i="5"/>
  <c r="I22" i="5"/>
  <c r="R22" i="5" s="1"/>
  <c r="S22" i="5" s="1"/>
  <c r="I23" i="5"/>
  <c r="R23" i="5" s="1"/>
  <c r="S23" i="5" s="1"/>
  <c r="R24" i="5"/>
  <c r="S24" i="5" s="1"/>
  <c r="I3" i="5"/>
  <c r="I4" i="5"/>
  <c r="I5" i="5"/>
  <c r="I6" i="5"/>
  <c r="R6" i="5" s="1"/>
  <c r="S6" i="5" s="1"/>
  <c r="I7" i="5"/>
  <c r="I8" i="5"/>
  <c r="I9" i="5"/>
  <c r="R9" i="5" s="1"/>
  <c r="S9" i="5" s="1"/>
  <c r="I10" i="5"/>
  <c r="I11" i="5"/>
  <c r="R11" i="5" s="1"/>
  <c r="S11" i="5" s="1"/>
  <c r="I12" i="5"/>
  <c r="R12" i="5" s="1"/>
  <c r="S12" i="5" s="1"/>
  <c r="I13" i="5"/>
  <c r="R13" i="5" s="1"/>
  <c r="S13" i="5" s="1"/>
  <c r="I14" i="5"/>
  <c r="R14" i="5" s="1"/>
  <c r="S14" i="5" s="1"/>
  <c r="I15" i="5"/>
  <c r="I16" i="5"/>
  <c r="R16" i="5" s="1"/>
  <c r="S16" i="5" s="1"/>
  <c r="I17" i="5"/>
  <c r="R17" i="5" s="1"/>
  <c r="S17" i="5" s="1"/>
  <c r="I18" i="5"/>
  <c r="R18" i="5" s="1"/>
  <c r="S18" i="5" s="1"/>
  <c r="I19" i="5"/>
  <c r="R19" i="5" s="1"/>
  <c r="S19" i="5" s="1"/>
  <c r="I20" i="5"/>
  <c r="R20" i="5" s="1"/>
  <c r="S20" i="5" s="1"/>
  <c r="I21" i="5"/>
  <c r="I2" i="5"/>
  <c r="R2" i="5" s="1"/>
  <c r="S2" i="5" s="1"/>
  <c r="H25" i="5"/>
  <c r="H24" i="5"/>
  <c r="H23" i="5"/>
  <c r="H22" i="5"/>
  <c r="H21" i="5"/>
  <c r="H20" i="5"/>
  <c r="H19" i="5"/>
  <c r="H18" i="5"/>
  <c r="H17" i="5"/>
  <c r="H6" i="5"/>
  <c r="H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" i="5"/>
  <c r="C25" i="5"/>
  <c r="C24" i="5"/>
  <c r="C23" i="5"/>
  <c r="C22" i="5"/>
  <c r="J5" i="6"/>
  <c r="J9" i="6"/>
  <c r="H2" i="6"/>
  <c r="G2" i="6"/>
  <c r="F2" i="6"/>
  <c r="E2" i="6"/>
  <c r="H3" i="6"/>
  <c r="I3" i="6" s="1"/>
  <c r="E3" i="6"/>
  <c r="G22" i="6"/>
  <c r="F22" i="6"/>
  <c r="H22" i="6" s="1"/>
  <c r="I22" i="6" s="1"/>
  <c r="E22" i="6"/>
  <c r="G25" i="6"/>
  <c r="F25" i="6"/>
  <c r="H25" i="6" s="1"/>
  <c r="E25" i="6"/>
  <c r="G24" i="6"/>
  <c r="F24" i="6"/>
  <c r="H24" i="6" s="1"/>
  <c r="I24" i="6" s="1"/>
  <c r="E24" i="6"/>
  <c r="H23" i="6"/>
  <c r="I23" i="6"/>
  <c r="E23" i="6"/>
  <c r="H21" i="6"/>
  <c r="I21" i="6" s="1"/>
  <c r="E21" i="6"/>
  <c r="H20" i="6"/>
  <c r="I20" i="6" s="1"/>
  <c r="E20" i="6"/>
  <c r="G6" i="6"/>
  <c r="F6" i="6"/>
  <c r="H6" i="6" s="1"/>
  <c r="H19" i="6"/>
  <c r="I19" i="6" s="1"/>
  <c r="E19" i="6"/>
  <c r="H18" i="6"/>
  <c r="I18" i="6" s="1"/>
  <c r="E18" i="6"/>
  <c r="H17" i="6"/>
  <c r="I17" i="6" s="1"/>
  <c r="E17" i="6"/>
  <c r="H16" i="6"/>
  <c r="I16" i="6" s="1"/>
  <c r="E16" i="6"/>
  <c r="H15" i="6"/>
  <c r="I15" i="6" s="1"/>
  <c r="E15" i="6"/>
  <c r="J14" i="6"/>
  <c r="H14" i="6"/>
  <c r="E14" i="6"/>
  <c r="H13" i="6"/>
  <c r="I13" i="6" s="1"/>
  <c r="E13" i="6"/>
  <c r="H12" i="6"/>
  <c r="I12" i="6" s="1"/>
  <c r="E12" i="6"/>
  <c r="J11" i="6"/>
  <c r="H11" i="6"/>
  <c r="K11" i="6" s="1"/>
  <c r="E11" i="6"/>
  <c r="H10" i="6"/>
  <c r="I10" i="6" s="1"/>
  <c r="E10" i="6"/>
  <c r="H5" i="6"/>
  <c r="H4" i="6"/>
  <c r="E4" i="6"/>
  <c r="H7" i="6"/>
  <c r="E7" i="6"/>
  <c r="H8" i="6"/>
  <c r="E8" i="6"/>
  <c r="H9" i="6"/>
  <c r="K9" i="6" s="1"/>
  <c r="E9" i="6"/>
  <c r="E6" i="6"/>
  <c r="E5" i="6"/>
  <c r="K5" i="6" s="1"/>
  <c r="H3" i="5" l="1"/>
  <c r="C3" i="5" l="1"/>
  <c r="H16" i="5" l="1"/>
  <c r="C21" i="5" l="1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2" i="5"/>
  <c r="I70" i="10" l="1"/>
  <c r="I71" i="10"/>
  <c r="I72" i="10"/>
  <c r="I73" i="10"/>
  <c r="I69" i="10"/>
  <c r="F134" i="10"/>
  <c r="F133" i="10"/>
  <c r="F132" i="10"/>
  <c r="F131" i="10"/>
  <c r="F130" i="10"/>
  <c r="F129" i="10"/>
  <c r="F128" i="10"/>
  <c r="F127" i="10"/>
  <c r="C127" i="10"/>
  <c r="C128" i="10" s="1"/>
  <c r="C129" i="10" s="1"/>
  <c r="C130" i="10" s="1"/>
  <c r="C131" i="10" s="1"/>
  <c r="C132" i="10" s="1"/>
  <c r="C133" i="10" s="1"/>
  <c r="C134" i="10" s="1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0" i="10" l="1"/>
  <c r="F99" i="10"/>
  <c r="F98" i="10"/>
  <c r="F97" i="10"/>
  <c r="F96" i="10"/>
  <c r="F95" i="10"/>
  <c r="F94" i="10"/>
  <c r="F93" i="10"/>
  <c r="C93" i="10"/>
  <c r="C94" i="10" s="1"/>
  <c r="C95" i="10" s="1"/>
  <c r="C96" i="10" s="1"/>
  <c r="C97" i="10" s="1"/>
  <c r="C98" i="10" s="1"/>
  <c r="C99" i="10" s="1"/>
  <c r="C100" i="10" s="1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6" i="10"/>
  <c r="F65" i="10"/>
  <c r="F64" i="10"/>
  <c r="F63" i="10"/>
  <c r="F62" i="10"/>
  <c r="F61" i="10"/>
  <c r="F60" i="10"/>
  <c r="F59" i="10"/>
  <c r="C59" i="10"/>
  <c r="C60" i="10" s="1"/>
  <c r="C61" i="10" s="1"/>
  <c r="C62" i="10" s="1"/>
  <c r="C63" i="10" s="1"/>
  <c r="C64" i="10" s="1"/>
  <c r="C65" i="10" s="1"/>
  <c r="C66" i="10" s="1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0" i="10"/>
  <c r="F31" i="10"/>
  <c r="F32" i="10"/>
  <c r="F33" i="10"/>
  <c r="F29" i="10"/>
  <c r="F28" i="10"/>
  <c r="F27" i="10"/>
  <c r="F26" i="10"/>
  <c r="C26" i="10"/>
  <c r="C27" i="10" s="1"/>
  <c r="C28" i="10" s="1"/>
  <c r="C29" i="10" s="1"/>
  <c r="C30" i="10" s="1"/>
  <c r="C31" i="10" s="1"/>
  <c r="C32" i="10" s="1"/>
  <c r="C33" i="10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H5" i="5" l="1"/>
  <c r="H15" i="5" l="1"/>
  <c r="H14" i="5"/>
  <c r="H13" i="5"/>
  <c r="H12" i="5"/>
  <c r="H11" i="5"/>
  <c r="H9" i="5"/>
  <c r="H8" i="5"/>
  <c r="H7" i="5"/>
  <c r="H2" i="5"/>
  <c r="H10" i="5" l="1"/>
</calcChain>
</file>

<file path=xl/sharedStrings.xml><?xml version="1.0" encoding="utf-8"?>
<sst xmlns="http://schemas.openxmlformats.org/spreadsheetml/2006/main" count="561" uniqueCount="98">
  <si>
    <t>Data</t>
  </si>
  <si>
    <t>Previsto</t>
  </si>
  <si>
    <t>Realizado</t>
  </si>
  <si>
    <t>PACE</t>
  </si>
  <si>
    <t>HALL DESIGN</t>
  </si>
  <si>
    <t>OBRA</t>
  </si>
  <si>
    <t>Tipologia Gerencial</t>
  </si>
  <si>
    <t>Tipo</t>
  </si>
  <si>
    <t>Inicial</t>
  </si>
  <si>
    <t>Obra</t>
  </si>
  <si>
    <t>Término prev. (BASE)</t>
  </si>
  <si>
    <t>Contrato</t>
  </si>
  <si>
    <t>Multa Contrato (%)</t>
  </si>
  <si>
    <t>Valor Multa (R$)</t>
  </si>
  <si>
    <t>Varanda</t>
  </si>
  <si>
    <t>"14.1. A CONTRATADA ficará sujeita à aplicação da multa de 0,033% (zero vírgula zero trinta e três por cento), sobre o valor global da obra constante do orçamento em anexo, por dia que exceder o prazo contratual estipulado para conclusão dos serviços, ressalvados os casos fortuitos, de força maior e/ou aqueles citados neste instrumento, limitada a 10% (dez por cento) do valor do presente instrumento."</t>
  </si>
  <si>
    <t>Aretha</t>
  </si>
  <si>
    <t>N/A</t>
  </si>
  <si>
    <t>"14.1. A CONTRATADA ficará sujeita à aplicação da multa de 0,033% (trinta e três centésimos por cento), sobre o valor global da obra constante do orçamento em anexo, por dia que exceder o prazo contratual para conclusão dos serviços, limitado a 5 % (cinco por cento), ressalvados os casos fortuitos ou de força maior, observando as condições dispostas no item 4.1, acima."</t>
  </si>
  <si>
    <t>"4.1.2. Considerando os longos prazos de produção da construção civil, ajustam as Partes um prazo de tolerância de até 3 (três) meses em relação ao prazo retro descrito, sem que fique caracterizado inadimplemento contratual da CONTRATADA". "14.1. A CONTRATADA ficará sujeita à aplicação da multa de 0,033% (trinta e três centésimos por cento), sobre o Custo Efetivo Real das Obras, por dia que exceder o prazo contratual somado ao prazo de carência estipulado para conclusão dos serviços, limitada a 5 % (cinco por cento) sobre o Custo Real da Obra, ressalvados os casos fortuitos ou de força maior."</t>
  </si>
  <si>
    <t>Vizione</t>
  </si>
  <si>
    <t>"A) A partir do 181º (centésimo octogésimo primeiro) dia de atraso, em diante, a CONTRATADA incorrerá em multa mensal, pro rata die, na proporção de 0,033% (zero vírgula zero trinta e três por cento) por dia de atraso, limitado a 10% (dez por cento) do valor do custo orçado corrigido da obra. "</t>
  </si>
  <si>
    <t>Jardim dos Manacás</t>
  </si>
  <si>
    <t>Solenne</t>
  </si>
  <si>
    <t>Reserva Origens</t>
  </si>
  <si>
    <t>Croma</t>
  </si>
  <si>
    <t>Unna</t>
  </si>
  <si>
    <t>Qoya</t>
  </si>
  <si>
    <t>Líor</t>
  </si>
  <si>
    <t>Floripa Shopping</t>
  </si>
  <si>
    <t>Vivere</t>
  </si>
  <si>
    <t>Poty</t>
  </si>
  <si>
    <t>Amiz</t>
  </si>
  <si>
    <t>Nizza</t>
  </si>
  <si>
    <t>"...3.3 - Se o custo final da obra for menor que o PMG previsto neste contrato, caberá à CONTRATADA o recebimento de “prêmio economia”, até o limite de R$ 500.000,00 (quinhentos mil reais), atualizados pelo INCC desde a data base deste contrato, a ser calculado da seguinte maneira:
Prêmio Economia = 40% x (“PMG” – “Custo Efetivo da Obra”)
3.3.1 -	O prêmio economia será apurado após conclusão das obras, mediante fechamento de custos, e será pago 6 (seis) meses após conclusão das obras, condicionado ao integral cumprimento pela CONTRATADA das obrigações avençadas neste contrato."</t>
  </si>
  <si>
    <t>"....a) Na hipótese de ser apurado Custo Excedente ou Economia igual ou inferior a 2,5% (dois e meio por cento), sobre o Custo Raso da Obra, a CONTRATANTE será responsável pelo custo total excedente, bem como pela economia excedente; b) Na hipótese de ser apurado Custo Excedente ou Economia de até 5% (cinco por cento) sobre o Custo Raso da Obra: (i) as Partes ficarão responsáveis pelo pagamento ou recebimento do total do Custo Excedente ou Economia que superar a margem dos 2,5% (dois e meio por cento) sobre o
Custo Raso da Obra, na proporção de 50% (cinquenta por cento) cada uma. c) Se o Custo Excedente ou Economia apurado for superior a 5% (cinco por cento) do Custo Raso da Obra, a CONTRATADA: arcará ou receberá 100% (cem por cento) do custo excedente ou economia apurado na faixa superior a 5% (cinco por cento)."</t>
  </si>
  <si>
    <t>"...Caso o custo real e efetivo da obra exceda 2% (dois por cento) o custo orçado, devidamente reajustado, descrito na planilha orçamentária anexa, a quantia excedente será
suportada exclusivamente pela CONTRATANTE, não sendo mais devida taxa de administração sobre este valor. Na hipótese de ser verificado o custo real e efetivo da obra em mais de 2%(dois por cento) o custo orçado, devidamente reajustado, descrito na planilha orçamentária anexa, a quantia excedente será suportada exclusivamente pela CONTRATADA, não sendo mais devida taxa de administração sobre este valor. 3.4. Se, entretanto, o custo final da obra, em INCC, for menor do que o previsto na planilha orçamentária que faz parte integrante desse contrato, caberá à CONTRATADA 50% (cinquenta por cento) do saldo contratual (economia de orçamento) sobre a diferença apurada, como um bônus por performance, a ser paga 6 (seis) meses após a Entrega Definitiva da Obra, conforme cláusula 4.1.2.</t>
  </si>
  <si>
    <t>"...3.3. Se, entretanto, o Custo Efetivo final das Obras, após atualizado pelo INCC-DI, for menor do que o previsto na planilha orçamentária que faz parte integrante desse
Contrato, caberá à CONTRATADA o direito a 5% (cinco por cento) sobre a economia gerada a partir de R$ 120.000.000,00 (cento e vinte milhões de reais) de Custo Efetivo das Obras (“Prêmio”), percentual este que deverá ser pago em até 6 (seis) meses após a emissão do CVCO ou entrega do empreendimento em pleno funcionamento, observada a Cláusula Nona, o que ocorrer por último.3.3.2. Ao exclusivo critério da CONTRATADA, esta poderá pagar o valor equivalente ao Prêmio, mediante dação em pagamento de unidade autônoma, pronta e acabada, do bloco MUDRA do Empreendimento, de propriedade da CONTRATANTE.</t>
  </si>
  <si>
    <t>"...A – Na hipótese de ser verificada uma economia sobre o custo orçado corrigido, esta economia reverterá 50% (cinquenta por cento) em favor da CONTRATANTE e 50% (cinquenta por cento) em favor da CONTRATADA, sem modificação da taxa de administração em favor da CONTRATADA, que permanecerá válida sobre os 100% (cem por cento) do custo orçado inicial, corrigido.
C - Na hipótese de o valor do custo efetivo ser excedido, (i) caso o valor exceda em até 5% (cinco por cento) o custo orçado corrigido, a quantia excedente será integralmente suportada pela CONTRATANTE; (ii) caso o valor do custo efetivo exceda além de 5% (cinco por cento) o custo orçado corrigido, a quantia excedente será integralmente suportada pela CONTRATADA. Em ambos os casos, não haverá modificação da taxa de administração em favor da CONTRATADA, que permanecerá válida sobre 100% (cem por cento) do custo orçado corrigido."</t>
  </si>
  <si>
    <t>Estouro contratada</t>
  </si>
  <si>
    <t>Estouro contratante</t>
  </si>
  <si>
    <t>Dias atraso</t>
  </si>
  <si>
    <t>Banda acima contrato (R$)</t>
  </si>
  <si>
    <t>Valor</t>
  </si>
  <si>
    <t>Obra e tipo</t>
  </si>
  <si>
    <t>Valor Contrato corrigido</t>
  </si>
  <si>
    <t>Margem</t>
  </si>
  <si>
    <t>Resultado</t>
  </si>
  <si>
    <t>Despesas ADM</t>
  </si>
  <si>
    <t>Mês inicial</t>
  </si>
  <si>
    <t>% Receita liquida geral</t>
  </si>
  <si>
    <t>Pagamento Multa</t>
  </si>
  <si>
    <t>Premio economia</t>
  </si>
  <si>
    <t>Terceiros</t>
  </si>
  <si>
    <t>Interna ou externa</t>
  </si>
  <si>
    <t>Interna</t>
  </si>
  <si>
    <t>Inicio (BASE)</t>
  </si>
  <si>
    <t>Miragio</t>
  </si>
  <si>
    <t>Orçamento total reajustado</t>
  </si>
  <si>
    <t>Orcamento total projeção</t>
  </si>
  <si>
    <t>Resultado total</t>
  </si>
  <si>
    <t>Ristreto</t>
  </si>
  <si>
    <t>Amati</t>
  </si>
  <si>
    <t>Alberi</t>
  </si>
  <si>
    <t>GLB</t>
  </si>
  <si>
    <t>Platea</t>
  </si>
  <si>
    <t>40% da economia</t>
  </si>
  <si>
    <t>Icaro F1</t>
  </si>
  <si>
    <t>Orçamento Raso Reajustado (R$)</t>
  </si>
  <si>
    <t>Projeção Raso Atual (R$)</t>
  </si>
  <si>
    <t>Resultado Raso Atual (R$)</t>
  </si>
  <si>
    <t>Clausula custo</t>
  </si>
  <si>
    <t>Dias de chuva&gt;5mm</t>
  </si>
  <si>
    <t>MÊS CVCO</t>
  </si>
  <si>
    <t>MÊS ENTREGA UNIDADES</t>
  </si>
  <si>
    <t>Custo equipe mensal</t>
  </si>
  <si>
    <t>Hall Design</t>
  </si>
  <si>
    <t>Pace</t>
  </si>
  <si>
    <t>Platea - 108</t>
  </si>
  <si>
    <t>Grand Lodge Batel - Partilha</t>
  </si>
  <si>
    <t>Icaro F1 - AG7</t>
  </si>
  <si>
    <t>Sem clausula de atraso</t>
  </si>
  <si>
    <t>TérminoCVCO</t>
  </si>
  <si>
    <t>Entrega cliente</t>
  </si>
  <si>
    <t>Não finalizada</t>
  </si>
  <si>
    <t>Multa possível (%)</t>
  </si>
  <si>
    <t>Prazo orçamento</t>
  </si>
  <si>
    <t>34/39</t>
  </si>
  <si>
    <t>30/33</t>
  </si>
  <si>
    <t>36/44</t>
  </si>
  <si>
    <t>40/45</t>
  </si>
  <si>
    <t>08/10</t>
  </si>
  <si>
    <t>42/45</t>
  </si>
  <si>
    <t>27/30</t>
  </si>
  <si>
    <t>Contrato não encontrado</t>
  </si>
  <si>
    <t>"19.1. Multa por atraso: 1% (um por cento) ao mês do Valor Global de Referência por dia de atraso no prazo de Conclusão da Obra, calculado proporcionalmente aos dias de atraso, limitada a 5% (cinco por cento) do Valor Global de Referência."</t>
  </si>
  <si>
    <t>"Ressalvados os casos fortuitos ou de força maior, a parte que descumprir qualquer cláusula  ou condição estabelecida no presente contrato, ou que venha a dar causa à sua rescisão, ficará obrigada ao pagamento de multa punitiva não compensatória equivalente a 2% (dois por cento) do  valor total do contrato."</t>
  </si>
  <si>
    <t>Custo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</si>
</sst>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[$-416]mmm\-yy;@"/>
    <numFmt numFmtId="166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Arial"/>
      <family val="1"/>
    </font>
    <font>
      <b/>
      <sz val="10"/>
      <color theme="0"/>
      <name val="Gravity"/>
      <family val="3"/>
    </font>
    <font>
      <sz val="10"/>
      <color rgb="FF000000"/>
      <name val="Gravity"/>
      <family val="3"/>
    </font>
    <font>
      <sz val="10"/>
      <color theme="1"/>
      <name val="Gravity"/>
      <family val="3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871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/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theme="0" tint="-0.34998626667073579"/>
      </left>
      <right/>
      <top/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/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 style="hair">
        <color indexed="64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7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4" fillId="2" borderId="3" xfId="4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164" fontId="6" fillId="0" borderId="4" xfId="0" applyNumberFormat="1" applyFont="1" applyBorder="1" applyAlignment="1">
      <alignment horizontal="center"/>
    </xf>
    <xf numFmtId="44" fontId="6" fillId="0" borderId="4" xfId="1" applyFont="1" applyBorder="1" applyAlignment="1">
      <alignment horizontal="center"/>
    </xf>
    <xf numFmtId="10" fontId="6" fillId="0" borderId="5" xfId="2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9" fontId="6" fillId="0" borderId="9" xfId="0" applyNumberFormat="1" applyFont="1" applyBorder="1" applyAlignment="1">
      <alignment horizontal="left"/>
    </xf>
    <xf numFmtId="44" fontId="0" fillId="0" borderId="0" xfId="0" applyNumberFormat="1"/>
    <xf numFmtId="10" fontId="0" fillId="0" borderId="0" xfId="2" applyNumberFormat="1" applyFont="1"/>
    <xf numFmtId="165" fontId="0" fillId="0" borderId="0" xfId="0" applyNumberFormat="1"/>
    <xf numFmtId="9" fontId="0" fillId="0" borderId="0" xfId="0" applyNumberFormat="1"/>
    <xf numFmtId="8" fontId="0" fillId="0" borderId="0" xfId="0" applyNumberFormat="1"/>
    <xf numFmtId="164" fontId="0" fillId="0" borderId="0" xfId="2" applyNumberFormat="1" applyFont="1"/>
    <xf numFmtId="0" fontId="5" fillId="0" borderId="1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4" fontId="6" fillId="3" borderId="4" xfId="0" applyNumberFormat="1" applyFont="1" applyFill="1" applyBorder="1" applyAlignment="1">
      <alignment horizontal="center"/>
    </xf>
    <xf numFmtId="4" fontId="6" fillId="3" borderId="6" xfId="0" applyNumberFormat="1" applyFont="1" applyFill="1" applyBorder="1" applyAlignment="1">
      <alignment horizontal="center"/>
    </xf>
    <xf numFmtId="4" fontId="6" fillId="3" borderId="7" xfId="0" applyNumberFormat="1" applyFont="1" applyFill="1" applyBorder="1" applyAlignment="1">
      <alignment horizontal="center"/>
    </xf>
    <xf numFmtId="0" fontId="4" fillId="2" borderId="12" xfId="4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4" fontId="6" fillId="3" borderId="11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6" fillId="0" borderId="16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4" fontId="6" fillId="0" borderId="9" xfId="0" applyNumberFormat="1" applyFont="1" applyBorder="1" applyAlignment="1">
      <alignment horizontal="left" wrapText="1"/>
    </xf>
    <xf numFmtId="4" fontId="6" fillId="0" borderId="8" xfId="0" applyNumberFormat="1" applyFont="1" applyBorder="1" applyAlignment="1">
      <alignment horizontal="center"/>
    </xf>
    <xf numFmtId="4" fontId="6" fillId="0" borderId="13" xfId="0" applyNumberFormat="1" applyFont="1" applyBorder="1" applyAlignment="1">
      <alignment horizontal="center"/>
    </xf>
    <xf numFmtId="4" fontId="6" fillId="0" borderId="9" xfId="0" applyNumberFormat="1" applyFont="1" applyBorder="1" applyAlignment="1">
      <alignment horizontal="center"/>
    </xf>
    <xf numFmtId="4" fontId="6" fillId="0" borderId="10" xfId="0" applyNumberFormat="1" applyFont="1" applyBorder="1" applyAlignment="1">
      <alignment horizontal="center"/>
    </xf>
    <xf numFmtId="4" fontId="6" fillId="0" borderId="9" xfId="0" applyNumberFormat="1" applyFont="1" applyBorder="1" applyAlignment="1">
      <alignment horizontal="left"/>
    </xf>
    <xf numFmtId="17" fontId="0" fillId="0" borderId="0" xfId="0" applyNumberFormat="1"/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66" fontId="0" fillId="0" borderId="0" xfId="0" applyNumberFormat="1"/>
    <xf numFmtId="4" fontId="0" fillId="0" borderId="0" xfId="0" applyNumberFormat="1"/>
    <xf numFmtId="14" fontId="0" fillId="0" borderId="0" xfId="0" applyNumberFormat="1"/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43" fontId="0" fillId="0" borderId="0" xfId="0" applyNumberFormat="1"/>
    <xf numFmtId="16" fontId="5" fillId="0" borderId="11" xfId="0" quotePrefix="1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/>
    </xf>
    <xf numFmtId="4" fontId="6" fillId="0" borderId="8" xfId="0" applyNumberFormat="1" applyFont="1" applyBorder="1" applyAlignment="1">
      <alignment horizontal="left" wrapText="1"/>
    </xf>
  </cellXfs>
  <cellStyles count="7">
    <cellStyle name="Moeda" xfId="1" builtinId="4"/>
    <cellStyle name="Moeda 2" xfId="3" xr:uid="{C0FF9126-00DE-4190-9C3C-F6D7468CCAAC}"/>
    <cellStyle name="Normal" xfId="0" builtinId="0"/>
    <cellStyle name="Normal 2" xfId="5" xr:uid="{656CAE0D-1432-40E1-81CE-6AA4FCD47D9B}"/>
    <cellStyle name="Normal 3" xfId="4" xr:uid="{EBE32B57-3A64-47D9-86CD-CFBCAE7F9C6A}"/>
    <cellStyle name="Porcentagem" xfId="2" builtinId="5"/>
    <cellStyle name="Vírgula 2" xfId="6" xr:uid="{89465CD8-BC01-4B98-945C-EFB7C7259A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lenaventura-my.sharepoint.com/personal/pedro_furman_piemonte_com_br/Documents/PLANEJAMENTO%20E%20CONTROLE%20DE%20OBRAS%20PIEMONTE/1.NOTA%20&#205;NDICE%20ENGENHARIA/Micrometas%20setor/Micrometa%20Valida&#231;&#227;o%20DRE%20obras/Previs&#227;o%20Receitas%20e%20despesas%20HALL.xlsx" TargetMode="External"/><Relationship Id="rId2" Type="http://schemas.microsoft.com/office/2019/04/relationships/externalLinkLongPath" Target="https://piemonteconstrutora-my.sharepoint.com/personal/pedro_furman_piemonte_com_br/Documents/PLANEJAMENTO%20PIEMONTE/3.METAS%20SETOR/2024/Micrometas%20setor/Micrometa%20Valida&#231;&#227;o%20DRE%20obras/Previs&#227;o%20Receitas%20e%20despesas%20HALL.xlsx?417C6EB8" TargetMode="External"/><Relationship Id="rId1" Type="http://schemas.openxmlformats.org/officeDocument/2006/relationships/externalLinkPath" Target="file:///\\417C6EB8\Previs&#227;o%20Receitas%20e%20despesas%20H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scos-CANTU"/>
      <sheetName val="Ações-Riscos-CANTU"/>
      <sheetName val="Oportunidades-CANTU"/>
      <sheetName val="Ações - Oportunidades-CANTU"/>
      <sheetName val="SWOT"/>
      <sheetName val="Riscos-PIEMONTE"/>
      <sheetName val="Viabilidade"/>
      <sheetName val="Planilha1"/>
      <sheetName val="Ações-Riscos-PIEMONTE"/>
      <sheetName val="Probabilidade (legenda)"/>
      <sheetName val="Condiç Exequibilidade (legenda)"/>
      <sheetName val="Impacto (legenda)"/>
      <sheetName val="Estratégias (legenda)"/>
      <sheetName val="Oportunidades-PIEMONTE"/>
      <sheetName val="Ações-Oportunidades-PIEMONTE"/>
      <sheetName val="Classificação"/>
      <sheetName val="Gráf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Prevenir</v>
          </cell>
          <cell r="D2" t="str">
            <v>Explorar</v>
          </cell>
        </row>
        <row r="3">
          <cell r="A3" t="str">
            <v>Transferir</v>
          </cell>
          <cell r="D3" t="str">
            <v>Melhorar</v>
          </cell>
        </row>
        <row r="4">
          <cell r="A4" t="str">
            <v>Mitigar</v>
          </cell>
          <cell r="D4" t="str">
            <v>Compartilhar</v>
          </cell>
        </row>
        <row r="5">
          <cell r="A5" t="str">
            <v>Aceitar</v>
          </cell>
          <cell r="D5" t="str">
            <v>Aceitar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6A2B-3058-4004-816D-7182CED8014F}">
  <dimension ref="A1:I134"/>
  <sheetViews>
    <sheetView topLeftCell="A59" workbookViewId="0">
      <selection activeCell="D12" sqref="D12"/>
    </sheetView>
  </sheetViews>
  <sheetFormatPr defaultRowHeight="15" x14ac:dyDescent="0.25"/>
  <cols>
    <col min="1" max="1" width="22.140625" customWidth="1"/>
    <col min="2" max="2" width="23" customWidth="1"/>
    <col min="3" max="3" width="10.7109375" bestFit="1" customWidth="1"/>
    <col min="6" max="6" width="37" customWidth="1"/>
    <col min="7" max="7" width="14.140625" customWidth="1"/>
    <col min="8" max="8" width="11.5703125" customWidth="1"/>
  </cols>
  <sheetData>
    <row r="1" spans="1:6" x14ac:dyDescent="0.25">
      <c r="A1" t="s">
        <v>5</v>
      </c>
      <c r="B1" t="s">
        <v>6</v>
      </c>
      <c r="C1" t="s">
        <v>0</v>
      </c>
      <c r="D1" s="25" t="s">
        <v>43</v>
      </c>
      <c r="E1" t="s">
        <v>7</v>
      </c>
      <c r="F1" t="s">
        <v>44</v>
      </c>
    </row>
    <row r="2" spans="1:6" x14ac:dyDescent="0.25">
      <c r="A2" t="s">
        <v>4</v>
      </c>
      <c r="B2" t="s">
        <v>46</v>
      </c>
      <c r="C2" s="27">
        <v>45170</v>
      </c>
      <c r="D2">
        <v>-0.22481731401530997</v>
      </c>
      <c r="E2" t="s">
        <v>8</v>
      </c>
      <c r="F2" t="str">
        <f>A2&amp;" "&amp;B2</f>
        <v>HALL DESIGN Margem</v>
      </c>
    </row>
    <row r="3" spans="1:6" x14ac:dyDescent="0.25">
      <c r="A3" t="s">
        <v>4</v>
      </c>
      <c r="B3" t="s">
        <v>46</v>
      </c>
      <c r="C3" s="27">
        <v>45200</v>
      </c>
      <c r="D3">
        <v>3.7785497535249832E-2</v>
      </c>
      <c r="E3" t="s">
        <v>8</v>
      </c>
      <c r="F3" t="str">
        <f t="shared" ref="F3:F33" si="0">A3&amp;" "&amp;B3</f>
        <v>HALL DESIGN Margem</v>
      </c>
    </row>
    <row r="4" spans="1:6" x14ac:dyDescent="0.25">
      <c r="A4" t="s">
        <v>4</v>
      </c>
      <c r="B4" t="s">
        <v>46</v>
      </c>
      <c r="C4" s="27">
        <v>45231</v>
      </c>
      <c r="D4">
        <v>5.4254156346650404E-3</v>
      </c>
      <c r="E4" t="s">
        <v>8</v>
      </c>
      <c r="F4" t="str">
        <f t="shared" si="0"/>
        <v>HALL DESIGN Margem</v>
      </c>
    </row>
    <row r="5" spans="1:6" x14ac:dyDescent="0.25">
      <c r="A5" t="s">
        <v>4</v>
      </c>
      <c r="B5" t="s">
        <v>46</v>
      </c>
      <c r="C5" s="27">
        <v>45261</v>
      </c>
      <c r="D5">
        <v>5.4254156346650404E-3</v>
      </c>
      <c r="E5" t="s">
        <v>8</v>
      </c>
      <c r="F5" t="str">
        <f t="shared" si="0"/>
        <v>HALL DESIGN Margem</v>
      </c>
    </row>
    <row r="6" spans="1:6" x14ac:dyDescent="0.25">
      <c r="A6" t="s">
        <v>4</v>
      </c>
      <c r="B6" t="s">
        <v>46</v>
      </c>
      <c r="C6" s="27">
        <v>45292</v>
      </c>
      <c r="D6">
        <v>0.135805296949287</v>
      </c>
      <c r="E6" t="s">
        <v>8</v>
      </c>
      <c r="F6" t="str">
        <f t="shared" si="0"/>
        <v>HALL DESIGN Margem</v>
      </c>
    </row>
    <row r="7" spans="1:6" x14ac:dyDescent="0.25">
      <c r="A7" t="s">
        <v>4</v>
      </c>
      <c r="B7" t="s">
        <v>46</v>
      </c>
      <c r="C7" s="27">
        <v>45323</v>
      </c>
      <c r="D7">
        <v>0.135805296949287</v>
      </c>
      <c r="E7" t="s">
        <v>8</v>
      </c>
      <c r="F7" t="str">
        <f t="shared" si="0"/>
        <v>HALL DESIGN Margem</v>
      </c>
    </row>
    <row r="8" spans="1:6" x14ac:dyDescent="0.25">
      <c r="A8" t="s">
        <v>4</v>
      </c>
      <c r="B8" t="s">
        <v>46</v>
      </c>
      <c r="C8" s="27">
        <v>45352</v>
      </c>
      <c r="D8">
        <v>0.135805296949287</v>
      </c>
      <c r="E8" t="s">
        <v>8</v>
      </c>
      <c r="F8" t="str">
        <f t="shared" si="0"/>
        <v>HALL DESIGN Margem</v>
      </c>
    </row>
    <row r="9" spans="1:6" x14ac:dyDescent="0.25">
      <c r="A9" t="s">
        <v>4</v>
      </c>
      <c r="B9" t="s">
        <v>46</v>
      </c>
      <c r="C9" s="27">
        <v>45383</v>
      </c>
      <c r="D9">
        <v>0.21993514829927593</v>
      </c>
      <c r="E9" t="s">
        <v>8</v>
      </c>
      <c r="F9" t="str">
        <f t="shared" si="0"/>
        <v>HALL DESIGN Margem</v>
      </c>
    </row>
    <row r="10" spans="1:6" x14ac:dyDescent="0.25">
      <c r="A10" t="s">
        <v>4</v>
      </c>
      <c r="B10" t="s">
        <v>46</v>
      </c>
      <c r="C10" s="27">
        <v>45413</v>
      </c>
      <c r="D10">
        <v>0.25481275245198715</v>
      </c>
      <c r="E10" t="s">
        <v>8</v>
      </c>
      <c r="F10" t="str">
        <f t="shared" si="0"/>
        <v>HALL DESIGN Margem</v>
      </c>
    </row>
    <row r="11" spans="1:6" x14ac:dyDescent="0.25">
      <c r="A11" t="s">
        <v>4</v>
      </c>
      <c r="B11" t="s">
        <v>46</v>
      </c>
      <c r="C11" s="27">
        <v>45444</v>
      </c>
      <c r="D11">
        <v>0.28315506959296205</v>
      </c>
      <c r="E11" t="s">
        <v>8</v>
      </c>
      <c r="F11" t="str">
        <f t="shared" si="0"/>
        <v>HALL DESIGN Margem</v>
      </c>
    </row>
    <row r="12" spans="1:6" x14ac:dyDescent="0.25">
      <c r="A12" t="s">
        <v>4</v>
      </c>
      <c r="B12" t="s">
        <v>46</v>
      </c>
      <c r="C12" s="27">
        <v>45474</v>
      </c>
      <c r="D12">
        <v>0.2947018189121115</v>
      </c>
      <c r="E12" t="s">
        <v>8</v>
      </c>
      <c r="F12" t="str">
        <f t="shared" si="0"/>
        <v>HALL DESIGN Margem</v>
      </c>
    </row>
    <row r="13" spans="1:6" x14ac:dyDescent="0.25">
      <c r="A13" t="s">
        <v>4</v>
      </c>
      <c r="B13" t="s">
        <v>46</v>
      </c>
      <c r="C13" s="27">
        <v>45505</v>
      </c>
      <c r="D13">
        <v>0.2947018189121115</v>
      </c>
      <c r="E13" t="s">
        <v>8</v>
      </c>
      <c r="F13" t="str">
        <f t="shared" si="0"/>
        <v>HALL DESIGN Margem</v>
      </c>
    </row>
    <row r="14" spans="1:6" x14ac:dyDescent="0.25">
      <c r="A14" t="s">
        <v>4</v>
      </c>
      <c r="B14" t="s">
        <v>46</v>
      </c>
      <c r="C14" s="27">
        <v>45536</v>
      </c>
      <c r="D14">
        <v>0.1733404841269521</v>
      </c>
      <c r="E14" t="s">
        <v>8</v>
      </c>
      <c r="F14" t="str">
        <f t="shared" si="0"/>
        <v>HALL DESIGN Margem</v>
      </c>
    </row>
    <row r="15" spans="1:6" x14ac:dyDescent="0.25">
      <c r="A15" t="s">
        <v>4</v>
      </c>
      <c r="B15" t="s">
        <v>46</v>
      </c>
      <c r="C15" s="27">
        <v>45566</v>
      </c>
      <c r="D15">
        <v>0.17917719854188047</v>
      </c>
      <c r="E15" t="s">
        <v>8</v>
      </c>
      <c r="F15" t="str">
        <f t="shared" si="0"/>
        <v>HALL DESIGN Margem</v>
      </c>
    </row>
    <row r="16" spans="1:6" x14ac:dyDescent="0.25">
      <c r="A16" t="s">
        <v>4</v>
      </c>
      <c r="B16" t="s">
        <v>46</v>
      </c>
      <c r="C16" s="27">
        <v>45597</v>
      </c>
      <c r="D16">
        <v>0.21004883297904653</v>
      </c>
      <c r="E16" t="s">
        <v>8</v>
      </c>
      <c r="F16" t="str">
        <f t="shared" si="0"/>
        <v>HALL DESIGN Margem</v>
      </c>
    </row>
    <row r="17" spans="1:6" x14ac:dyDescent="0.25">
      <c r="A17" t="s">
        <v>4</v>
      </c>
      <c r="B17" t="s">
        <v>46</v>
      </c>
      <c r="C17" s="27">
        <v>45627</v>
      </c>
      <c r="D17">
        <v>0.18552469987755402</v>
      </c>
      <c r="E17" t="s">
        <v>8</v>
      </c>
      <c r="F17" t="str">
        <f t="shared" si="0"/>
        <v>HALL DESIGN Margem</v>
      </c>
    </row>
    <row r="18" spans="1:6" x14ac:dyDescent="0.25">
      <c r="A18" t="s">
        <v>4</v>
      </c>
      <c r="B18" t="s">
        <v>46</v>
      </c>
      <c r="C18" s="27">
        <v>45658</v>
      </c>
      <c r="D18">
        <v>0.26552469987755406</v>
      </c>
      <c r="E18" t="s">
        <v>8</v>
      </c>
      <c r="F18" t="str">
        <f t="shared" si="0"/>
        <v>HALL DESIGN Margem</v>
      </c>
    </row>
    <row r="19" spans="1:6" x14ac:dyDescent="0.25">
      <c r="A19" t="s">
        <v>4</v>
      </c>
      <c r="B19" t="s">
        <v>46</v>
      </c>
      <c r="C19" s="27">
        <v>45689</v>
      </c>
      <c r="D19">
        <v>0.34887765103870494</v>
      </c>
      <c r="E19" t="s">
        <v>8</v>
      </c>
      <c r="F19" t="str">
        <f t="shared" si="0"/>
        <v>HALL DESIGN Margem</v>
      </c>
    </row>
    <row r="20" spans="1:6" x14ac:dyDescent="0.25">
      <c r="A20" t="s">
        <v>4</v>
      </c>
      <c r="B20" t="s">
        <v>46</v>
      </c>
      <c r="C20" s="27">
        <v>45717</v>
      </c>
      <c r="D20">
        <v>0.35511644141115467</v>
      </c>
      <c r="E20" t="s">
        <v>8</v>
      </c>
      <c r="F20" t="str">
        <f t="shared" si="0"/>
        <v>HALL DESIGN Margem</v>
      </c>
    </row>
    <row r="21" spans="1:6" x14ac:dyDescent="0.25">
      <c r="A21" t="s">
        <v>4</v>
      </c>
      <c r="B21" t="s">
        <v>46</v>
      </c>
      <c r="C21" s="27">
        <v>45748</v>
      </c>
      <c r="D21">
        <v>0.34898538313162908</v>
      </c>
      <c r="E21" t="s">
        <v>8</v>
      </c>
      <c r="F21" t="str">
        <f t="shared" si="0"/>
        <v>HALL DESIGN Margem</v>
      </c>
    </row>
    <row r="22" spans="1:6" x14ac:dyDescent="0.25">
      <c r="A22" t="s">
        <v>4</v>
      </c>
      <c r="B22" t="s">
        <v>46</v>
      </c>
      <c r="C22" s="27">
        <v>45778</v>
      </c>
      <c r="D22">
        <v>0.34898538313162908</v>
      </c>
      <c r="E22" t="s">
        <v>8</v>
      </c>
      <c r="F22" t="str">
        <f t="shared" si="0"/>
        <v>HALL DESIGN Margem</v>
      </c>
    </row>
    <row r="23" spans="1:6" x14ac:dyDescent="0.25">
      <c r="A23" t="s">
        <v>4</v>
      </c>
      <c r="B23" t="s">
        <v>46</v>
      </c>
      <c r="C23" s="27">
        <v>45809</v>
      </c>
      <c r="D23">
        <v>0.32562061834539763</v>
      </c>
      <c r="E23" t="s">
        <v>8</v>
      </c>
      <c r="F23" t="str">
        <f t="shared" si="0"/>
        <v>HALL DESIGN Margem</v>
      </c>
    </row>
    <row r="24" spans="1:6" x14ac:dyDescent="0.25">
      <c r="A24" t="s">
        <v>4</v>
      </c>
      <c r="B24" t="s">
        <v>46</v>
      </c>
      <c r="C24" s="27">
        <v>45839</v>
      </c>
      <c r="D24">
        <v>0.24950380456236032</v>
      </c>
      <c r="E24" t="s">
        <v>8</v>
      </c>
      <c r="F24" t="str">
        <f t="shared" si="0"/>
        <v>HALL DESIGN Margem</v>
      </c>
    </row>
    <row r="25" spans="1:6" x14ac:dyDescent="0.25">
      <c r="A25" t="s">
        <v>4</v>
      </c>
      <c r="B25" t="s">
        <v>46</v>
      </c>
      <c r="C25" s="27">
        <v>45870</v>
      </c>
      <c r="D25">
        <v>0.30317798316334532</v>
      </c>
      <c r="E25" t="s">
        <v>8</v>
      </c>
      <c r="F25" t="str">
        <f t="shared" si="0"/>
        <v>HALL DESIGN Margem</v>
      </c>
    </row>
    <row r="26" spans="1:6" x14ac:dyDescent="0.25">
      <c r="A26" t="s">
        <v>4</v>
      </c>
      <c r="B26" t="s">
        <v>46</v>
      </c>
      <c r="C26" s="27">
        <f>EDATE(C25,1)</f>
        <v>45901</v>
      </c>
      <c r="E26" t="s">
        <v>8</v>
      </c>
      <c r="F26" t="str">
        <f t="shared" si="0"/>
        <v>HALL DESIGN Margem</v>
      </c>
    </row>
    <row r="27" spans="1:6" x14ac:dyDescent="0.25">
      <c r="A27" t="s">
        <v>4</v>
      </c>
      <c r="B27" t="s">
        <v>46</v>
      </c>
      <c r="C27" s="27">
        <f t="shared" ref="C27:C29" si="1">EDATE(C26,1)</f>
        <v>45931</v>
      </c>
      <c r="E27" t="s">
        <v>8</v>
      </c>
      <c r="F27" t="str">
        <f t="shared" si="0"/>
        <v>HALL DESIGN Margem</v>
      </c>
    </row>
    <row r="28" spans="1:6" x14ac:dyDescent="0.25">
      <c r="A28" t="s">
        <v>4</v>
      </c>
      <c r="B28" t="s">
        <v>46</v>
      </c>
      <c r="C28" s="27">
        <f t="shared" si="1"/>
        <v>45962</v>
      </c>
      <c r="E28" t="s">
        <v>8</v>
      </c>
      <c r="F28" t="str">
        <f t="shared" si="0"/>
        <v>HALL DESIGN Margem</v>
      </c>
    </row>
    <row r="29" spans="1:6" x14ac:dyDescent="0.25">
      <c r="A29" t="s">
        <v>4</v>
      </c>
      <c r="B29" t="s">
        <v>46</v>
      </c>
      <c r="C29" s="27">
        <f t="shared" si="1"/>
        <v>45992</v>
      </c>
      <c r="E29" t="s">
        <v>8</v>
      </c>
      <c r="F29" t="str">
        <f t="shared" si="0"/>
        <v>HALL DESIGN Margem</v>
      </c>
    </row>
    <row r="30" spans="1:6" x14ac:dyDescent="0.25">
      <c r="A30" t="s">
        <v>4</v>
      </c>
      <c r="B30" t="s">
        <v>46</v>
      </c>
      <c r="C30" s="27">
        <f t="shared" ref="C30:C33" si="2">EDATE(C29,1)</f>
        <v>46023</v>
      </c>
      <c r="E30" t="s">
        <v>8</v>
      </c>
      <c r="F30" t="str">
        <f t="shared" si="0"/>
        <v>HALL DESIGN Margem</v>
      </c>
    </row>
    <row r="31" spans="1:6" x14ac:dyDescent="0.25">
      <c r="A31" t="s">
        <v>4</v>
      </c>
      <c r="B31" t="s">
        <v>46</v>
      </c>
      <c r="C31" s="27">
        <f t="shared" si="2"/>
        <v>46054</v>
      </c>
      <c r="E31" t="s">
        <v>8</v>
      </c>
      <c r="F31" t="str">
        <f t="shared" si="0"/>
        <v>HALL DESIGN Margem</v>
      </c>
    </row>
    <row r="32" spans="1:6" x14ac:dyDescent="0.25">
      <c r="A32" t="s">
        <v>4</v>
      </c>
      <c r="B32" t="s">
        <v>46</v>
      </c>
      <c r="C32" s="27">
        <f t="shared" si="2"/>
        <v>46082</v>
      </c>
      <c r="E32" t="s">
        <v>8</v>
      </c>
      <c r="F32" t="str">
        <f t="shared" si="0"/>
        <v>HALL DESIGN Margem</v>
      </c>
    </row>
    <row r="33" spans="1:6" x14ac:dyDescent="0.25">
      <c r="A33" t="s">
        <v>4</v>
      </c>
      <c r="B33" t="s">
        <v>46</v>
      </c>
      <c r="C33" s="27">
        <f t="shared" si="2"/>
        <v>46113</v>
      </c>
      <c r="E33" t="s">
        <v>8</v>
      </c>
      <c r="F33" t="str">
        <f t="shared" si="0"/>
        <v>HALL DESIGN Margem</v>
      </c>
    </row>
    <row r="35" spans="1:6" x14ac:dyDescent="0.25">
      <c r="A35" t="s">
        <v>4</v>
      </c>
      <c r="B35" t="s">
        <v>47</v>
      </c>
      <c r="C35" s="27">
        <v>45170</v>
      </c>
      <c r="D35">
        <v>-11140.860836588401</v>
      </c>
      <c r="E35" t="s">
        <v>8</v>
      </c>
      <c r="F35" t="str">
        <f>A35&amp;" "&amp;B35</f>
        <v>HALL DESIGN Resultado</v>
      </c>
    </row>
    <row r="36" spans="1:6" x14ac:dyDescent="0.25">
      <c r="A36" t="s">
        <v>4</v>
      </c>
      <c r="B36" t="s">
        <v>47</v>
      </c>
      <c r="C36" s="27">
        <v>45200</v>
      </c>
      <c r="D36">
        <v>2961.3338664514995</v>
      </c>
      <c r="E36" t="s">
        <v>8</v>
      </c>
      <c r="F36" t="str">
        <f t="shared" ref="F36:F66" si="3">A36&amp;" "&amp;B36</f>
        <v>HALL DESIGN Resultado</v>
      </c>
    </row>
    <row r="37" spans="1:6" x14ac:dyDescent="0.25">
      <c r="A37" t="s">
        <v>4</v>
      </c>
      <c r="B37" t="s">
        <v>47</v>
      </c>
      <c r="C37" s="27">
        <v>45231</v>
      </c>
      <c r="D37">
        <v>396.76980502269362</v>
      </c>
      <c r="E37" t="s">
        <v>8</v>
      </c>
      <c r="F37" t="str">
        <f t="shared" si="3"/>
        <v>HALL DESIGN Resultado</v>
      </c>
    </row>
    <row r="38" spans="1:6" x14ac:dyDescent="0.25">
      <c r="A38" t="s">
        <v>4</v>
      </c>
      <c r="B38" t="s">
        <v>47</v>
      </c>
      <c r="C38" s="27">
        <v>45261</v>
      </c>
      <c r="D38">
        <v>396.76980502269362</v>
      </c>
      <c r="E38" t="s">
        <v>8</v>
      </c>
      <c r="F38" t="str">
        <f t="shared" si="3"/>
        <v>HALL DESIGN Resultado</v>
      </c>
    </row>
    <row r="39" spans="1:6" x14ac:dyDescent="0.25">
      <c r="A39" t="s">
        <v>4</v>
      </c>
      <c r="B39" t="s">
        <v>47</v>
      </c>
      <c r="C39" s="27">
        <v>45292</v>
      </c>
      <c r="D39">
        <v>10835.800334967234</v>
      </c>
      <c r="E39" t="s">
        <v>8</v>
      </c>
      <c r="F39" t="str">
        <f t="shared" si="3"/>
        <v>HALL DESIGN Resultado</v>
      </c>
    </row>
    <row r="40" spans="1:6" x14ac:dyDescent="0.25">
      <c r="A40" t="s">
        <v>4</v>
      </c>
      <c r="B40" t="s">
        <v>47</v>
      </c>
      <c r="C40" s="27">
        <v>45323</v>
      </c>
      <c r="D40">
        <v>10835.800334967234</v>
      </c>
      <c r="E40" t="s">
        <v>8</v>
      </c>
      <c r="F40" t="str">
        <f t="shared" si="3"/>
        <v>HALL DESIGN Resultado</v>
      </c>
    </row>
    <row r="41" spans="1:6" x14ac:dyDescent="0.25">
      <c r="A41" t="s">
        <v>4</v>
      </c>
      <c r="B41" t="s">
        <v>47</v>
      </c>
      <c r="C41" s="27">
        <v>45352</v>
      </c>
      <c r="D41">
        <v>10835.800334967234</v>
      </c>
      <c r="E41" t="s">
        <v>8</v>
      </c>
      <c r="F41" t="str">
        <f t="shared" si="3"/>
        <v>HALL DESIGN Resultado</v>
      </c>
    </row>
    <row r="42" spans="1:6" x14ac:dyDescent="0.25">
      <c r="A42" t="s">
        <v>4</v>
      </c>
      <c r="B42" t="s">
        <v>47</v>
      </c>
      <c r="C42" s="27">
        <v>45383</v>
      </c>
      <c r="D42">
        <v>21655.878417335858</v>
      </c>
      <c r="E42" t="s">
        <v>8</v>
      </c>
      <c r="F42" t="str">
        <f t="shared" si="3"/>
        <v>HALL DESIGN Resultado</v>
      </c>
    </row>
    <row r="43" spans="1:6" x14ac:dyDescent="0.25">
      <c r="A43" t="s">
        <v>4</v>
      </c>
      <c r="B43" t="s">
        <v>47</v>
      </c>
      <c r="C43" s="27">
        <v>45413</v>
      </c>
      <c r="D43">
        <v>27786.333559164814</v>
      </c>
      <c r="E43" t="s">
        <v>8</v>
      </c>
      <c r="F43" t="str">
        <f t="shared" si="3"/>
        <v>HALL DESIGN Resultado</v>
      </c>
    </row>
    <row r="44" spans="1:6" x14ac:dyDescent="0.25">
      <c r="A44" t="s">
        <v>4</v>
      </c>
      <c r="B44" t="s">
        <v>47</v>
      </c>
      <c r="C44" s="27">
        <v>45444</v>
      </c>
      <c r="D44">
        <v>33831.312106719924</v>
      </c>
      <c r="E44" t="s">
        <v>8</v>
      </c>
      <c r="F44" t="str">
        <f t="shared" si="3"/>
        <v>HALL DESIGN Resultado</v>
      </c>
    </row>
    <row r="45" spans="1:6" x14ac:dyDescent="0.25">
      <c r="A45" t="s">
        <v>4</v>
      </c>
      <c r="B45" t="s">
        <v>47</v>
      </c>
      <c r="C45" s="27">
        <v>45474</v>
      </c>
      <c r="D45">
        <v>36639.147233438613</v>
      </c>
      <c r="E45" t="s">
        <v>8</v>
      </c>
      <c r="F45" t="str">
        <f t="shared" si="3"/>
        <v>HALL DESIGN Resultado</v>
      </c>
    </row>
    <row r="46" spans="1:6" x14ac:dyDescent="0.25">
      <c r="A46" t="s">
        <v>4</v>
      </c>
      <c r="B46" t="s">
        <v>47</v>
      </c>
      <c r="C46" s="27">
        <v>45505</v>
      </c>
      <c r="D46">
        <v>36639.147233438613</v>
      </c>
      <c r="E46" t="s">
        <v>8</v>
      </c>
      <c r="F46" t="str">
        <f t="shared" si="3"/>
        <v>HALL DESIGN Resultado</v>
      </c>
    </row>
    <row r="47" spans="1:6" x14ac:dyDescent="0.25">
      <c r="A47" t="s">
        <v>4</v>
      </c>
      <c r="B47" t="s">
        <v>47</v>
      </c>
      <c r="C47" s="27">
        <v>45536</v>
      </c>
      <c r="D47">
        <v>15109.277498030155</v>
      </c>
      <c r="E47" t="s">
        <v>8</v>
      </c>
      <c r="F47" t="str">
        <f t="shared" si="3"/>
        <v>HALL DESIGN Resultado</v>
      </c>
    </row>
    <row r="48" spans="1:6" x14ac:dyDescent="0.25">
      <c r="A48" t="s">
        <v>4</v>
      </c>
      <c r="B48" t="s">
        <v>47</v>
      </c>
      <c r="C48" s="27">
        <v>45566</v>
      </c>
      <c r="D48">
        <v>15845.822000589893</v>
      </c>
      <c r="E48" t="s">
        <v>8</v>
      </c>
      <c r="F48" t="str">
        <f t="shared" si="3"/>
        <v>HALL DESIGN Resultado</v>
      </c>
    </row>
    <row r="49" spans="1:6" x14ac:dyDescent="0.25">
      <c r="A49" t="s">
        <v>4</v>
      </c>
      <c r="B49" t="s">
        <v>47</v>
      </c>
      <c r="C49" s="27">
        <v>45597</v>
      </c>
      <c r="D49">
        <v>20128.778038898017</v>
      </c>
      <c r="E49" t="s">
        <v>8</v>
      </c>
      <c r="F49" t="str">
        <f t="shared" si="3"/>
        <v>HALL DESIGN Resultado</v>
      </c>
    </row>
    <row r="50" spans="1:6" x14ac:dyDescent="0.25">
      <c r="A50" t="s">
        <v>4</v>
      </c>
      <c r="B50" t="s">
        <v>47</v>
      </c>
      <c r="C50" s="27">
        <v>45627</v>
      </c>
      <c r="D50">
        <v>16671.603786322456</v>
      </c>
      <c r="E50" t="s">
        <v>8</v>
      </c>
      <c r="F50" t="str">
        <f t="shared" si="3"/>
        <v>HALL DESIGN Resultado</v>
      </c>
    </row>
    <row r="51" spans="1:6" x14ac:dyDescent="0.25">
      <c r="A51" t="s">
        <v>4</v>
      </c>
      <c r="B51" t="s">
        <v>47</v>
      </c>
      <c r="C51" s="27">
        <v>45658</v>
      </c>
      <c r="D51">
        <v>23860.556544559258</v>
      </c>
      <c r="E51" t="s">
        <v>8</v>
      </c>
      <c r="F51" t="str">
        <f t="shared" si="3"/>
        <v>HALL DESIGN Resultado</v>
      </c>
    </row>
    <row r="52" spans="1:6" x14ac:dyDescent="0.25">
      <c r="A52" t="s">
        <v>4</v>
      </c>
      <c r="B52" t="s">
        <v>47</v>
      </c>
      <c r="C52" s="27">
        <v>45689</v>
      </c>
      <c r="D52">
        <v>39767.076672600037</v>
      </c>
      <c r="E52" t="s">
        <v>8</v>
      </c>
      <c r="F52" t="str">
        <f t="shared" si="3"/>
        <v>HALL DESIGN Resultado</v>
      </c>
    </row>
    <row r="53" spans="1:6" x14ac:dyDescent="0.25">
      <c r="A53" t="s">
        <v>4</v>
      </c>
      <c r="B53" t="s">
        <v>47</v>
      </c>
      <c r="C53" s="27">
        <v>45717</v>
      </c>
      <c r="D53">
        <v>41308.225971922198</v>
      </c>
      <c r="E53" t="s">
        <v>8</v>
      </c>
      <c r="F53" t="str">
        <f t="shared" si="3"/>
        <v>HALL DESIGN Resultado</v>
      </c>
    </row>
    <row r="54" spans="1:6" x14ac:dyDescent="0.25">
      <c r="A54" t="s">
        <v>4</v>
      </c>
      <c r="B54" t="s">
        <v>47</v>
      </c>
      <c r="C54" s="27">
        <v>45748</v>
      </c>
      <c r="D54">
        <v>39793.163717404648</v>
      </c>
      <c r="E54" t="s">
        <v>8</v>
      </c>
      <c r="F54" t="str">
        <f t="shared" si="3"/>
        <v>HALL DESIGN Resultado</v>
      </c>
    </row>
    <row r="55" spans="1:6" x14ac:dyDescent="0.25">
      <c r="A55" t="s">
        <v>4</v>
      </c>
      <c r="B55" t="s">
        <v>47</v>
      </c>
      <c r="C55" s="27">
        <v>45778</v>
      </c>
      <c r="D55">
        <v>39793.163717404648</v>
      </c>
      <c r="E55" t="s">
        <v>8</v>
      </c>
      <c r="F55" t="str">
        <f t="shared" si="3"/>
        <v>HALL DESIGN Resultado</v>
      </c>
    </row>
    <row r="56" spans="1:6" x14ac:dyDescent="0.25">
      <c r="A56" t="s">
        <v>4</v>
      </c>
      <c r="B56" t="s">
        <v>47</v>
      </c>
      <c r="C56" s="27">
        <v>45809</v>
      </c>
      <c r="D56">
        <v>34529.700438735221</v>
      </c>
      <c r="E56" t="s">
        <v>8</v>
      </c>
      <c r="F56" t="str">
        <f t="shared" si="3"/>
        <v>HALL DESIGN Resultado</v>
      </c>
    </row>
    <row r="57" spans="1:6" x14ac:dyDescent="0.25">
      <c r="A57" t="s">
        <v>4</v>
      </c>
      <c r="B57" t="s">
        <v>47</v>
      </c>
      <c r="C57" s="27">
        <v>45839</v>
      </c>
      <c r="D57">
        <v>21544.497336461638</v>
      </c>
      <c r="E57" t="s">
        <v>8</v>
      </c>
      <c r="F57" t="str">
        <f t="shared" si="3"/>
        <v>HALL DESIGN Resultado</v>
      </c>
    </row>
    <row r="58" spans="1:6" x14ac:dyDescent="0.25">
      <c r="A58" t="s">
        <v>4</v>
      </c>
      <c r="B58" t="s">
        <v>47</v>
      </c>
      <c r="C58" s="27">
        <v>45870</v>
      </c>
      <c r="D58">
        <v>324841.4803460727</v>
      </c>
      <c r="E58" t="s">
        <v>8</v>
      </c>
      <c r="F58" t="str">
        <f t="shared" si="3"/>
        <v>HALL DESIGN Resultado</v>
      </c>
    </row>
    <row r="59" spans="1:6" x14ac:dyDescent="0.25">
      <c r="A59" t="s">
        <v>4</v>
      </c>
      <c r="B59" t="s">
        <v>47</v>
      </c>
      <c r="C59" s="27">
        <f>EDATE(C58,1)</f>
        <v>45901</v>
      </c>
      <c r="E59" t="s">
        <v>8</v>
      </c>
      <c r="F59" t="str">
        <f t="shared" si="3"/>
        <v>HALL DESIGN Resultado</v>
      </c>
    </row>
    <row r="60" spans="1:6" x14ac:dyDescent="0.25">
      <c r="A60" t="s">
        <v>4</v>
      </c>
      <c r="B60" t="s">
        <v>47</v>
      </c>
      <c r="C60" s="27">
        <f t="shared" ref="C60:C66" si="4">EDATE(C59,1)</f>
        <v>45931</v>
      </c>
      <c r="E60" t="s">
        <v>8</v>
      </c>
      <c r="F60" t="str">
        <f t="shared" si="3"/>
        <v>HALL DESIGN Resultado</v>
      </c>
    </row>
    <row r="61" spans="1:6" x14ac:dyDescent="0.25">
      <c r="A61" t="s">
        <v>4</v>
      </c>
      <c r="B61" t="s">
        <v>47</v>
      </c>
      <c r="C61" s="27">
        <f t="shared" si="4"/>
        <v>45962</v>
      </c>
      <c r="E61" t="s">
        <v>8</v>
      </c>
      <c r="F61" t="str">
        <f t="shared" si="3"/>
        <v>HALL DESIGN Resultado</v>
      </c>
    </row>
    <row r="62" spans="1:6" x14ac:dyDescent="0.25">
      <c r="A62" t="s">
        <v>4</v>
      </c>
      <c r="B62" t="s">
        <v>47</v>
      </c>
      <c r="C62" s="27">
        <f t="shared" si="4"/>
        <v>45992</v>
      </c>
      <c r="E62" t="s">
        <v>8</v>
      </c>
      <c r="F62" t="str">
        <f t="shared" si="3"/>
        <v>HALL DESIGN Resultado</v>
      </c>
    </row>
    <row r="63" spans="1:6" x14ac:dyDescent="0.25">
      <c r="A63" t="s">
        <v>4</v>
      </c>
      <c r="B63" t="s">
        <v>47</v>
      </c>
      <c r="C63" s="27">
        <f t="shared" si="4"/>
        <v>46023</v>
      </c>
      <c r="E63" t="s">
        <v>8</v>
      </c>
      <c r="F63" t="str">
        <f t="shared" si="3"/>
        <v>HALL DESIGN Resultado</v>
      </c>
    </row>
    <row r="64" spans="1:6" x14ac:dyDescent="0.25">
      <c r="A64" t="s">
        <v>4</v>
      </c>
      <c r="B64" t="s">
        <v>47</v>
      </c>
      <c r="C64" s="27">
        <f t="shared" si="4"/>
        <v>46054</v>
      </c>
      <c r="E64" t="s">
        <v>8</v>
      </c>
      <c r="F64" t="str">
        <f t="shared" si="3"/>
        <v>HALL DESIGN Resultado</v>
      </c>
    </row>
    <row r="65" spans="1:9" x14ac:dyDescent="0.25">
      <c r="A65" t="s">
        <v>4</v>
      </c>
      <c r="B65" t="s">
        <v>47</v>
      </c>
      <c r="C65" s="27">
        <f t="shared" si="4"/>
        <v>46082</v>
      </c>
      <c r="E65" t="s">
        <v>8</v>
      </c>
      <c r="F65" t="str">
        <f t="shared" si="3"/>
        <v>HALL DESIGN Resultado</v>
      </c>
    </row>
    <row r="66" spans="1:9" x14ac:dyDescent="0.25">
      <c r="A66" t="s">
        <v>4</v>
      </c>
      <c r="B66" t="s">
        <v>47</v>
      </c>
      <c r="C66" s="27">
        <f t="shared" si="4"/>
        <v>46113</v>
      </c>
      <c r="E66" t="s">
        <v>8</v>
      </c>
      <c r="F66" t="str">
        <f t="shared" si="3"/>
        <v>HALL DESIGN Resultado</v>
      </c>
    </row>
    <row r="69" spans="1:9" x14ac:dyDescent="0.25">
      <c r="A69" t="s">
        <v>4</v>
      </c>
      <c r="B69" t="s">
        <v>48</v>
      </c>
      <c r="C69" s="27">
        <v>45170</v>
      </c>
      <c r="E69" t="s">
        <v>2</v>
      </c>
      <c r="F69" t="str">
        <f>A69&amp;" "&amp;B69</f>
        <v>HALL DESIGN Despesas ADM</v>
      </c>
      <c r="G69" s="29">
        <v>58347.72</v>
      </c>
      <c r="H69">
        <v>2246195.4800000004</v>
      </c>
      <c r="I69" s="30">
        <f>G69/H69</f>
        <v>2.5976243171854298E-2</v>
      </c>
    </row>
    <row r="70" spans="1:9" x14ac:dyDescent="0.25">
      <c r="A70" t="s">
        <v>4</v>
      </c>
      <c r="B70" t="s">
        <v>48</v>
      </c>
      <c r="C70" s="27">
        <v>45200</v>
      </c>
      <c r="E70" t="s">
        <v>2</v>
      </c>
      <c r="F70" t="str">
        <f t="shared" ref="F70:F100" si="5">A70&amp;" "&amp;B70</f>
        <v>HALL DESIGN Despesas ADM</v>
      </c>
      <c r="G70" s="29">
        <v>96382.45</v>
      </c>
      <c r="H70">
        <v>2166431.41</v>
      </c>
      <c r="I70" s="30">
        <f t="shared" ref="I70:I73" si="6">G70/H70</f>
        <v>4.4489038312087614E-2</v>
      </c>
    </row>
    <row r="71" spans="1:9" x14ac:dyDescent="0.25">
      <c r="A71" t="s">
        <v>4</v>
      </c>
      <c r="B71" t="s">
        <v>48</v>
      </c>
      <c r="C71" s="27">
        <v>45231</v>
      </c>
      <c r="E71" t="s">
        <v>2</v>
      </c>
      <c r="F71" t="str">
        <f t="shared" si="5"/>
        <v>HALL DESIGN Despesas ADM</v>
      </c>
      <c r="G71" s="29">
        <v>96730.39</v>
      </c>
      <c r="H71">
        <v>1954414.9099999997</v>
      </c>
      <c r="I71" s="30">
        <f t="shared" si="6"/>
        <v>4.9493272643934147E-2</v>
      </c>
    </row>
    <row r="72" spans="1:9" x14ac:dyDescent="0.25">
      <c r="A72" t="s">
        <v>4</v>
      </c>
      <c r="B72" t="s">
        <v>48</v>
      </c>
      <c r="C72" s="27">
        <v>45261</v>
      </c>
      <c r="E72" t="s">
        <v>2</v>
      </c>
      <c r="F72" t="str">
        <f t="shared" si="5"/>
        <v>HALL DESIGN Despesas ADM</v>
      </c>
      <c r="G72" s="29">
        <v>97200.11</v>
      </c>
      <c r="H72">
        <v>1979082.44</v>
      </c>
      <c r="I72" s="30">
        <f t="shared" si="6"/>
        <v>4.9113724641000805E-2</v>
      </c>
    </row>
    <row r="73" spans="1:9" x14ac:dyDescent="0.25">
      <c r="A73" t="s">
        <v>4</v>
      </c>
      <c r="B73" t="s">
        <v>48</v>
      </c>
      <c r="C73" s="27">
        <v>45292</v>
      </c>
      <c r="D73" s="26">
        <v>2.5976243171854298E-2</v>
      </c>
      <c r="E73" t="s">
        <v>2</v>
      </c>
      <c r="F73" t="str">
        <f t="shared" si="5"/>
        <v>HALL DESIGN Despesas ADM</v>
      </c>
      <c r="G73" s="29">
        <v>138632.12</v>
      </c>
      <c r="H73">
        <v>2179211.41</v>
      </c>
      <c r="I73" s="30">
        <f t="shared" si="6"/>
        <v>6.3615727856344131E-2</v>
      </c>
    </row>
    <row r="74" spans="1:9" x14ac:dyDescent="0.25">
      <c r="A74" t="s">
        <v>4</v>
      </c>
      <c r="B74" t="s">
        <v>48</v>
      </c>
      <c r="C74" s="27">
        <v>45323</v>
      </c>
      <c r="D74" s="26">
        <v>4.4489038312087614E-2</v>
      </c>
      <c r="E74" t="s">
        <v>1</v>
      </c>
      <c r="F74" t="str">
        <f t="shared" si="5"/>
        <v>HALL DESIGN Despesas ADM</v>
      </c>
    </row>
    <row r="75" spans="1:9" x14ac:dyDescent="0.25">
      <c r="A75" t="s">
        <v>4</v>
      </c>
      <c r="B75" t="s">
        <v>48</v>
      </c>
      <c r="C75" s="27">
        <v>45352</v>
      </c>
      <c r="D75" s="26">
        <v>4.9493272643934147E-2</v>
      </c>
      <c r="E75" t="s">
        <v>1</v>
      </c>
      <c r="F75" t="str">
        <f t="shared" si="5"/>
        <v>HALL DESIGN Despesas ADM</v>
      </c>
    </row>
    <row r="76" spans="1:9" x14ac:dyDescent="0.25">
      <c r="A76" t="s">
        <v>4</v>
      </c>
      <c r="B76" t="s">
        <v>48</v>
      </c>
      <c r="C76" s="27">
        <v>45383</v>
      </c>
      <c r="D76" s="26">
        <v>4.9113724641000805E-2</v>
      </c>
      <c r="E76" t="s">
        <v>1</v>
      </c>
      <c r="F76" t="str">
        <f t="shared" si="5"/>
        <v>HALL DESIGN Despesas ADM</v>
      </c>
    </row>
    <row r="77" spans="1:9" x14ac:dyDescent="0.25">
      <c r="A77" t="s">
        <v>4</v>
      </c>
      <c r="B77" t="s">
        <v>48</v>
      </c>
      <c r="C77" s="27">
        <v>45413</v>
      </c>
      <c r="D77" s="26">
        <v>6.3615727856344131E-2</v>
      </c>
      <c r="E77" t="s">
        <v>1</v>
      </c>
      <c r="F77" t="str">
        <f t="shared" si="5"/>
        <v>HALL DESIGN Despesas ADM</v>
      </c>
    </row>
    <row r="78" spans="1:9" x14ac:dyDescent="0.25">
      <c r="A78" t="s">
        <v>4</v>
      </c>
      <c r="B78" t="s">
        <v>48</v>
      </c>
      <c r="C78" s="27">
        <v>45444</v>
      </c>
      <c r="D78" s="28"/>
      <c r="E78" t="s">
        <v>1</v>
      </c>
      <c r="F78" t="str">
        <f t="shared" si="5"/>
        <v>HALL DESIGN Despesas ADM</v>
      </c>
    </row>
    <row r="79" spans="1:9" x14ac:dyDescent="0.25">
      <c r="A79" t="s">
        <v>4</v>
      </c>
      <c r="B79" t="s">
        <v>48</v>
      </c>
      <c r="C79" s="27">
        <v>45474</v>
      </c>
      <c r="D79" s="28"/>
      <c r="E79" t="s">
        <v>1</v>
      </c>
      <c r="F79" t="str">
        <f t="shared" si="5"/>
        <v>HALL DESIGN Despesas ADM</v>
      </c>
    </row>
    <row r="80" spans="1:9" x14ac:dyDescent="0.25">
      <c r="A80" t="s">
        <v>4</v>
      </c>
      <c r="B80" t="s">
        <v>48</v>
      </c>
      <c r="C80" s="27">
        <v>45505</v>
      </c>
      <c r="D80" s="28"/>
      <c r="E80" t="s">
        <v>1</v>
      </c>
      <c r="F80" t="str">
        <f t="shared" si="5"/>
        <v>HALL DESIGN Despesas ADM</v>
      </c>
    </row>
    <row r="81" spans="1:6" x14ac:dyDescent="0.25">
      <c r="A81" t="s">
        <v>4</v>
      </c>
      <c r="B81" t="s">
        <v>48</v>
      </c>
      <c r="C81" s="27">
        <v>45536</v>
      </c>
      <c r="D81" s="28"/>
      <c r="E81" t="s">
        <v>1</v>
      </c>
      <c r="F81" t="str">
        <f t="shared" si="5"/>
        <v>HALL DESIGN Despesas ADM</v>
      </c>
    </row>
    <row r="82" spans="1:6" x14ac:dyDescent="0.25">
      <c r="A82" t="s">
        <v>4</v>
      </c>
      <c r="B82" t="s">
        <v>48</v>
      </c>
      <c r="C82" s="27">
        <v>45566</v>
      </c>
      <c r="D82" s="28"/>
      <c r="E82" t="s">
        <v>1</v>
      </c>
      <c r="F82" t="str">
        <f t="shared" si="5"/>
        <v>HALL DESIGN Despesas ADM</v>
      </c>
    </row>
    <row r="83" spans="1:6" x14ac:dyDescent="0.25">
      <c r="A83" t="s">
        <v>4</v>
      </c>
      <c r="B83" t="s">
        <v>48</v>
      </c>
      <c r="C83" s="27">
        <v>45597</v>
      </c>
      <c r="D83" s="28"/>
      <c r="E83" t="s">
        <v>1</v>
      </c>
      <c r="F83" t="str">
        <f t="shared" si="5"/>
        <v>HALL DESIGN Despesas ADM</v>
      </c>
    </row>
    <row r="84" spans="1:6" x14ac:dyDescent="0.25">
      <c r="A84" t="s">
        <v>4</v>
      </c>
      <c r="B84" t="s">
        <v>48</v>
      </c>
      <c r="C84" s="27">
        <v>45627</v>
      </c>
      <c r="D84" s="28"/>
      <c r="E84" t="s">
        <v>1</v>
      </c>
      <c r="F84" t="str">
        <f t="shared" si="5"/>
        <v>HALL DESIGN Despesas ADM</v>
      </c>
    </row>
    <row r="85" spans="1:6" x14ac:dyDescent="0.25">
      <c r="A85" t="s">
        <v>4</v>
      </c>
      <c r="B85" t="s">
        <v>48</v>
      </c>
      <c r="C85" s="27">
        <v>45658</v>
      </c>
      <c r="D85" s="28"/>
      <c r="E85" t="s">
        <v>1</v>
      </c>
      <c r="F85" t="str">
        <f t="shared" si="5"/>
        <v>HALL DESIGN Despesas ADM</v>
      </c>
    </row>
    <row r="86" spans="1:6" x14ac:dyDescent="0.25">
      <c r="A86" t="s">
        <v>4</v>
      </c>
      <c r="B86" t="s">
        <v>48</v>
      </c>
      <c r="C86" s="27">
        <v>45689</v>
      </c>
      <c r="D86" s="28"/>
      <c r="E86" t="s">
        <v>1</v>
      </c>
      <c r="F86" t="str">
        <f t="shared" si="5"/>
        <v>HALL DESIGN Despesas ADM</v>
      </c>
    </row>
    <row r="87" spans="1:6" x14ac:dyDescent="0.25">
      <c r="A87" t="s">
        <v>4</v>
      </c>
      <c r="B87" t="s">
        <v>48</v>
      </c>
      <c r="C87" s="27">
        <v>45717</v>
      </c>
      <c r="D87" s="28"/>
      <c r="E87" t="s">
        <v>1</v>
      </c>
      <c r="F87" t="str">
        <f t="shared" si="5"/>
        <v>HALL DESIGN Despesas ADM</v>
      </c>
    </row>
    <row r="88" spans="1:6" x14ac:dyDescent="0.25">
      <c r="A88" t="s">
        <v>4</v>
      </c>
      <c r="B88" t="s">
        <v>48</v>
      </c>
      <c r="C88" s="27">
        <v>45748</v>
      </c>
      <c r="D88" s="28"/>
      <c r="E88" t="s">
        <v>1</v>
      </c>
      <c r="F88" t="str">
        <f t="shared" si="5"/>
        <v>HALL DESIGN Despesas ADM</v>
      </c>
    </row>
    <row r="89" spans="1:6" x14ac:dyDescent="0.25">
      <c r="A89" t="s">
        <v>4</v>
      </c>
      <c r="B89" t="s">
        <v>48</v>
      </c>
      <c r="C89" s="27">
        <v>45778</v>
      </c>
      <c r="D89" s="28"/>
      <c r="E89" t="s">
        <v>1</v>
      </c>
      <c r="F89" t="str">
        <f t="shared" si="5"/>
        <v>HALL DESIGN Despesas ADM</v>
      </c>
    </row>
    <row r="90" spans="1:6" x14ac:dyDescent="0.25">
      <c r="A90" t="s">
        <v>4</v>
      </c>
      <c r="B90" t="s">
        <v>48</v>
      </c>
      <c r="C90" s="27">
        <v>45809</v>
      </c>
      <c r="D90" s="28"/>
      <c r="E90" t="s">
        <v>1</v>
      </c>
      <c r="F90" t="str">
        <f t="shared" si="5"/>
        <v>HALL DESIGN Despesas ADM</v>
      </c>
    </row>
    <row r="91" spans="1:6" x14ac:dyDescent="0.25">
      <c r="A91" t="s">
        <v>4</v>
      </c>
      <c r="B91" t="s">
        <v>48</v>
      </c>
      <c r="C91" s="27">
        <v>45839</v>
      </c>
      <c r="D91" s="28"/>
      <c r="E91" t="s">
        <v>1</v>
      </c>
      <c r="F91" t="str">
        <f t="shared" si="5"/>
        <v>HALL DESIGN Despesas ADM</v>
      </c>
    </row>
    <row r="92" spans="1:6" x14ac:dyDescent="0.25">
      <c r="A92" t="s">
        <v>4</v>
      </c>
      <c r="B92" t="s">
        <v>48</v>
      </c>
      <c r="C92" s="27">
        <v>45870</v>
      </c>
      <c r="D92" s="28"/>
      <c r="E92" t="s">
        <v>1</v>
      </c>
      <c r="F92" t="str">
        <f t="shared" si="5"/>
        <v>HALL DESIGN Despesas ADM</v>
      </c>
    </row>
    <row r="93" spans="1:6" x14ac:dyDescent="0.25">
      <c r="A93" t="s">
        <v>4</v>
      </c>
      <c r="B93" t="s">
        <v>48</v>
      </c>
      <c r="C93" s="27">
        <f>EDATE(C92,1)</f>
        <v>45901</v>
      </c>
      <c r="D93" s="28"/>
      <c r="E93" t="s">
        <v>1</v>
      </c>
      <c r="F93" t="str">
        <f t="shared" si="5"/>
        <v>HALL DESIGN Despesas ADM</v>
      </c>
    </row>
    <row r="94" spans="1:6" x14ac:dyDescent="0.25">
      <c r="A94" t="s">
        <v>4</v>
      </c>
      <c r="B94" t="s">
        <v>48</v>
      </c>
      <c r="C94" s="27">
        <f t="shared" ref="C94:C100" si="7">EDATE(C93,1)</f>
        <v>45931</v>
      </c>
      <c r="D94" s="28"/>
      <c r="E94" t="s">
        <v>1</v>
      </c>
      <c r="F94" t="str">
        <f t="shared" si="5"/>
        <v>HALL DESIGN Despesas ADM</v>
      </c>
    </row>
    <row r="95" spans="1:6" x14ac:dyDescent="0.25">
      <c r="A95" t="s">
        <v>4</v>
      </c>
      <c r="B95" t="s">
        <v>48</v>
      </c>
      <c r="C95" s="27">
        <f t="shared" si="7"/>
        <v>45962</v>
      </c>
      <c r="D95" s="28"/>
      <c r="E95" t="s">
        <v>1</v>
      </c>
      <c r="F95" t="str">
        <f t="shared" si="5"/>
        <v>HALL DESIGN Despesas ADM</v>
      </c>
    </row>
    <row r="96" spans="1:6" x14ac:dyDescent="0.25">
      <c r="A96" t="s">
        <v>4</v>
      </c>
      <c r="B96" t="s">
        <v>48</v>
      </c>
      <c r="C96" s="27">
        <f t="shared" si="7"/>
        <v>45992</v>
      </c>
      <c r="D96" s="28"/>
      <c r="E96" t="s">
        <v>1</v>
      </c>
      <c r="F96" t="str">
        <f t="shared" si="5"/>
        <v>HALL DESIGN Despesas ADM</v>
      </c>
    </row>
    <row r="97" spans="1:6" x14ac:dyDescent="0.25">
      <c r="A97" t="s">
        <v>4</v>
      </c>
      <c r="B97" t="s">
        <v>48</v>
      </c>
      <c r="C97" s="27">
        <f t="shared" si="7"/>
        <v>46023</v>
      </c>
      <c r="D97" s="28"/>
      <c r="E97" t="s">
        <v>1</v>
      </c>
      <c r="F97" t="str">
        <f t="shared" si="5"/>
        <v>HALL DESIGN Despesas ADM</v>
      </c>
    </row>
    <row r="98" spans="1:6" x14ac:dyDescent="0.25">
      <c r="A98" t="s">
        <v>4</v>
      </c>
      <c r="B98" t="s">
        <v>48</v>
      </c>
      <c r="C98" s="27">
        <f t="shared" si="7"/>
        <v>46054</v>
      </c>
      <c r="D98" s="28"/>
      <c r="E98" t="s">
        <v>1</v>
      </c>
      <c r="F98" t="str">
        <f t="shared" si="5"/>
        <v>HALL DESIGN Despesas ADM</v>
      </c>
    </row>
    <row r="99" spans="1:6" x14ac:dyDescent="0.25">
      <c r="A99" t="s">
        <v>4</v>
      </c>
      <c r="B99" t="s">
        <v>48</v>
      </c>
      <c r="C99" s="27">
        <f t="shared" si="7"/>
        <v>46082</v>
      </c>
      <c r="D99" s="28"/>
      <c r="E99" t="s">
        <v>1</v>
      </c>
      <c r="F99" t="str">
        <f t="shared" si="5"/>
        <v>HALL DESIGN Despesas ADM</v>
      </c>
    </row>
    <row r="100" spans="1:6" x14ac:dyDescent="0.25">
      <c r="A100" t="s">
        <v>4</v>
      </c>
      <c r="B100" t="s">
        <v>48</v>
      </c>
      <c r="C100" s="27">
        <f t="shared" si="7"/>
        <v>46113</v>
      </c>
      <c r="D100" s="28"/>
      <c r="E100" t="s">
        <v>1</v>
      </c>
      <c r="F100" t="str">
        <f t="shared" si="5"/>
        <v>HALL DESIGN Despesas ADM</v>
      </c>
    </row>
    <row r="101" spans="1:6" ht="15.75" customHeight="1" x14ac:dyDescent="0.25"/>
    <row r="103" spans="1:6" x14ac:dyDescent="0.25">
      <c r="A103" t="s">
        <v>4</v>
      </c>
      <c r="B103" t="s">
        <v>50</v>
      </c>
      <c r="C103" s="27">
        <v>45170</v>
      </c>
      <c r="D103" s="28"/>
      <c r="E103" t="s">
        <v>8</v>
      </c>
      <c r="F103" t="str">
        <f>A103&amp;" "&amp;B103</f>
        <v>HALL DESIGN % Receita liquida geral</v>
      </c>
    </row>
    <row r="104" spans="1:6" x14ac:dyDescent="0.25">
      <c r="A104" t="s">
        <v>4</v>
      </c>
      <c r="B104" t="s">
        <v>50</v>
      </c>
      <c r="C104" s="27">
        <v>45200</v>
      </c>
      <c r="D104" s="28"/>
      <c r="E104" t="s">
        <v>8</v>
      </c>
      <c r="F104" t="str">
        <f t="shared" ref="F104:F134" si="8">A104&amp;" "&amp;B104</f>
        <v>HALL DESIGN % Receita liquida geral</v>
      </c>
    </row>
    <row r="105" spans="1:6" x14ac:dyDescent="0.25">
      <c r="A105" t="s">
        <v>4</v>
      </c>
      <c r="B105" t="s">
        <v>50</v>
      </c>
      <c r="C105" s="27">
        <v>45231</v>
      </c>
      <c r="D105" s="28"/>
      <c r="E105" t="s">
        <v>8</v>
      </c>
      <c r="F105" t="str">
        <f t="shared" si="8"/>
        <v>HALL DESIGN % Receita liquida geral</v>
      </c>
    </row>
    <row r="106" spans="1:6" x14ac:dyDescent="0.25">
      <c r="A106" t="s">
        <v>4</v>
      </c>
      <c r="B106" t="s">
        <v>50</v>
      </c>
      <c r="C106" s="27">
        <v>45261</v>
      </c>
      <c r="D106" s="28"/>
      <c r="E106" t="s">
        <v>8</v>
      </c>
      <c r="F106" t="str">
        <f t="shared" si="8"/>
        <v>HALL DESIGN % Receita liquida geral</v>
      </c>
    </row>
    <row r="107" spans="1:6" x14ac:dyDescent="0.25">
      <c r="A107" t="s">
        <v>4</v>
      </c>
      <c r="B107" t="s">
        <v>50</v>
      </c>
      <c r="C107" s="27">
        <v>45292</v>
      </c>
      <c r="D107" s="28"/>
      <c r="E107" t="s">
        <v>8</v>
      </c>
      <c r="F107" t="str">
        <f t="shared" si="8"/>
        <v>HALL DESIGN % Receita liquida geral</v>
      </c>
    </row>
    <row r="108" spans="1:6" x14ac:dyDescent="0.25">
      <c r="A108" t="s">
        <v>4</v>
      </c>
      <c r="B108" t="s">
        <v>50</v>
      </c>
      <c r="C108" s="27">
        <v>45323</v>
      </c>
      <c r="D108" s="28"/>
      <c r="E108" t="s">
        <v>8</v>
      </c>
      <c r="F108" t="str">
        <f t="shared" si="8"/>
        <v>HALL DESIGN % Receita liquida geral</v>
      </c>
    </row>
    <row r="109" spans="1:6" x14ac:dyDescent="0.25">
      <c r="A109" t="s">
        <v>4</v>
      </c>
      <c r="B109" t="s">
        <v>50</v>
      </c>
      <c r="C109" s="27">
        <v>45352</v>
      </c>
      <c r="D109" s="28"/>
      <c r="E109" t="s">
        <v>8</v>
      </c>
      <c r="F109" t="str">
        <f t="shared" si="8"/>
        <v>HALL DESIGN % Receita liquida geral</v>
      </c>
    </row>
    <row r="110" spans="1:6" x14ac:dyDescent="0.25">
      <c r="A110" t="s">
        <v>4</v>
      </c>
      <c r="B110" t="s">
        <v>50</v>
      </c>
      <c r="C110" s="27">
        <v>45383</v>
      </c>
      <c r="D110" s="28"/>
      <c r="E110" t="s">
        <v>8</v>
      </c>
      <c r="F110" t="str">
        <f t="shared" si="8"/>
        <v>HALL DESIGN % Receita liquida geral</v>
      </c>
    </row>
    <row r="111" spans="1:6" x14ac:dyDescent="0.25">
      <c r="A111" t="s">
        <v>4</v>
      </c>
      <c r="B111" t="s">
        <v>50</v>
      </c>
      <c r="C111" s="27">
        <v>45413</v>
      </c>
      <c r="D111" s="28"/>
      <c r="E111" t="s">
        <v>8</v>
      </c>
      <c r="F111" t="str">
        <f t="shared" si="8"/>
        <v>HALL DESIGN % Receita liquida geral</v>
      </c>
    </row>
    <row r="112" spans="1:6" x14ac:dyDescent="0.25">
      <c r="A112" t="s">
        <v>4</v>
      </c>
      <c r="B112" t="s">
        <v>50</v>
      </c>
      <c r="C112" s="27">
        <v>45444</v>
      </c>
      <c r="D112" s="28"/>
      <c r="E112" t="s">
        <v>8</v>
      </c>
      <c r="F112" t="str">
        <f t="shared" si="8"/>
        <v>HALL DESIGN % Receita liquida geral</v>
      </c>
    </row>
    <row r="113" spans="1:6" x14ac:dyDescent="0.25">
      <c r="A113" t="s">
        <v>4</v>
      </c>
      <c r="B113" t="s">
        <v>50</v>
      </c>
      <c r="C113" s="27">
        <v>45474</v>
      </c>
      <c r="D113" s="28"/>
      <c r="E113" t="s">
        <v>8</v>
      </c>
      <c r="F113" t="str">
        <f t="shared" si="8"/>
        <v>HALL DESIGN % Receita liquida geral</v>
      </c>
    </row>
    <row r="114" spans="1:6" x14ac:dyDescent="0.25">
      <c r="A114" t="s">
        <v>4</v>
      </c>
      <c r="B114" t="s">
        <v>50</v>
      </c>
      <c r="C114" s="27">
        <v>45505</v>
      </c>
      <c r="D114" s="28"/>
      <c r="E114" t="s">
        <v>8</v>
      </c>
      <c r="F114" t="str">
        <f t="shared" si="8"/>
        <v>HALL DESIGN % Receita liquida geral</v>
      </c>
    </row>
    <row r="115" spans="1:6" x14ac:dyDescent="0.25">
      <c r="A115" t="s">
        <v>4</v>
      </c>
      <c r="B115" t="s">
        <v>50</v>
      </c>
      <c r="C115" s="27">
        <v>45536</v>
      </c>
      <c r="D115" s="28"/>
      <c r="E115" t="s">
        <v>8</v>
      </c>
      <c r="F115" t="str">
        <f t="shared" si="8"/>
        <v>HALL DESIGN % Receita liquida geral</v>
      </c>
    </row>
    <row r="116" spans="1:6" x14ac:dyDescent="0.25">
      <c r="A116" t="s">
        <v>4</v>
      </c>
      <c r="B116" t="s">
        <v>50</v>
      </c>
      <c r="C116" s="27">
        <v>45566</v>
      </c>
      <c r="D116" s="28"/>
      <c r="E116" t="s">
        <v>8</v>
      </c>
      <c r="F116" t="str">
        <f t="shared" si="8"/>
        <v>HALL DESIGN % Receita liquida geral</v>
      </c>
    </row>
    <row r="117" spans="1:6" x14ac:dyDescent="0.25">
      <c r="A117" t="s">
        <v>4</v>
      </c>
      <c r="B117" t="s">
        <v>50</v>
      </c>
      <c r="C117" s="27">
        <v>45597</v>
      </c>
      <c r="D117" s="28"/>
      <c r="E117" t="s">
        <v>8</v>
      </c>
      <c r="F117" t="str">
        <f t="shared" si="8"/>
        <v>HALL DESIGN % Receita liquida geral</v>
      </c>
    </row>
    <row r="118" spans="1:6" x14ac:dyDescent="0.25">
      <c r="A118" t="s">
        <v>4</v>
      </c>
      <c r="B118" t="s">
        <v>50</v>
      </c>
      <c r="C118" s="27">
        <v>45627</v>
      </c>
      <c r="D118" s="28"/>
      <c r="E118" t="s">
        <v>8</v>
      </c>
      <c r="F118" t="str">
        <f t="shared" si="8"/>
        <v>HALL DESIGN % Receita liquida geral</v>
      </c>
    </row>
    <row r="119" spans="1:6" x14ac:dyDescent="0.25">
      <c r="A119" t="s">
        <v>4</v>
      </c>
      <c r="B119" t="s">
        <v>50</v>
      </c>
      <c r="C119" s="27">
        <v>45658</v>
      </c>
      <c r="D119" s="28"/>
      <c r="E119" t="s">
        <v>8</v>
      </c>
      <c r="F119" t="str">
        <f t="shared" si="8"/>
        <v>HALL DESIGN % Receita liquida geral</v>
      </c>
    </row>
    <row r="120" spans="1:6" x14ac:dyDescent="0.25">
      <c r="A120" t="s">
        <v>4</v>
      </c>
      <c r="B120" t="s">
        <v>50</v>
      </c>
      <c r="C120" s="27">
        <v>45689</v>
      </c>
      <c r="D120" s="28"/>
      <c r="E120" t="s">
        <v>8</v>
      </c>
      <c r="F120" t="str">
        <f t="shared" si="8"/>
        <v>HALL DESIGN % Receita liquida geral</v>
      </c>
    </row>
    <row r="121" spans="1:6" x14ac:dyDescent="0.25">
      <c r="A121" t="s">
        <v>4</v>
      </c>
      <c r="B121" t="s">
        <v>50</v>
      </c>
      <c r="C121" s="27">
        <v>45717</v>
      </c>
      <c r="D121" s="28"/>
      <c r="E121" t="s">
        <v>8</v>
      </c>
      <c r="F121" t="str">
        <f t="shared" si="8"/>
        <v>HALL DESIGN % Receita liquida geral</v>
      </c>
    </row>
    <row r="122" spans="1:6" x14ac:dyDescent="0.25">
      <c r="A122" t="s">
        <v>4</v>
      </c>
      <c r="B122" t="s">
        <v>50</v>
      </c>
      <c r="C122" s="27">
        <v>45748</v>
      </c>
      <c r="D122" s="28"/>
      <c r="E122" t="s">
        <v>8</v>
      </c>
      <c r="F122" t="str">
        <f t="shared" si="8"/>
        <v>HALL DESIGN % Receita liquida geral</v>
      </c>
    </row>
    <row r="123" spans="1:6" x14ac:dyDescent="0.25">
      <c r="A123" t="s">
        <v>4</v>
      </c>
      <c r="B123" t="s">
        <v>50</v>
      </c>
      <c r="C123" s="27">
        <v>45778</v>
      </c>
      <c r="D123" s="28"/>
      <c r="E123" t="s">
        <v>8</v>
      </c>
      <c r="F123" t="str">
        <f t="shared" si="8"/>
        <v>HALL DESIGN % Receita liquida geral</v>
      </c>
    </row>
    <row r="124" spans="1:6" x14ac:dyDescent="0.25">
      <c r="A124" t="s">
        <v>4</v>
      </c>
      <c r="B124" t="s">
        <v>50</v>
      </c>
      <c r="C124" s="27">
        <v>45809</v>
      </c>
      <c r="D124" s="28"/>
      <c r="E124" t="s">
        <v>8</v>
      </c>
      <c r="F124" t="str">
        <f t="shared" si="8"/>
        <v>HALL DESIGN % Receita liquida geral</v>
      </c>
    </row>
    <row r="125" spans="1:6" x14ac:dyDescent="0.25">
      <c r="A125" t="s">
        <v>4</v>
      </c>
      <c r="B125" t="s">
        <v>50</v>
      </c>
      <c r="C125" s="27">
        <v>45839</v>
      </c>
      <c r="D125" s="28"/>
      <c r="E125" t="s">
        <v>8</v>
      </c>
      <c r="F125" t="str">
        <f t="shared" si="8"/>
        <v>HALL DESIGN % Receita liquida geral</v>
      </c>
    </row>
    <row r="126" spans="1:6" x14ac:dyDescent="0.25">
      <c r="A126" t="s">
        <v>4</v>
      </c>
      <c r="B126" t="s">
        <v>50</v>
      </c>
      <c r="C126" s="27">
        <v>45870</v>
      </c>
      <c r="D126" s="28"/>
      <c r="E126" t="s">
        <v>8</v>
      </c>
      <c r="F126" t="str">
        <f t="shared" si="8"/>
        <v>HALL DESIGN % Receita liquida geral</v>
      </c>
    </row>
    <row r="127" spans="1:6" x14ac:dyDescent="0.25">
      <c r="A127" t="s">
        <v>4</v>
      </c>
      <c r="B127" t="s">
        <v>50</v>
      </c>
      <c r="C127" s="27">
        <f>EDATE(C126,1)</f>
        <v>45901</v>
      </c>
      <c r="D127" s="28"/>
      <c r="E127" t="s">
        <v>1</v>
      </c>
      <c r="F127" t="str">
        <f t="shared" si="8"/>
        <v>HALL DESIGN % Receita liquida geral</v>
      </c>
    </row>
    <row r="128" spans="1:6" x14ac:dyDescent="0.25">
      <c r="A128" t="s">
        <v>4</v>
      </c>
      <c r="B128" t="s">
        <v>50</v>
      </c>
      <c r="C128" s="27">
        <f t="shared" ref="C128:C134" si="9">EDATE(C127,1)</f>
        <v>45931</v>
      </c>
      <c r="D128" s="28"/>
      <c r="E128" t="s">
        <v>1</v>
      </c>
      <c r="F128" t="str">
        <f t="shared" si="8"/>
        <v>HALL DESIGN % Receita liquida geral</v>
      </c>
    </row>
    <row r="129" spans="1:6" x14ac:dyDescent="0.25">
      <c r="A129" t="s">
        <v>4</v>
      </c>
      <c r="B129" t="s">
        <v>50</v>
      </c>
      <c r="C129" s="27">
        <f t="shared" si="9"/>
        <v>45962</v>
      </c>
      <c r="D129" s="28"/>
      <c r="E129" t="s">
        <v>1</v>
      </c>
      <c r="F129" t="str">
        <f t="shared" si="8"/>
        <v>HALL DESIGN % Receita liquida geral</v>
      </c>
    </row>
    <row r="130" spans="1:6" x14ac:dyDescent="0.25">
      <c r="A130" t="s">
        <v>4</v>
      </c>
      <c r="B130" t="s">
        <v>50</v>
      </c>
      <c r="C130" s="27">
        <f t="shared" si="9"/>
        <v>45992</v>
      </c>
      <c r="D130" s="28"/>
      <c r="E130" t="s">
        <v>1</v>
      </c>
      <c r="F130" t="str">
        <f t="shared" si="8"/>
        <v>HALL DESIGN % Receita liquida geral</v>
      </c>
    </row>
    <row r="131" spans="1:6" x14ac:dyDescent="0.25">
      <c r="A131" t="s">
        <v>4</v>
      </c>
      <c r="B131" t="s">
        <v>50</v>
      </c>
      <c r="C131" s="27">
        <f t="shared" si="9"/>
        <v>46023</v>
      </c>
      <c r="D131" s="28"/>
      <c r="E131" t="s">
        <v>1</v>
      </c>
      <c r="F131" t="str">
        <f t="shared" si="8"/>
        <v>HALL DESIGN % Receita liquida geral</v>
      </c>
    </row>
    <row r="132" spans="1:6" x14ac:dyDescent="0.25">
      <c r="A132" t="s">
        <v>4</v>
      </c>
      <c r="B132" t="s">
        <v>50</v>
      </c>
      <c r="C132" s="27">
        <f t="shared" si="9"/>
        <v>46054</v>
      </c>
      <c r="D132" s="28"/>
      <c r="E132" t="s">
        <v>1</v>
      </c>
      <c r="F132" t="str">
        <f t="shared" si="8"/>
        <v>HALL DESIGN % Receita liquida geral</v>
      </c>
    </row>
    <row r="133" spans="1:6" x14ac:dyDescent="0.25">
      <c r="A133" t="s">
        <v>4</v>
      </c>
      <c r="B133" t="s">
        <v>50</v>
      </c>
      <c r="C133" s="27">
        <f t="shared" si="9"/>
        <v>46082</v>
      </c>
      <c r="D133" s="28"/>
      <c r="E133" t="s">
        <v>1</v>
      </c>
      <c r="F133" t="str">
        <f t="shared" si="8"/>
        <v>HALL DESIGN % Receita liquida geral</v>
      </c>
    </row>
    <row r="134" spans="1:6" x14ac:dyDescent="0.25">
      <c r="A134" t="s">
        <v>4</v>
      </c>
      <c r="B134" t="s">
        <v>50</v>
      </c>
      <c r="C134" s="27">
        <f t="shared" si="9"/>
        <v>46113</v>
      </c>
      <c r="D134" s="28"/>
      <c r="E134" t="s">
        <v>1</v>
      </c>
      <c r="F134" t="str">
        <f t="shared" si="8"/>
        <v>HALL DESIGN % Receita liquida geral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48EA-C9CF-4199-AC21-3B599FE2C0B5}">
  <sheetPr codeName="Planilha4"/>
  <dimension ref="A1:S25"/>
  <sheetViews>
    <sheetView zoomScaleNormal="100" workbookViewId="0">
      <pane xSplit="1" topLeftCell="M1" activePane="topRight" state="frozen"/>
      <selection pane="topRight" activeCell="P14" sqref="P14"/>
    </sheetView>
  </sheetViews>
  <sheetFormatPr defaultRowHeight="15" x14ac:dyDescent="0.25"/>
  <cols>
    <col min="1" max="1" width="32" customWidth="1"/>
    <col min="2" max="3" width="15" customWidth="1"/>
    <col min="4" max="4" width="15.5703125" customWidth="1"/>
    <col min="5" max="5" width="20.140625" customWidth="1"/>
    <col min="6" max="6" width="15" customWidth="1"/>
    <col min="7" max="7" width="15.5703125" customWidth="1"/>
    <col min="8" max="8" width="15" customWidth="1"/>
    <col min="9" max="12" width="15.5703125" customWidth="1"/>
    <col min="13" max="13" width="25.85546875" customWidth="1"/>
    <col min="14" max="14" width="15" customWidth="1"/>
    <col min="15" max="15" width="42.85546875" customWidth="1"/>
    <col min="16" max="16" width="15.85546875" customWidth="1"/>
    <col min="17" max="17" width="15.42578125" customWidth="1"/>
    <col min="18" max="18" width="21.28515625" customWidth="1"/>
    <col min="19" max="19" width="9" customWidth="1"/>
  </cols>
  <sheetData>
    <row r="1" spans="1:19" ht="27" customHeight="1" thickBot="1" x14ac:dyDescent="0.3">
      <c r="A1" s="1" t="s">
        <v>9</v>
      </c>
      <c r="B1" s="2" t="s">
        <v>56</v>
      </c>
      <c r="C1" s="2" t="s">
        <v>10</v>
      </c>
      <c r="D1" s="2" t="s">
        <v>49</v>
      </c>
      <c r="E1" s="2" t="s">
        <v>73</v>
      </c>
      <c r="F1" s="2" t="s">
        <v>82</v>
      </c>
      <c r="G1" s="2" t="s">
        <v>74</v>
      </c>
      <c r="H1" s="2" t="s">
        <v>83</v>
      </c>
      <c r="I1" s="2" t="s">
        <v>41</v>
      </c>
      <c r="J1" s="2" t="s">
        <v>75</v>
      </c>
      <c r="K1" s="2" t="s">
        <v>86</v>
      </c>
      <c r="L1" s="2" t="s">
        <v>97</v>
      </c>
      <c r="M1" s="2" t="s">
        <v>72</v>
      </c>
      <c r="N1" s="2" t="s">
        <v>51</v>
      </c>
      <c r="O1" s="2" t="s">
        <v>11</v>
      </c>
      <c r="P1" s="2" t="s">
        <v>12</v>
      </c>
      <c r="Q1" s="2" t="s">
        <v>45</v>
      </c>
      <c r="R1" s="2" t="s">
        <v>13</v>
      </c>
      <c r="S1" s="3" t="s">
        <v>85</v>
      </c>
    </row>
    <row r="2" spans="1:19" ht="15.75" thickBot="1" x14ac:dyDescent="0.3">
      <c r="A2" s="45" t="s">
        <v>14</v>
      </c>
      <c r="B2" s="4">
        <v>44805</v>
      </c>
      <c r="C2" s="4">
        <f t="shared" ref="C2:C21" si="0">EDATE(B2,D2)-1</f>
        <v>45777</v>
      </c>
      <c r="D2" s="5">
        <v>32</v>
      </c>
      <c r="E2" s="34">
        <v>37</v>
      </c>
      <c r="F2" s="4">
        <f>EDATE($B2,E2)-1</f>
        <v>45930</v>
      </c>
      <c r="G2" s="5"/>
      <c r="H2" s="4">
        <f>EDATE($B2,G2)-1</f>
        <v>44804</v>
      </c>
      <c r="I2" s="5">
        <f>(E2-D2)*30</f>
        <v>150</v>
      </c>
      <c r="J2" s="31">
        <v>49776.481999999996</v>
      </c>
      <c r="K2" s="31">
        <v>30</v>
      </c>
      <c r="L2" s="31">
        <f>K2*J2</f>
        <v>1493294.46</v>
      </c>
      <c r="M2" s="35"/>
      <c r="N2" s="75">
        <v>0</v>
      </c>
      <c r="O2" s="6" t="s">
        <v>15</v>
      </c>
      <c r="P2" s="7">
        <v>3.3E-4</v>
      </c>
      <c r="Q2" s="54">
        <v>48156918.740000002</v>
      </c>
      <c r="R2" s="8">
        <f>I2*P2*Q2</f>
        <v>2383767.4776300001</v>
      </c>
      <c r="S2" s="9">
        <f>R2/Q2</f>
        <v>4.9500000000000002E-2</v>
      </c>
    </row>
    <row r="3" spans="1:19" ht="15.75" thickBot="1" x14ac:dyDescent="0.3">
      <c r="A3" s="46" t="s">
        <v>57</v>
      </c>
      <c r="B3" s="32">
        <v>44166</v>
      </c>
      <c r="C3" s="32">
        <f t="shared" si="0"/>
        <v>45230</v>
      </c>
      <c r="D3" s="31">
        <v>35</v>
      </c>
      <c r="E3" s="41">
        <v>39</v>
      </c>
      <c r="F3" s="4">
        <f t="shared" ref="F3:H25" si="1">EDATE($B3,E3)-1</f>
        <v>45351</v>
      </c>
      <c r="G3" s="31">
        <v>43</v>
      </c>
      <c r="H3" s="4">
        <f t="shared" si="1"/>
        <v>45473</v>
      </c>
      <c r="I3" s="5">
        <f t="shared" ref="I3:I23" si="2">(E3-D3)*30</f>
        <v>120</v>
      </c>
      <c r="J3">
        <v>68630.7</v>
      </c>
      <c r="K3" t="s">
        <v>88</v>
      </c>
      <c r="L3" s="31">
        <f>33*J3</f>
        <v>2264813.1</v>
      </c>
      <c r="M3" s="35"/>
      <c r="N3" s="75">
        <v>0</v>
      </c>
      <c r="O3" s="12" t="s">
        <v>21</v>
      </c>
      <c r="P3" s="7">
        <v>3.3E-4</v>
      </c>
      <c r="Q3" s="42">
        <v>59525244</v>
      </c>
      <c r="R3" s="8">
        <v>0</v>
      </c>
      <c r="S3" s="9">
        <f t="shared" ref="S3:S25" si="3">R3/Q3</f>
        <v>0</v>
      </c>
    </row>
    <row r="4" spans="1:19" ht="15.75" thickBot="1" x14ac:dyDescent="0.3">
      <c r="A4" s="47" t="s">
        <v>16</v>
      </c>
      <c r="B4" s="10">
        <v>45170</v>
      </c>
      <c r="C4" s="10">
        <f t="shared" si="0"/>
        <v>45777</v>
      </c>
      <c r="D4" s="11">
        <v>20</v>
      </c>
      <c r="E4" s="35">
        <v>27</v>
      </c>
      <c r="F4" s="4">
        <f t="shared" si="1"/>
        <v>45991</v>
      </c>
      <c r="G4" s="11">
        <v>28</v>
      </c>
      <c r="H4" s="4">
        <f t="shared" si="1"/>
        <v>46022</v>
      </c>
      <c r="I4" s="5">
        <f t="shared" si="2"/>
        <v>210</v>
      </c>
      <c r="J4" s="31">
        <v>57623.59</v>
      </c>
      <c r="K4" s="31">
        <v>24</v>
      </c>
      <c r="L4" s="31">
        <f t="shared" ref="L4:L25" si="4">K4*J4</f>
        <v>1382966.16</v>
      </c>
      <c r="M4" s="35"/>
      <c r="N4" s="75">
        <v>0</v>
      </c>
      <c r="O4" s="12" t="s">
        <v>81</v>
      </c>
      <c r="P4" s="13" t="s">
        <v>17</v>
      </c>
      <c r="Q4" s="38">
        <v>19331059</v>
      </c>
      <c r="R4" s="8">
        <v>0</v>
      </c>
      <c r="S4" s="9">
        <f t="shared" si="3"/>
        <v>0</v>
      </c>
    </row>
    <row r="5" spans="1:19" ht="15.75" thickBot="1" x14ac:dyDescent="0.3">
      <c r="A5" s="47" t="s">
        <v>76</v>
      </c>
      <c r="B5" s="10">
        <v>45170</v>
      </c>
      <c r="C5" s="10">
        <f t="shared" si="0"/>
        <v>45900</v>
      </c>
      <c r="D5" s="11">
        <v>24</v>
      </c>
      <c r="E5" s="35">
        <v>34</v>
      </c>
      <c r="F5" s="4">
        <f t="shared" si="1"/>
        <v>46203</v>
      </c>
      <c r="G5" s="11"/>
      <c r="H5" s="4">
        <f t="shared" si="1"/>
        <v>45169</v>
      </c>
      <c r="I5" s="5">
        <f t="shared" si="2"/>
        <v>300</v>
      </c>
      <c r="J5" s="31">
        <v>67040.736666666664</v>
      </c>
      <c r="K5" s="31">
        <v>24</v>
      </c>
      <c r="L5" s="31">
        <f t="shared" si="4"/>
        <v>1608977.68</v>
      </c>
      <c r="M5" s="35"/>
      <c r="N5" s="75">
        <v>0</v>
      </c>
      <c r="O5" s="12" t="s">
        <v>18</v>
      </c>
      <c r="P5" s="15">
        <v>3.3E-4</v>
      </c>
      <c r="Q5" s="38">
        <v>30874919.829999998</v>
      </c>
      <c r="R5" s="8">
        <f>Q5*0.05</f>
        <v>1543745.9915</v>
      </c>
      <c r="S5" s="9">
        <f t="shared" si="3"/>
        <v>0.05</v>
      </c>
    </row>
    <row r="6" spans="1:19" ht="15.75" thickBot="1" x14ac:dyDescent="0.3">
      <c r="A6" s="47" t="s">
        <v>77</v>
      </c>
      <c r="B6" s="10">
        <v>45301</v>
      </c>
      <c r="C6" s="10">
        <f t="shared" si="0"/>
        <v>46577</v>
      </c>
      <c r="D6" s="11">
        <v>42</v>
      </c>
      <c r="E6" s="35">
        <v>46</v>
      </c>
      <c r="F6" s="4">
        <f t="shared" si="1"/>
        <v>46700</v>
      </c>
      <c r="G6" s="11"/>
      <c r="H6" s="4">
        <f t="shared" si="1"/>
        <v>45300</v>
      </c>
      <c r="I6" s="5">
        <f t="shared" si="2"/>
        <v>120</v>
      </c>
      <c r="J6" s="31">
        <v>189984.66261904765</v>
      </c>
      <c r="K6" s="31">
        <v>46</v>
      </c>
      <c r="L6" s="31">
        <f t="shared" si="4"/>
        <v>8739294.4804761913</v>
      </c>
      <c r="M6" s="35"/>
      <c r="N6" s="75">
        <v>0</v>
      </c>
      <c r="O6" s="12" t="s">
        <v>19</v>
      </c>
      <c r="P6" s="15">
        <v>3.3E-4</v>
      </c>
      <c r="Q6" s="38">
        <v>150327077.33000001</v>
      </c>
      <c r="R6" s="8">
        <f>I6*P6*Q6</f>
        <v>5952952.2622680003</v>
      </c>
      <c r="S6" s="9">
        <f t="shared" si="3"/>
        <v>3.9599999999999996E-2</v>
      </c>
    </row>
    <row r="7" spans="1:19" ht="15.75" thickBot="1" x14ac:dyDescent="0.3">
      <c r="A7" s="47" t="s">
        <v>20</v>
      </c>
      <c r="B7" s="10">
        <v>44470</v>
      </c>
      <c r="C7" s="10">
        <f t="shared" si="0"/>
        <v>45322</v>
      </c>
      <c r="D7" s="11">
        <v>28</v>
      </c>
      <c r="E7" s="35">
        <v>33</v>
      </c>
      <c r="F7" s="4">
        <f t="shared" si="1"/>
        <v>45473</v>
      </c>
      <c r="G7" s="11">
        <v>34</v>
      </c>
      <c r="H7" s="4">
        <f t="shared" si="1"/>
        <v>45504</v>
      </c>
      <c r="I7" s="5">
        <f t="shared" si="2"/>
        <v>150</v>
      </c>
      <c r="J7" s="31">
        <v>42636.509999999995</v>
      </c>
      <c r="K7" s="31">
        <v>26</v>
      </c>
      <c r="L7" s="31">
        <f t="shared" si="4"/>
        <v>1108549.2599999998</v>
      </c>
      <c r="M7" s="35"/>
      <c r="N7" s="75">
        <v>0</v>
      </c>
      <c r="O7" s="12" t="s">
        <v>21</v>
      </c>
      <c r="P7" s="15">
        <v>3.3E-4</v>
      </c>
      <c r="Q7" s="38">
        <v>39854406</v>
      </c>
      <c r="R7" s="8">
        <v>0</v>
      </c>
      <c r="S7" s="9">
        <f t="shared" si="3"/>
        <v>0</v>
      </c>
    </row>
    <row r="8" spans="1:19" ht="15.75" thickBot="1" x14ac:dyDescent="0.3">
      <c r="A8" s="47" t="s">
        <v>22</v>
      </c>
      <c r="B8" s="10">
        <v>44682</v>
      </c>
      <c r="C8" s="10">
        <f t="shared" si="0"/>
        <v>45504</v>
      </c>
      <c r="D8" s="11">
        <v>27</v>
      </c>
      <c r="E8" s="35">
        <v>33</v>
      </c>
      <c r="F8" s="4">
        <f t="shared" si="1"/>
        <v>45688</v>
      </c>
      <c r="G8" s="11">
        <v>38</v>
      </c>
      <c r="H8" s="4">
        <f t="shared" si="1"/>
        <v>45838</v>
      </c>
      <c r="I8" s="5">
        <f t="shared" si="2"/>
        <v>180</v>
      </c>
      <c r="J8" s="31">
        <v>71960.148148148146</v>
      </c>
      <c r="K8" s="31">
        <v>27</v>
      </c>
      <c r="L8" s="31">
        <f t="shared" si="4"/>
        <v>1942924</v>
      </c>
      <c r="M8" s="35"/>
      <c r="N8" s="75">
        <v>0</v>
      </c>
      <c r="O8" s="12" t="s">
        <v>21</v>
      </c>
      <c r="P8" s="15">
        <v>3.3E-4</v>
      </c>
      <c r="Q8" s="38">
        <v>62491370</v>
      </c>
      <c r="R8" s="8">
        <v>0</v>
      </c>
      <c r="S8" s="9">
        <f t="shared" si="3"/>
        <v>0</v>
      </c>
    </row>
    <row r="9" spans="1:19" ht="15.75" thickBot="1" x14ac:dyDescent="0.3">
      <c r="A9" s="47" t="s">
        <v>23</v>
      </c>
      <c r="B9" s="10">
        <v>44621</v>
      </c>
      <c r="C9" s="10">
        <f t="shared" si="0"/>
        <v>45412</v>
      </c>
      <c r="D9" s="11">
        <v>26</v>
      </c>
      <c r="E9" s="35">
        <v>34</v>
      </c>
      <c r="F9" s="4">
        <f t="shared" si="1"/>
        <v>45657</v>
      </c>
      <c r="G9" s="11">
        <v>39</v>
      </c>
      <c r="H9" s="4">
        <f t="shared" si="1"/>
        <v>45808</v>
      </c>
      <c r="I9" s="5">
        <f t="shared" si="2"/>
        <v>240</v>
      </c>
      <c r="J9" s="31">
        <v>65351.329999999994</v>
      </c>
      <c r="K9" s="31">
        <v>24</v>
      </c>
      <c r="L9" s="31">
        <f t="shared" si="4"/>
        <v>1568431.92</v>
      </c>
      <c r="M9" s="35"/>
      <c r="N9" s="75">
        <v>0</v>
      </c>
      <c r="O9" s="12" t="s">
        <v>21</v>
      </c>
      <c r="P9" s="15">
        <v>3.3E-4</v>
      </c>
      <c r="Q9" s="38">
        <v>45889672</v>
      </c>
      <c r="R9" s="8">
        <f>(I9-180)*P9*Q9</f>
        <v>908615.50559999992</v>
      </c>
      <c r="S9" s="9">
        <f t="shared" si="3"/>
        <v>1.9799999999999998E-2</v>
      </c>
    </row>
    <row r="10" spans="1:19" ht="15.75" thickBot="1" x14ac:dyDescent="0.3">
      <c r="A10" s="47" t="s">
        <v>24</v>
      </c>
      <c r="B10" s="10">
        <v>45139</v>
      </c>
      <c r="C10" s="10">
        <f t="shared" si="0"/>
        <v>45504</v>
      </c>
      <c r="D10" s="11">
        <v>12</v>
      </c>
      <c r="E10" s="35">
        <v>18</v>
      </c>
      <c r="F10" s="4">
        <f t="shared" si="1"/>
        <v>45688</v>
      </c>
      <c r="G10" s="11">
        <v>18</v>
      </c>
      <c r="H10" s="4">
        <f t="shared" si="1"/>
        <v>45688</v>
      </c>
      <c r="I10" s="5">
        <f t="shared" si="2"/>
        <v>180</v>
      </c>
      <c r="J10" s="31">
        <v>39906.74</v>
      </c>
      <c r="K10" s="31">
        <v>12</v>
      </c>
      <c r="L10" s="31">
        <f t="shared" si="4"/>
        <v>478880.88</v>
      </c>
      <c r="M10" s="35"/>
      <c r="N10" s="75">
        <v>0</v>
      </c>
      <c r="O10" s="12" t="s">
        <v>21</v>
      </c>
      <c r="P10" s="15">
        <v>3.3E-4</v>
      </c>
      <c r="Q10" s="38">
        <v>8442659</v>
      </c>
      <c r="R10" s="8">
        <v>0</v>
      </c>
      <c r="S10" s="9">
        <f t="shared" si="3"/>
        <v>0</v>
      </c>
    </row>
    <row r="11" spans="1:19" ht="15.75" thickBot="1" x14ac:dyDescent="0.3">
      <c r="A11" s="47" t="s">
        <v>25</v>
      </c>
      <c r="B11" s="10">
        <v>44805</v>
      </c>
      <c r="C11" s="10">
        <f t="shared" si="0"/>
        <v>45747</v>
      </c>
      <c r="D11" s="11">
        <v>31</v>
      </c>
      <c r="E11" s="35">
        <v>42</v>
      </c>
      <c r="F11" s="4">
        <f t="shared" si="1"/>
        <v>46081</v>
      </c>
      <c r="G11" s="11">
        <v>47</v>
      </c>
      <c r="H11" s="4">
        <f t="shared" si="1"/>
        <v>46234</v>
      </c>
      <c r="I11" s="5">
        <f t="shared" si="2"/>
        <v>330</v>
      </c>
      <c r="J11" s="76">
        <v>112914.29540540541</v>
      </c>
      <c r="K11" s="76">
        <v>37</v>
      </c>
      <c r="L11" s="31">
        <f t="shared" si="4"/>
        <v>4177828.93</v>
      </c>
      <c r="M11" s="35"/>
      <c r="N11" s="75" t="s">
        <v>84</v>
      </c>
      <c r="O11" s="12" t="s">
        <v>21</v>
      </c>
      <c r="P11" s="15">
        <v>3.3E-4</v>
      </c>
      <c r="Q11" s="38">
        <v>100802866</v>
      </c>
      <c r="R11" s="8">
        <f>(I11-180)*P11*Q11</f>
        <v>4989741.8670000006</v>
      </c>
      <c r="S11" s="9">
        <f t="shared" si="3"/>
        <v>4.9500000000000002E-2</v>
      </c>
    </row>
    <row r="12" spans="1:19" ht="15.75" thickBot="1" x14ac:dyDescent="0.3">
      <c r="A12" s="47" t="s">
        <v>26</v>
      </c>
      <c r="B12" s="10">
        <v>45047</v>
      </c>
      <c r="C12" s="10">
        <f t="shared" si="0"/>
        <v>46081</v>
      </c>
      <c r="D12" s="11">
        <v>34</v>
      </c>
      <c r="E12" s="35">
        <v>34</v>
      </c>
      <c r="F12" s="4">
        <f t="shared" si="1"/>
        <v>46081</v>
      </c>
      <c r="G12" s="11">
        <v>34</v>
      </c>
      <c r="H12" s="4">
        <f t="shared" si="1"/>
        <v>46081</v>
      </c>
      <c r="I12" s="5">
        <f t="shared" si="2"/>
        <v>0</v>
      </c>
      <c r="J12" s="31">
        <v>72429.599999999991</v>
      </c>
      <c r="K12" s="31">
        <v>34</v>
      </c>
      <c r="L12" s="31">
        <f t="shared" si="4"/>
        <v>2462606.4</v>
      </c>
      <c r="M12" s="35"/>
      <c r="N12" s="75" t="s">
        <v>84</v>
      </c>
      <c r="O12" s="12" t="s">
        <v>21</v>
      </c>
      <c r="P12" s="15">
        <v>3.3E-4</v>
      </c>
      <c r="Q12" s="38">
        <v>129823938</v>
      </c>
      <c r="R12" s="8">
        <f>I12*P12*Q12</f>
        <v>0</v>
      </c>
      <c r="S12" s="9">
        <f t="shared" si="3"/>
        <v>0</v>
      </c>
    </row>
    <row r="13" spans="1:19" ht="15.75" thickBot="1" x14ac:dyDescent="0.3">
      <c r="A13" s="47" t="s">
        <v>27</v>
      </c>
      <c r="B13" s="10">
        <v>45413</v>
      </c>
      <c r="C13" s="10">
        <f t="shared" si="0"/>
        <v>46691</v>
      </c>
      <c r="D13" s="11">
        <v>42</v>
      </c>
      <c r="E13" s="35">
        <v>42</v>
      </c>
      <c r="F13" s="4">
        <f t="shared" si="1"/>
        <v>46691</v>
      </c>
      <c r="G13" s="11"/>
      <c r="H13" s="4">
        <f t="shared" si="1"/>
        <v>45412</v>
      </c>
      <c r="I13" s="5">
        <f t="shared" si="2"/>
        <v>0</v>
      </c>
      <c r="J13" s="31">
        <v>113407.94166666668</v>
      </c>
      <c r="K13" s="31">
        <v>36</v>
      </c>
      <c r="L13" s="31">
        <f t="shared" si="4"/>
        <v>4082685.9000000004</v>
      </c>
      <c r="M13" s="35"/>
      <c r="N13" s="75" t="s">
        <v>84</v>
      </c>
      <c r="O13" s="12" t="s">
        <v>21</v>
      </c>
      <c r="P13" s="15">
        <v>3.3E-4</v>
      </c>
      <c r="Q13" s="38">
        <v>75712669</v>
      </c>
      <c r="R13" s="8">
        <f>I13*P13*Q13</f>
        <v>0</v>
      </c>
      <c r="S13" s="9">
        <f t="shared" si="3"/>
        <v>0</v>
      </c>
    </row>
    <row r="14" spans="1:19" ht="15.75" thickBot="1" x14ac:dyDescent="0.3">
      <c r="A14" s="47" t="s">
        <v>28</v>
      </c>
      <c r="B14" s="10">
        <v>45444</v>
      </c>
      <c r="C14" s="10">
        <f t="shared" si="0"/>
        <v>46173</v>
      </c>
      <c r="D14" s="11">
        <v>24</v>
      </c>
      <c r="E14" s="35">
        <v>24</v>
      </c>
      <c r="F14" s="4">
        <f t="shared" si="1"/>
        <v>46173</v>
      </c>
      <c r="G14" s="11"/>
      <c r="H14" s="4">
        <f t="shared" si="1"/>
        <v>45443</v>
      </c>
      <c r="I14" s="5">
        <f t="shared" si="2"/>
        <v>0</v>
      </c>
      <c r="J14" s="31">
        <v>69631.679999999993</v>
      </c>
      <c r="K14" s="31">
        <v>24</v>
      </c>
      <c r="L14" s="31">
        <f t="shared" si="4"/>
        <v>1671160.3199999998</v>
      </c>
      <c r="M14" s="35"/>
      <c r="N14" s="75" t="s">
        <v>84</v>
      </c>
      <c r="O14" s="12" t="s">
        <v>21</v>
      </c>
      <c r="P14" s="15">
        <v>3.3E-4</v>
      </c>
      <c r="Q14" s="38">
        <v>24795027</v>
      </c>
      <c r="R14" s="8">
        <f>I14*P14*Q14</f>
        <v>0</v>
      </c>
      <c r="S14" s="9">
        <f t="shared" si="3"/>
        <v>0</v>
      </c>
    </row>
    <row r="15" spans="1:19" ht="15.75" thickBot="1" x14ac:dyDescent="0.3">
      <c r="A15" s="47" t="s">
        <v>29</v>
      </c>
      <c r="B15" s="10">
        <v>45413</v>
      </c>
      <c r="C15" s="10">
        <f t="shared" si="0"/>
        <v>45716</v>
      </c>
      <c r="D15" s="11">
        <v>10</v>
      </c>
      <c r="E15" s="35">
        <v>12</v>
      </c>
      <c r="F15" s="4">
        <f t="shared" si="1"/>
        <v>45777</v>
      </c>
      <c r="G15" s="11"/>
      <c r="H15" s="4">
        <f t="shared" si="1"/>
        <v>45412</v>
      </c>
      <c r="I15" s="5">
        <f t="shared" si="2"/>
        <v>60</v>
      </c>
      <c r="J15" s="31">
        <v>54235.135999999999</v>
      </c>
      <c r="K15" s="31">
        <f>J15/10</f>
        <v>5423.5136000000002</v>
      </c>
      <c r="L15" s="31">
        <f t="shared" si="4"/>
        <v>294144997.69384962</v>
      </c>
      <c r="M15" s="35"/>
      <c r="N15" s="75">
        <v>0</v>
      </c>
      <c r="O15" s="12" t="s">
        <v>81</v>
      </c>
      <c r="P15" s="13" t="s">
        <v>17</v>
      </c>
      <c r="Q15" s="38">
        <v>36372271</v>
      </c>
      <c r="R15" s="8">
        <v>0</v>
      </c>
      <c r="S15" s="9">
        <f t="shared" si="3"/>
        <v>0</v>
      </c>
    </row>
    <row r="16" spans="1:19" ht="15.75" thickBot="1" x14ac:dyDescent="0.3">
      <c r="A16" s="47" t="s">
        <v>30</v>
      </c>
      <c r="B16" s="10">
        <v>45444</v>
      </c>
      <c r="C16" s="10">
        <f t="shared" si="0"/>
        <v>45688</v>
      </c>
      <c r="D16" s="11">
        <v>8</v>
      </c>
      <c r="E16" s="35">
        <v>8</v>
      </c>
      <c r="F16" s="4">
        <f t="shared" si="1"/>
        <v>45688</v>
      </c>
      <c r="G16" s="11"/>
      <c r="H16" s="4">
        <f t="shared" si="1"/>
        <v>45443</v>
      </c>
      <c r="I16" s="5">
        <f t="shared" si="2"/>
        <v>0</v>
      </c>
      <c r="J16" s="31">
        <v>22716.98</v>
      </c>
      <c r="K16" s="31">
        <v>8</v>
      </c>
      <c r="L16" s="31">
        <f t="shared" si="4"/>
        <v>181735.84</v>
      </c>
      <c r="M16" s="35"/>
      <c r="N16" s="75">
        <v>0</v>
      </c>
      <c r="O16" s="12" t="s">
        <v>21</v>
      </c>
      <c r="P16" s="15">
        <v>3.3E-4</v>
      </c>
      <c r="Q16" s="38">
        <v>1365707</v>
      </c>
      <c r="R16" s="8">
        <f>I16*P16*Q16</f>
        <v>0</v>
      </c>
      <c r="S16" s="9">
        <f t="shared" si="3"/>
        <v>0</v>
      </c>
    </row>
    <row r="17" spans="1:19" ht="15.75" thickBot="1" x14ac:dyDescent="0.3">
      <c r="A17" s="47" t="s">
        <v>31</v>
      </c>
      <c r="B17" s="10">
        <v>45444</v>
      </c>
      <c r="C17" s="10">
        <f t="shared" si="0"/>
        <v>46477</v>
      </c>
      <c r="D17" s="11">
        <v>34</v>
      </c>
      <c r="E17" s="35">
        <v>34</v>
      </c>
      <c r="F17" s="4">
        <f t="shared" si="1"/>
        <v>46477</v>
      </c>
      <c r="G17" s="11"/>
      <c r="H17" s="4">
        <f t="shared" si="1"/>
        <v>45443</v>
      </c>
      <c r="I17" s="5">
        <f t="shared" si="2"/>
        <v>0</v>
      </c>
      <c r="J17" s="31">
        <v>82372.476666666669</v>
      </c>
      <c r="K17" s="31" t="s">
        <v>87</v>
      </c>
      <c r="L17" s="31">
        <f>39*J17</f>
        <v>3212526.5900000003</v>
      </c>
      <c r="M17" s="35"/>
      <c r="N17" s="75" t="s">
        <v>84</v>
      </c>
      <c r="O17" s="12" t="s">
        <v>21</v>
      </c>
      <c r="P17" s="15">
        <v>3.3E-4</v>
      </c>
      <c r="Q17" s="38">
        <v>82688581</v>
      </c>
      <c r="R17" s="8">
        <f>I17*P17*Q17</f>
        <v>0</v>
      </c>
      <c r="S17" s="9">
        <f t="shared" si="3"/>
        <v>0</v>
      </c>
    </row>
    <row r="18" spans="1:19" ht="15.75" thickBot="1" x14ac:dyDescent="0.3">
      <c r="A18" s="47" t="s">
        <v>32</v>
      </c>
      <c r="B18" s="10">
        <v>45536</v>
      </c>
      <c r="C18" s="10">
        <f t="shared" si="0"/>
        <v>46477</v>
      </c>
      <c r="D18" s="11">
        <v>31</v>
      </c>
      <c r="E18" s="35">
        <v>31</v>
      </c>
      <c r="F18" s="4">
        <f t="shared" si="1"/>
        <v>46477</v>
      </c>
      <c r="G18" s="11"/>
      <c r="H18" s="4">
        <f t="shared" si="1"/>
        <v>45535</v>
      </c>
      <c r="I18" s="5">
        <f t="shared" si="2"/>
        <v>0</v>
      </c>
      <c r="J18" s="31">
        <v>72603.663636363635</v>
      </c>
      <c r="K18" s="31" t="s">
        <v>89</v>
      </c>
      <c r="L18" s="31">
        <f>31*J18</f>
        <v>2250713.5727272728</v>
      </c>
      <c r="M18" s="35"/>
      <c r="N18" s="75" t="s">
        <v>84</v>
      </c>
      <c r="O18" s="12" t="s">
        <v>21</v>
      </c>
      <c r="P18" s="15">
        <v>3.3E-4</v>
      </c>
      <c r="Q18" s="38">
        <v>61763786</v>
      </c>
      <c r="R18" s="8">
        <f>I18*P18*Q18</f>
        <v>0</v>
      </c>
      <c r="S18" s="9">
        <f t="shared" si="3"/>
        <v>0</v>
      </c>
    </row>
    <row r="19" spans="1:19" ht="15.75" thickBot="1" x14ac:dyDescent="0.3">
      <c r="A19" s="47" t="s">
        <v>33</v>
      </c>
      <c r="B19" s="10">
        <v>45536</v>
      </c>
      <c r="C19" s="10">
        <f t="shared" si="0"/>
        <v>46265</v>
      </c>
      <c r="D19" s="11">
        <v>24</v>
      </c>
      <c r="E19" s="35">
        <v>24</v>
      </c>
      <c r="F19" s="4">
        <f t="shared" si="1"/>
        <v>46265</v>
      </c>
      <c r="G19" s="11"/>
      <c r="H19" s="4">
        <f t="shared" si="1"/>
        <v>45535</v>
      </c>
      <c r="I19" s="5">
        <f t="shared" si="2"/>
        <v>0</v>
      </c>
      <c r="J19" s="31">
        <v>65164.644999999997</v>
      </c>
      <c r="K19" s="31">
        <v>24</v>
      </c>
      <c r="L19" s="31">
        <f t="shared" si="4"/>
        <v>1563951.48</v>
      </c>
      <c r="M19" s="35"/>
      <c r="N19" s="75" t="s">
        <v>84</v>
      </c>
      <c r="O19" s="12" t="s">
        <v>21</v>
      </c>
      <c r="P19" s="15">
        <v>3.3E-4</v>
      </c>
      <c r="Q19" s="38">
        <v>33840813</v>
      </c>
      <c r="R19" s="8">
        <f>I19*P19*Q19</f>
        <v>0</v>
      </c>
      <c r="S19" s="9">
        <f t="shared" si="3"/>
        <v>0</v>
      </c>
    </row>
    <row r="20" spans="1:19" ht="15.75" thickBot="1" x14ac:dyDescent="0.3">
      <c r="A20" s="47" t="s">
        <v>61</v>
      </c>
      <c r="B20" s="10">
        <v>46113</v>
      </c>
      <c r="C20" s="10">
        <f t="shared" si="0"/>
        <v>46418</v>
      </c>
      <c r="D20" s="11">
        <v>10</v>
      </c>
      <c r="E20" s="35">
        <v>12</v>
      </c>
      <c r="F20" s="4">
        <f t="shared" si="1"/>
        <v>46477</v>
      </c>
      <c r="G20" s="11"/>
      <c r="H20" s="4">
        <f t="shared" si="1"/>
        <v>46112</v>
      </c>
      <c r="I20" s="5">
        <f t="shared" si="2"/>
        <v>60</v>
      </c>
      <c r="J20" s="31">
        <v>30434.447999999997</v>
      </c>
      <c r="K20" s="77" t="s">
        <v>91</v>
      </c>
      <c r="L20" s="31">
        <f>10*J20</f>
        <v>304344.48</v>
      </c>
      <c r="M20" s="35"/>
      <c r="N20" s="75" t="s">
        <v>84</v>
      </c>
      <c r="O20" s="12" t="s">
        <v>21</v>
      </c>
      <c r="P20" s="15">
        <v>3.3E-4</v>
      </c>
      <c r="Q20" s="38">
        <v>1946684</v>
      </c>
      <c r="R20" s="8">
        <f>I20*P20*Q20</f>
        <v>38544.343199999996</v>
      </c>
      <c r="S20" s="9">
        <f t="shared" si="3"/>
        <v>1.9799999999999998E-2</v>
      </c>
    </row>
    <row r="21" spans="1:19" ht="15.75" thickBot="1" x14ac:dyDescent="0.3">
      <c r="A21" s="48" t="s">
        <v>62</v>
      </c>
      <c r="B21" s="16">
        <v>45627</v>
      </c>
      <c r="C21" s="16">
        <f t="shared" si="0"/>
        <v>46053</v>
      </c>
      <c r="D21" s="33">
        <v>14</v>
      </c>
      <c r="E21" s="36">
        <v>17</v>
      </c>
      <c r="F21" s="4">
        <f t="shared" si="1"/>
        <v>46142</v>
      </c>
      <c r="G21" s="33"/>
      <c r="H21" s="4">
        <f t="shared" si="1"/>
        <v>45626</v>
      </c>
      <c r="I21" s="5">
        <f t="shared" si="2"/>
        <v>90</v>
      </c>
      <c r="J21" s="72">
        <v>43235.649999999994</v>
      </c>
      <c r="K21" s="72">
        <v>12</v>
      </c>
      <c r="L21" s="31">
        <f t="shared" si="4"/>
        <v>518827.79999999993</v>
      </c>
      <c r="M21" s="36"/>
      <c r="N21" s="75" t="s">
        <v>84</v>
      </c>
      <c r="O21" s="12" t="s">
        <v>21</v>
      </c>
      <c r="P21" s="15">
        <v>3.3E-4</v>
      </c>
      <c r="Q21" s="39">
        <v>14696272</v>
      </c>
      <c r="R21" s="8">
        <v>0</v>
      </c>
      <c r="S21" s="9">
        <f t="shared" si="3"/>
        <v>0</v>
      </c>
    </row>
    <row r="22" spans="1:19" ht="15.75" thickBot="1" x14ac:dyDescent="0.3">
      <c r="A22" s="63" t="s">
        <v>80</v>
      </c>
      <c r="B22" s="71">
        <v>45992</v>
      </c>
      <c r="C22" s="71">
        <f>EDATE(B22,D22)-1</f>
        <v>47361</v>
      </c>
      <c r="D22">
        <v>45</v>
      </c>
      <c r="E22" s="74">
        <v>45</v>
      </c>
      <c r="F22" s="4">
        <f t="shared" si="1"/>
        <v>47361</v>
      </c>
      <c r="H22" s="4">
        <f t="shared" si="1"/>
        <v>45991</v>
      </c>
      <c r="I22" s="5">
        <f>(E22-D22)*30</f>
        <v>0</v>
      </c>
      <c r="J22" s="73">
        <v>186189.96111111113</v>
      </c>
      <c r="K22" s="73" t="s">
        <v>92</v>
      </c>
      <c r="L22" s="31">
        <f>45*J22</f>
        <v>8378548.2500000009</v>
      </c>
      <c r="N22" s="75" t="s">
        <v>84</v>
      </c>
      <c r="O22" s="78" t="s">
        <v>94</v>
      </c>
      <c r="Q22" s="65">
        <v>23961874</v>
      </c>
      <c r="R22" s="8">
        <f>I22*P22*Q22</f>
        <v>0</v>
      </c>
      <c r="S22" s="9">
        <f t="shared" si="3"/>
        <v>0</v>
      </c>
    </row>
    <row r="23" spans="1:19" ht="15.75" thickBot="1" x14ac:dyDescent="0.3">
      <c r="A23" s="63" t="s">
        <v>63</v>
      </c>
      <c r="B23" s="71">
        <v>46082</v>
      </c>
      <c r="C23" s="71">
        <f>EDATE(B23,D23)-1</f>
        <v>47452</v>
      </c>
      <c r="D23">
        <v>45</v>
      </c>
      <c r="E23" s="74">
        <v>45</v>
      </c>
      <c r="F23" s="4">
        <f t="shared" si="1"/>
        <v>47452</v>
      </c>
      <c r="H23" s="4">
        <f t="shared" si="1"/>
        <v>46081</v>
      </c>
      <c r="I23" s="5">
        <f t="shared" si="2"/>
        <v>0</v>
      </c>
      <c r="J23" s="73">
        <v>92468.744888888876</v>
      </c>
      <c r="K23" s="73" t="s">
        <v>90</v>
      </c>
      <c r="L23" s="31">
        <f>45*J23</f>
        <v>4161093.5199999996</v>
      </c>
      <c r="N23" s="75" t="s">
        <v>84</v>
      </c>
      <c r="O23" s="12" t="s">
        <v>21</v>
      </c>
      <c r="P23" s="15">
        <v>3.3E-4</v>
      </c>
      <c r="Q23" s="65">
        <v>109238942</v>
      </c>
      <c r="R23" s="8">
        <f>I23*P23*Q23</f>
        <v>0</v>
      </c>
      <c r="S23" s="9">
        <f t="shared" si="3"/>
        <v>0</v>
      </c>
    </row>
    <row r="24" spans="1:19" ht="15.75" thickBot="1" x14ac:dyDescent="0.3">
      <c r="A24" s="63" t="s">
        <v>79</v>
      </c>
      <c r="B24" s="71">
        <v>46143</v>
      </c>
      <c r="C24" s="71">
        <f>EDATE(B24,D24)-1</f>
        <v>47057</v>
      </c>
      <c r="D24">
        <v>30</v>
      </c>
      <c r="E24" s="74">
        <v>28</v>
      </c>
      <c r="F24" s="4">
        <f t="shared" si="1"/>
        <v>46996</v>
      </c>
      <c r="H24" s="4">
        <f t="shared" si="1"/>
        <v>46142</v>
      </c>
      <c r="I24" s="5">
        <v>0</v>
      </c>
      <c r="J24" s="73">
        <v>86570.127999999997</v>
      </c>
      <c r="K24" s="73" t="s">
        <v>93</v>
      </c>
      <c r="L24" s="31">
        <f>30*J24</f>
        <v>2597103.84</v>
      </c>
      <c r="N24" s="75" t="s">
        <v>84</v>
      </c>
      <c r="O24" s="78" t="s">
        <v>95</v>
      </c>
      <c r="P24" s="30">
        <f>0.01/30</f>
        <v>3.3333333333333332E-4</v>
      </c>
      <c r="Q24" s="65">
        <v>52846811</v>
      </c>
      <c r="R24" s="8">
        <f>I24*P24*Q24</f>
        <v>0</v>
      </c>
      <c r="S24" s="9">
        <f t="shared" si="3"/>
        <v>0</v>
      </c>
    </row>
    <row r="25" spans="1:19" x14ac:dyDescent="0.25">
      <c r="A25" s="63" t="s">
        <v>78</v>
      </c>
      <c r="B25" s="71">
        <v>45931</v>
      </c>
      <c r="C25" s="71">
        <f>EDATE(B25,D25)-1</f>
        <v>46843</v>
      </c>
      <c r="D25">
        <v>30</v>
      </c>
      <c r="E25" s="74">
        <v>27</v>
      </c>
      <c r="F25" s="4">
        <f t="shared" si="1"/>
        <v>46752</v>
      </c>
      <c r="H25" s="4">
        <f t="shared" si="1"/>
        <v>45930</v>
      </c>
      <c r="I25" s="5">
        <v>0</v>
      </c>
      <c r="J25" s="73">
        <v>59174.37</v>
      </c>
      <c r="K25" s="73">
        <v>24</v>
      </c>
      <c r="L25" s="31">
        <f t="shared" si="4"/>
        <v>1420184.8800000001</v>
      </c>
      <c r="N25" s="75" t="s">
        <v>84</v>
      </c>
      <c r="O25" t="s">
        <v>96</v>
      </c>
      <c r="P25" s="28">
        <v>0.02</v>
      </c>
      <c r="Q25" s="65">
        <v>22244837</v>
      </c>
      <c r="R25" s="8">
        <f>IF(I25&gt;0,Q25*P25,0)</f>
        <v>0</v>
      </c>
      <c r="S25" s="9">
        <f t="shared" si="3"/>
        <v>0</v>
      </c>
    </row>
  </sheetData>
  <autoFilter ref="A1:S21" xr:uid="{33CAF822-3328-4366-8D56-AAC829B41FC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408C-B23C-4D48-83D1-CB6301E525D5}">
  <sheetPr codeName="Planilha5"/>
  <dimension ref="A1:M29"/>
  <sheetViews>
    <sheetView tabSelected="1" topLeftCell="E1" zoomScale="85" zoomScaleNormal="85" workbookViewId="0">
      <selection activeCell="J29" sqref="J29"/>
    </sheetView>
  </sheetViews>
  <sheetFormatPr defaultRowHeight="18.75" customHeight="1" x14ac:dyDescent="0.25"/>
  <cols>
    <col min="1" max="2" width="36.42578125" customWidth="1"/>
    <col min="3" max="8" width="27.85546875" customWidth="1"/>
    <col min="9" max="9" width="36.42578125" style="62" customWidth="1"/>
    <col min="10" max="10" width="36.42578125" customWidth="1"/>
    <col min="11" max="11" width="24.5703125" customWidth="1"/>
    <col min="12" max="12" width="26" customWidth="1"/>
    <col min="13" max="13" width="255.7109375" bestFit="1" customWidth="1"/>
  </cols>
  <sheetData>
    <row r="1" spans="1:13" ht="18.75" customHeight="1" thickBot="1" x14ac:dyDescent="0.3">
      <c r="A1" s="1" t="s">
        <v>9</v>
      </c>
      <c r="B1" s="40" t="s">
        <v>54</v>
      </c>
      <c r="C1" s="2" t="s">
        <v>68</v>
      </c>
      <c r="D1" s="2" t="s">
        <v>69</v>
      </c>
      <c r="E1" s="2" t="s">
        <v>70</v>
      </c>
      <c r="F1" s="2" t="s">
        <v>58</v>
      </c>
      <c r="G1" s="2" t="s">
        <v>59</v>
      </c>
      <c r="H1" s="2" t="s">
        <v>60</v>
      </c>
      <c r="I1" s="2" t="s">
        <v>52</v>
      </c>
      <c r="J1" s="2" t="s">
        <v>39</v>
      </c>
      <c r="K1" s="2" t="s">
        <v>40</v>
      </c>
      <c r="L1" s="3" t="s">
        <v>42</v>
      </c>
      <c r="M1" s="2" t="s">
        <v>71</v>
      </c>
    </row>
    <row r="2" spans="1:13" ht="18.75" customHeight="1" x14ac:dyDescent="0.25">
      <c r="A2" s="45" t="s">
        <v>14</v>
      </c>
      <c r="B2" s="49" t="s">
        <v>53</v>
      </c>
      <c r="C2" s="54">
        <v>48156918.740000002</v>
      </c>
      <c r="D2" s="37">
        <v>53387212.439999998</v>
      </c>
      <c r="E2" s="14">
        <f t="shared" ref="E2:E25" si="0">C2-D2</f>
        <v>-5230293.6999999955</v>
      </c>
      <c r="F2" s="54">
        <f>C2+69000*30</f>
        <v>50226918.740000002</v>
      </c>
      <c r="G2" s="54">
        <f>D2+69000*30</f>
        <v>55457212.439999998</v>
      </c>
      <c r="H2" s="56">
        <f t="shared" ref="H2:H25" si="1">F2-G2</f>
        <v>-5230293.6999999955</v>
      </c>
      <c r="I2" s="60"/>
      <c r="J2" s="79">
        <f>H2</f>
        <v>-5230293.6999999955</v>
      </c>
      <c r="K2" s="20"/>
      <c r="L2" s="24">
        <v>0</v>
      </c>
      <c r="M2" s="19" t="s">
        <v>34</v>
      </c>
    </row>
    <row r="3" spans="1:13" ht="18.75" customHeight="1" x14ac:dyDescent="0.25">
      <c r="A3" s="46" t="s">
        <v>57</v>
      </c>
      <c r="B3" s="50" t="s">
        <v>55</v>
      </c>
      <c r="C3" s="42">
        <v>59525244</v>
      </c>
      <c r="D3" s="42">
        <v>58080033</v>
      </c>
      <c r="E3" s="14">
        <f t="shared" si="0"/>
        <v>1445211</v>
      </c>
      <c r="F3" s="55">
        <v>65435040</v>
      </c>
      <c r="G3" s="55">
        <v>64131852</v>
      </c>
      <c r="H3" s="56">
        <f t="shared" si="1"/>
        <v>1303188</v>
      </c>
      <c r="I3" s="61">
        <f>H3/2</f>
        <v>651594</v>
      </c>
      <c r="J3" s="43"/>
      <c r="K3" s="43"/>
      <c r="L3" s="24"/>
      <c r="M3" s="44"/>
    </row>
    <row r="4" spans="1:13" ht="18.75" customHeight="1" x14ac:dyDescent="0.25">
      <c r="A4" s="47" t="s">
        <v>16</v>
      </c>
      <c r="B4" s="51" t="s">
        <v>53</v>
      </c>
      <c r="C4" s="38">
        <v>19331059</v>
      </c>
      <c r="D4" s="38">
        <v>19955779.719999999</v>
      </c>
      <c r="E4" s="14">
        <f t="shared" si="0"/>
        <v>-624720.71999999881</v>
      </c>
      <c r="F4" s="56">
        <v>21050207.140000001</v>
      </c>
      <c r="G4" s="56">
        <v>21674927.719999999</v>
      </c>
      <c r="H4" s="56">
        <f t="shared" si="1"/>
        <v>-624720.57999999821</v>
      </c>
      <c r="I4" s="22"/>
      <c r="J4" s="21"/>
      <c r="K4" s="21"/>
      <c r="L4" s="24">
        <v>0.05</v>
      </c>
      <c r="M4" s="12" t="s">
        <v>35</v>
      </c>
    </row>
    <row r="5" spans="1:13" ht="18.75" customHeight="1" x14ac:dyDescent="0.25">
      <c r="A5" s="47" t="s">
        <v>4</v>
      </c>
      <c r="B5" s="51" t="s">
        <v>53</v>
      </c>
      <c r="C5" s="38">
        <v>30874919.829999998</v>
      </c>
      <c r="D5" s="38">
        <v>35244059.479999997</v>
      </c>
      <c r="E5" s="14">
        <f t="shared" si="0"/>
        <v>-4369139.6499999985</v>
      </c>
      <c r="F5" s="56">
        <v>33962411.810000002</v>
      </c>
      <c r="G5" s="56">
        <v>38367858</v>
      </c>
      <c r="H5" s="56">
        <f t="shared" si="1"/>
        <v>-4405446.1899999976</v>
      </c>
      <c r="I5" s="61"/>
      <c r="J5" s="21">
        <f>F5*1.02-G5</f>
        <v>-3726197.9538000003</v>
      </c>
      <c r="K5" s="53">
        <f>E5-J5</f>
        <v>-642941.69619999826</v>
      </c>
      <c r="L5" s="24">
        <v>0.02</v>
      </c>
      <c r="M5" s="18" t="s">
        <v>36</v>
      </c>
    </row>
    <row r="6" spans="1:13" ht="18.75" customHeight="1" x14ac:dyDescent="0.25">
      <c r="A6" s="47" t="s">
        <v>3</v>
      </c>
      <c r="B6" s="51" t="s">
        <v>53</v>
      </c>
      <c r="C6" s="38">
        <v>150327077.33000001</v>
      </c>
      <c r="D6" s="38">
        <v>150520956.53</v>
      </c>
      <c r="E6" s="14">
        <f t="shared" si="0"/>
        <v>-193879.19999998808</v>
      </c>
      <c r="F6" s="56">
        <f>C6+12000000</f>
        <v>162327077.33000001</v>
      </c>
      <c r="G6" s="56">
        <f>D6+12000000</f>
        <v>162520956.53</v>
      </c>
      <c r="H6" s="56">
        <f t="shared" si="1"/>
        <v>-193879.19999998808</v>
      </c>
      <c r="I6" s="22"/>
      <c r="J6" s="21"/>
      <c r="K6" s="21"/>
      <c r="L6" s="24">
        <v>0</v>
      </c>
      <c r="M6" s="12" t="s">
        <v>37</v>
      </c>
    </row>
    <row r="7" spans="1:13" ht="18.75" customHeight="1" x14ac:dyDescent="0.25">
      <c r="A7" s="47" t="s">
        <v>20</v>
      </c>
      <c r="B7" s="51" t="s">
        <v>55</v>
      </c>
      <c r="C7" s="38">
        <v>39854406</v>
      </c>
      <c r="D7" s="38">
        <v>40338984</v>
      </c>
      <c r="E7" s="14">
        <f t="shared" si="0"/>
        <v>-484578</v>
      </c>
      <c r="F7" s="56">
        <v>46829325</v>
      </c>
      <c r="G7" s="56">
        <v>47401429</v>
      </c>
      <c r="H7" s="56">
        <f t="shared" si="1"/>
        <v>-572104</v>
      </c>
      <c r="I7" s="22"/>
      <c r="J7" s="21"/>
      <c r="K7" s="21"/>
      <c r="L7" s="24">
        <v>0.05</v>
      </c>
      <c r="M7" s="12" t="s">
        <v>38</v>
      </c>
    </row>
    <row r="8" spans="1:13" ht="18.75" customHeight="1" x14ac:dyDescent="0.25">
      <c r="A8" s="47" t="s">
        <v>22</v>
      </c>
      <c r="B8" s="51" t="s">
        <v>55</v>
      </c>
      <c r="C8" s="38">
        <v>62491370</v>
      </c>
      <c r="D8" s="38">
        <v>63861618</v>
      </c>
      <c r="E8" s="14">
        <f t="shared" si="0"/>
        <v>-1370248</v>
      </c>
      <c r="F8" s="56">
        <v>72470092</v>
      </c>
      <c r="G8" s="56">
        <v>73487464</v>
      </c>
      <c r="H8" s="56">
        <f t="shared" si="1"/>
        <v>-1017372</v>
      </c>
      <c r="I8" s="22"/>
      <c r="J8" s="21"/>
      <c r="K8" s="21"/>
      <c r="L8" s="24">
        <v>0.05</v>
      </c>
      <c r="M8" s="12" t="s">
        <v>38</v>
      </c>
    </row>
    <row r="9" spans="1:13" ht="18.75" customHeight="1" x14ac:dyDescent="0.25">
      <c r="A9" s="47" t="s">
        <v>23</v>
      </c>
      <c r="B9" s="51" t="s">
        <v>55</v>
      </c>
      <c r="C9" s="38">
        <v>45889672</v>
      </c>
      <c r="D9" s="38">
        <v>51065876</v>
      </c>
      <c r="E9" s="14">
        <f t="shared" si="0"/>
        <v>-5176204</v>
      </c>
      <c r="F9" s="56">
        <v>53560258</v>
      </c>
      <c r="G9" s="56">
        <v>58251311</v>
      </c>
      <c r="H9" s="56">
        <f t="shared" si="1"/>
        <v>-4691053</v>
      </c>
      <c r="I9" s="22"/>
      <c r="J9" s="21">
        <f>F9*1.05-G9</f>
        <v>-2013040.099999994</v>
      </c>
      <c r="K9" s="58">
        <f>H9-J9</f>
        <v>-2678012.900000006</v>
      </c>
      <c r="L9" s="24">
        <v>0.05</v>
      </c>
      <c r="M9" s="12" t="s">
        <v>38</v>
      </c>
    </row>
    <row r="10" spans="1:13" ht="18.75" customHeight="1" x14ac:dyDescent="0.25">
      <c r="A10" s="47" t="s">
        <v>24</v>
      </c>
      <c r="B10" s="51" t="s">
        <v>55</v>
      </c>
      <c r="C10" s="38">
        <v>8442659</v>
      </c>
      <c r="D10" s="38">
        <v>7398017</v>
      </c>
      <c r="E10" s="14">
        <f t="shared" si="0"/>
        <v>1044642</v>
      </c>
      <c r="F10" s="56">
        <v>9547400</v>
      </c>
      <c r="G10" s="56">
        <v>8565310</v>
      </c>
      <c r="H10" s="56">
        <f t="shared" si="1"/>
        <v>982090</v>
      </c>
      <c r="I10" s="61">
        <f>H10/2</f>
        <v>491045</v>
      </c>
      <c r="J10" s="21"/>
      <c r="K10" s="21"/>
      <c r="L10" s="24">
        <v>0.05</v>
      </c>
      <c r="M10" s="12" t="s">
        <v>38</v>
      </c>
    </row>
    <row r="11" spans="1:13" ht="18.75" customHeight="1" x14ac:dyDescent="0.25">
      <c r="A11" s="47" t="s">
        <v>25</v>
      </c>
      <c r="B11" s="51" t="s">
        <v>55</v>
      </c>
      <c r="C11" s="38">
        <v>100802866</v>
      </c>
      <c r="D11" s="38">
        <v>122850415</v>
      </c>
      <c r="E11" s="14">
        <f t="shared" si="0"/>
        <v>-22047549</v>
      </c>
      <c r="F11" s="56">
        <v>119092682</v>
      </c>
      <c r="G11" s="56">
        <v>141675593</v>
      </c>
      <c r="H11" s="56">
        <f t="shared" si="1"/>
        <v>-22582911</v>
      </c>
      <c r="I11" s="22"/>
      <c r="J11" s="21">
        <f>F11*1.05-G11</f>
        <v>-16628276.899999991</v>
      </c>
      <c r="K11" s="58">
        <f>H11-J11</f>
        <v>-5954634.1000000089</v>
      </c>
      <c r="L11" s="24">
        <v>0.05</v>
      </c>
      <c r="M11" s="12" t="s">
        <v>38</v>
      </c>
    </row>
    <row r="12" spans="1:13" ht="18.75" customHeight="1" x14ac:dyDescent="0.25">
      <c r="A12" s="47" t="s">
        <v>26</v>
      </c>
      <c r="B12" s="51" t="s">
        <v>55</v>
      </c>
      <c r="C12" s="38">
        <v>129823938</v>
      </c>
      <c r="D12" s="38">
        <v>122195945</v>
      </c>
      <c r="E12" s="14">
        <f t="shared" si="0"/>
        <v>7627993</v>
      </c>
      <c r="F12" s="56">
        <v>146118995</v>
      </c>
      <c r="G12" s="56">
        <v>138624131</v>
      </c>
      <c r="H12" s="56">
        <f t="shared" si="1"/>
        <v>7494864</v>
      </c>
      <c r="I12" s="61">
        <f>H12/2</f>
        <v>3747432</v>
      </c>
      <c r="J12" s="21"/>
      <c r="K12" s="21"/>
      <c r="L12" s="24">
        <v>0.05</v>
      </c>
      <c r="M12" s="12" t="s">
        <v>38</v>
      </c>
    </row>
    <row r="13" spans="1:13" ht="18.75" customHeight="1" x14ac:dyDescent="0.25">
      <c r="A13" s="47" t="s">
        <v>27</v>
      </c>
      <c r="B13" s="51" t="s">
        <v>55</v>
      </c>
      <c r="C13" s="38">
        <v>75712669</v>
      </c>
      <c r="D13" s="38">
        <v>73410513</v>
      </c>
      <c r="E13" s="14">
        <f t="shared" si="0"/>
        <v>2302156</v>
      </c>
      <c r="F13" s="56">
        <v>87931471</v>
      </c>
      <c r="G13" s="56">
        <v>86021054</v>
      </c>
      <c r="H13" s="56">
        <f t="shared" si="1"/>
        <v>1910417</v>
      </c>
      <c r="I13" s="61">
        <f>H13/2</f>
        <v>955208.5</v>
      </c>
      <c r="J13" s="21"/>
      <c r="K13" s="21"/>
      <c r="L13" s="24">
        <v>0.05</v>
      </c>
      <c r="M13" s="12" t="s">
        <v>38</v>
      </c>
    </row>
    <row r="14" spans="1:13" ht="18.75" customHeight="1" x14ac:dyDescent="0.25">
      <c r="A14" s="47" t="s">
        <v>28</v>
      </c>
      <c r="B14" s="51" t="s">
        <v>55</v>
      </c>
      <c r="C14" s="38">
        <v>24795027</v>
      </c>
      <c r="D14" s="38">
        <v>26487463</v>
      </c>
      <c r="E14" s="14">
        <f t="shared" si="0"/>
        <v>-1692436</v>
      </c>
      <c r="F14" s="56">
        <v>28475524</v>
      </c>
      <c r="G14" s="56">
        <v>30400424</v>
      </c>
      <c r="H14" s="56">
        <f t="shared" si="1"/>
        <v>-1924900</v>
      </c>
      <c r="I14" s="61"/>
      <c r="J14" s="21">
        <f>F14*1.05-G14</f>
        <v>-501123.79999999702</v>
      </c>
      <c r="K14" s="21"/>
      <c r="L14" s="24">
        <v>0.05</v>
      </c>
      <c r="M14" s="12" t="s">
        <v>38</v>
      </c>
    </row>
    <row r="15" spans="1:13" ht="18.75" customHeight="1" x14ac:dyDescent="0.25">
      <c r="A15" s="47" t="s">
        <v>29</v>
      </c>
      <c r="B15" s="51" t="s">
        <v>53</v>
      </c>
      <c r="C15" s="38">
        <v>36372271</v>
      </c>
      <c r="D15" s="38">
        <v>32419520</v>
      </c>
      <c r="E15" s="14">
        <f t="shared" si="0"/>
        <v>3952751</v>
      </c>
      <c r="F15" s="56">
        <v>40149969</v>
      </c>
      <c r="G15" s="56">
        <v>36213024</v>
      </c>
      <c r="H15" s="56">
        <f t="shared" si="1"/>
        <v>3936945</v>
      </c>
      <c r="I15" s="61">
        <f t="shared" ref="I15:I21" si="2">H15/2</f>
        <v>1968472.5</v>
      </c>
      <c r="J15" s="21"/>
      <c r="K15" s="21"/>
      <c r="L15" s="24">
        <v>0.05</v>
      </c>
      <c r="M15" s="12" t="s">
        <v>38</v>
      </c>
    </row>
    <row r="16" spans="1:13" ht="18.75" customHeight="1" x14ac:dyDescent="0.25">
      <c r="A16" s="47" t="s">
        <v>30</v>
      </c>
      <c r="B16" s="51" t="s">
        <v>55</v>
      </c>
      <c r="C16" s="38">
        <v>1365707</v>
      </c>
      <c r="D16" s="38">
        <v>1250665</v>
      </c>
      <c r="E16" s="14">
        <f t="shared" si="0"/>
        <v>115042</v>
      </c>
      <c r="F16" s="56">
        <v>1790524</v>
      </c>
      <c r="G16" s="56">
        <v>1654734</v>
      </c>
      <c r="H16" s="56">
        <f t="shared" si="1"/>
        <v>135790</v>
      </c>
      <c r="I16" s="61">
        <f t="shared" si="2"/>
        <v>67895</v>
      </c>
      <c r="J16" s="22"/>
      <c r="K16" s="22"/>
      <c r="L16" s="24">
        <v>0.05</v>
      </c>
      <c r="M16" s="12" t="s">
        <v>38</v>
      </c>
    </row>
    <row r="17" spans="1:13" ht="18.75" customHeight="1" x14ac:dyDescent="0.25">
      <c r="A17" s="47" t="s">
        <v>31</v>
      </c>
      <c r="B17" s="51" t="s">
        <v>55</v>
      </c>
      <c r="C17" s="38">
        <v>82688581</v>
      </c>
      <c r="D17" s="38">
        <v>80937877</v>
      </c>
      <c r="E17" s="14">
        <f t="shared" si="0"/>
        <v>1750704</v>
      </c>
      <c r="F17" s="56">
        <v>93683893</v>
      </c>
      <c r="G17" s="56">
        <v>92050528</v>
      </c>
      <c r="H17" s="56">
        <f t="shared" si="1"/>
        <v>1633365</v>
      </c>
      <c r="I17" s="61">
        <f t="shared" si="2"/>
        <v>816682.5</v>
      </c>
      <c r="J17" s="22"/>
      <c r="K17" s="22"/>
      <c r="L17" s="24">
        <v>0.05</v>
      </c>
      <c r="M17" s="12" t="s">
        <v>38</v>
      </c>
    </row>
    <row r="18" spans="1:13" ht="18.75" customHeight="1" x14ac:dyDescent="0.25">
      <c r="A18" s="47" t="s">
        <v>32</v>
      </c>
      <c r="B18" s="51" t="s">
        <v>55</v>
      </c>
      <c r="C18" s="38">
        <v>61763786</v>
      </c>
      <c r="D18" s="38">
        <v>60160767</v>
      </c>
      <c r="E18" s="14">
        <f t="shared" si="0"/>
        <v>1603019</v>
      </c>
      <c r="F18" s="56">
        <v>72678266</v>
      </c>
      <c r="G18" s="56">
        <v>71428986</v>
      </c>
      <c r="H18" s="56">
        <f t="shared" si="1"/>
        <v>1249280</v>
      </c>
      <c r="I18" s="22">
        <f t="shared" si="2"/>
        <v>624640</v>
      </c>
      <c r="J18" s="22"/>
      <c r="K18" s="22"/>
      <c r="L18" s="24">
        <v>0.05</v>
      </c>
      <c r="M18" s="12" t="s">
        <v>38</v>
      </c>
    </row>
    <row r="19" spans="1:13" ht="18.75" customHeight="1" x14ac:dyDescent="0.25">
      <c r="A19" s="47" t="s">
        <v>33</v>
      </c>
      <c r="B19" s="51" t="s">
        <v>55</v>
      </c>
      <c r="C19" s="38">
        <v>33840813</v>
      </c>
      <c r="D19" s="38">
        <v>33391850</v>
      </c>
      <c r="E19" s="14">
        <f t="shared" si="0"/>
        <v>448963</v>
      </c>
      <c r="F19" s="56">
        <v>38072977</v>
      </c>
      <c r="G19" s="56">
        <v>38037592</v>
      </c>
      <c r="H19" s="56">
        <f t="shared" si="1"/>
        <v>35385</v>
      </c>
      <c r="I19" s="22">
        <f t="shared" si="2"/>
        <v>17692.5</v>
      </c>
      <c r="J19" s="22"/>
      <c r="K19" s="22"/>
      <c r="L19" s="24">
        <v>0.05</v>
      </c>
      <c r="M19" s="12" t="s">
        <v>38</v>
      </c>
    </row>
    <row r="20" spans="1:13" ht="18.75" customHeight="1" x14ac:dyDescent="0.25">
      <c r="A20" s="47" t="s">
        <v>61</v>
      </c>
      <c r="B20" s="51" t="s">
        <v>55</v>
      </c>
      <c r="C20" s="38">
        <v>1946684</v>
      </c>
      <c r="D20" s="38">
        <v>1853035</v>
      </c>
      <c r="E20" s="14">
        <f t="shared" si="0"/>
        <v>93649</v>
      </c>
      <c r="F20" s="56">
        <v>2352968</v>
      </c>
      <c r="G20" s="56">
        <v>2285300</v>
      </c>
      <c r="H20" s="56">
        <f t="shared" si="1"/>
        <v>67668</v>
      </c>
      <c r="I20" s="22">
        <f t="shared" si="2"/>
        <v>33834</v>
      </c>
      <c r="J20" s="22"/>
      <c r="K20" s="22"/>
      <c r="L20" s="24">
        <v>0.05</v>
      </c>
      <c r="M20" s="12" t="s">
        <v>38</v>
      </c>
    </row>
    <row r="21" spans="1:13" ht="18.75" customHeight="1" thickBot="1" x14ac:dyDescent="0.3">
      <c r="A21" s="48" t="s">
        <v>62</v>
      </c>
      <c r="B21" s="52" t="s">
        <v>55</v>
      </c>
      <c r="C21" s="39">
        <v>14696272</v>
      </c>
      <c r="D21" s="39">
        <v>14610275</v>
      </c>
      <c r="E21" s="17">
        <f t="shared" si="0"/>
        <v>85997</v>
      </c>
      <c r="F21" s="57">
        <v>19083934</v>
      </c>
      <c r="G21" s="57">
        <v>18860352</v>
      </c>
      <c r="H21" s="57">
        <f t="shared" si="1"/>
        <v>223582</v>
      </c>
      <c r="I21" s="23">
        <f t="shared" si="2"/>
        <v>111791</v>
      </c>
      <c r="J21" s="23"/>
      <c r="K21" s="23"/>
      <c r="L21" s="24">
        <v>0.05</v>
      </c>
      <c r="M21" s="12" t="s">
        <v>38</v>
      </c>
    </row>
    <row r="22" spans="1:13" ht="18.75" customHeight="1" thickBot="1" x14ac:dyDescent="0.3">
      <c r="A22" s="63" t="s">
        <v>67</v>
      </c>
      <c r="B22" s="51" t="s">
        <v>53</v>
      </c>
      <c r="C22" s="65">
        <v>23961874</v>
      </c>
      <c r="D22" s="65">
        <v>22426604.09</v>
      </c>
      <c r="E22" s="64">
        <f t="shared" si="0"/>
        <v>1535269.9100000001</v>
      </c>
      <c r="F22" s="64">
        <f>C22+1804851</f>
        <v>25766725</v>
      </c>
      <c r="G22" s="64">
        <f>D22+1804851</f>
        <v>24231455.09</v>
      </c>
      <c r="H22" s="57">
        <f t="shared" si="1"/>
        <v>1535269.9100000001</v>
      </c>
      <c r="I22" s="66">
        <f>H22*0.4</f>
        <v>614107.96400000004</v>
      </c>
      <c r="J22" s="66"/>
      <c r="K22" s="66"/>
      <c r="L22" s="67"/>
      <c r="M22" s="68" t="s">
        <v>66</v>
      </c>
    </row>
    <row r="23" spans="1:13" ht="18.75" customHeight="1" x14ac:dyDescent="0.25">
      <c r="A23" s="63" t="s">
        <v>63</v>
      </c>
      <c r="B23" s="51" t="s">
        <v>55</v>
      </c>
      <c r="C23" s="65">
        <v>109238942</v>
      </c>
      <c r="D23" s="65">
        <v>109001590</v>
      </c>
      <c r="E23" s="64">
        <f t="shared" si="0"/>
        <v>237352</v>
      </c>
      <c r="F23" s="64">
        <v>121776982</v>
      </c>
      <c r="G23" s="64">
        <v>121716005</v>
      </c>
      <c r="H23" s="64">
        <f t="shared" si="1"/>
        <v>60977</v>
      </c>
      <c r="I23" s="66">
        <f>H23/2</f>
        <v>30488.5</v>
      </c>
      <c r="J23" s="21"/>
      <c r="K23" s="66"/>
      <c r="L23" s="24">
        <v>0.05</v>
      </c>
      <c r="M23" s="68"/>
    </row>
    <row r="24" spans="1:13" ht="18.75" customHeight="1" x14ac:dyDescent="0.25">
      <c r="A24" s="63" t="s">
        <v>64</v>
      </c>
      <c r="B24" s="51" t="s">
        <v>53</v>
      </c>
      <c r="C24" s="65">
        <v>52846811</v>
      </c>
      <c r="D24" s="65">
        <v>51158048</v>
      </c>
      <c r="E24" s="64">
        <f t="shared" si="0"/>
        <v>1688763</v>
      </c>
      <c r="F24" s="64">
        <f>C24+4392755</f>
        <v>57239566</v>
      </c>
      <c r="G24" s="64">
        <f>D24+4392755</f>
        <v>55550803</v>
      </c>
      <c r="H24" s="64">
        <f t="shared" si="1"/>
        <v>1688763</v>
      </c>
      <c r="I24" s="66">
        <f>H24*0.4</f>
        <v>675505.20000000007</v>
      </c>
      <c r="J24" s="21"/>
      <c r="K24" s="66"/>
      <c r="L24" s="67">
        <v>0.04</v>
      </c>
      <c r="M24" s="68" t="s">
        <v>66</v>
      </c>
    </row>
    <row r="25" spans="1:13" ht="18.75" customHeight="1" x14ac:dyDescent="0.25">
      <c r="A25" s="63" t="s">
        <v>65</v>
      </c>
      <c r="B25" s="51" t="s">
        <v>53</v>
      </c>
      <c r="C25" s="65">
        <v>22244837</v>
      </c>
      <c r="D25" s="69">
        <v>22328076</v>
      </c>
      <c r="E25" s="64">
        <f t="shared" si="0"/>
        <v>-83239</v>
      </c>
      <c r="F25" s="70">
        <f>C25+1908100</f>
        <v>24152937</v>
      </c>
      <c r="G25" s="70">
        <f>D25+1908100</f>
        <v>24236176</v>
      </c>
      <c r="H25" s="64">
        <f t="shared" si="1"/>
        <v>-83239</v>
      </c>
    </row>
    <row r="26" spans="1:13" ht="18.75" customHeight="1" x14ac:dyDescent="0.25">
      <c r="D26" s="59"/>
    </row>
    <row r="29" spans="1:13" ht="18.75" customHeight="1" x14ac:dyDescent="0.25">
      <c r="J29">
        <f>K15</f>
        <v>0</v>
      </c>
    </row>
  </sheetData>
  <autoFilter ref="A1:L21" xr:uid="{F826C8AD-E55D-43EC-8E13-5835E0D4291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Indicadores</vt:lpstr>
      <vt:lpstr>Prazo Obras</vt:lpstr>
      <vt:lpstr>Custo 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Maksymowicz</dc:creator>
  <cp:lastModifiedBy>Pedro Furman</cp:lastModifiedBy>
  <dcterms:created xsi:type="dcterms:W3CDTF">2024-06-17T08:39:03Z</dcterms:created>
  <dcterms:modified xsi:type="dcterms:W3CDTF">2026-07-28T12:14:19Z</dcterms:modified>
</cp:coreProperties>
</file>