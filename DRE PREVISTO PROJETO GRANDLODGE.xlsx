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comments3.xml" ContentType="application/vnd.openxmlformats-officedocument.spreadsheetml.comments+xml"/>
  <Override PartName="/xl/threadedComments/threadedComment2.xml" ContentType="application/vnd.ms-excel.threadedcomments+xml"/>
  <Override PartName="/xl/drawings/drawing6.xml" ContentType="application/vnd.openxmlformats-officedocument.drawing+xml"/>
  <Override PartName="/xl/comments4.xml" ContentType="application/vnd.openxmlformats-officedocument.spreadsheetml.comments+xml"/>
  <Override PartName="/xl/threadedComments/threadedComment3.xml" ContentType="application/vnd.ms-excel.threadedcomments+xml"/>
  <Override PartName="/xl/drawings/drawing7.xml" ContentType="application/vnd.openxmlformats-officedocument.drawing+xml"/>
  <Override PartName="/xl/comments5.xml" ContentType="application/vnd.openxmlformats-officedocument.spreadsheetml.comments+xml"/>
  <Override PartName="/xl/drawings/drawing8.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codeName="EstaPasta_de_trabalho" defaultThemeVersion="124226"/>
  <xr:revisionPtr revIDLastSave="0" documentId="8_{1A2DAD11-F0D0-4257-B1E9-DD29C8E9BA00}" xr6:coauthVersionLast="47" xr6:coauthVersionMax="47" xr10:uidLastSave="{00000000-0000-0000-0000-000000000000}"/>
  <bookViews>
    <workbookView xWindow="-108" yWindow="-108" windowWidth="30936" windowHeight="16776" tabRatio="818" firstSheet="4" activeTab="7" xr2:uid="{00000000-000D-0000-FFFF-FFFF00000000}"/>
  </bookViews>
  <sheets>
    <sheet name="Riscos-CANTU" sheetId="17" state="hidden" r:id="rId1"/>
    <sheet name="Ações-Riscos-CANTU" sheetId="18" state="hidden" r:id="rId2"/>
    <sheet name="Oportunidades-CANTU" sheetId="19" state="hidden" r:id="rId3"/>
    <sheet name="Ações - Oportunidades-CANTU" sheetId="20" state="hidden" r:id="rId4"/>
    <sheet name="SWOT" sheetId="21" r:id="rId5"/>
    <sheet name="Riscos-PIEMONTE" sheetId="6" r:id="rId6"/>
    <sheet name="Viabilidade NOVA" sheetId="25" r:id="rId7"/>
    <sheet name="Viabilidade NOVA_34%" sheetId="26" r:id="rId8"/>
    <sheet name="Viabilidade NOVA_23%" sheetId="27" r:id="rId9"/>
    <sheet name="Ações-Riscos-PIEMONTE" sheetId="8" r:id="rId10"/>
    <sheet name="Probabilidade (legenda)" sheetId="11" state="hidden" r:id="rId11"/>
    <sheet name="Condiç Exequibilidade (legenda)" sheetId="12" state="hidden" r:id="rId12"/>
    <sheet name="Impacto (legenda)" sheetId="10" state="hidden" r:id="rId13"/>
    <sheet name="Estratégias (legenda)" sheetId="16" state="hidden" r:id="rId14"/>
    <sheet name="Oportunidades-PIEMONTE" sheetId="15" state="hidden" r:id="rId15"/>
    <sheet name="Ações-Oportunidades-PIEMONTE" sheetId="9" state="hidden" r:id="rId16"/>
    <sheet name="Classificação" sheetId="14" state="hidden" r:id="rId17"/>
    <sheet name="Gráfico" sheetId="7" state="hidden" r:id="rId18"/>
  </sheets>
  <externalReferences>
    <externalReference r:id="rId19"/>
    <externalReference r:id="rId20"/>
    <externalReference r:id="rId21"/>
  </externalReferences>
  <definedNames>
    <definedName name="_xlnm.Print_Area" localSheetId="3">'Ações - Oportunidades-CANTU'!$B$2:$J$49</definedName>
    <definedName name="_xlnm.Print_Area" localSheetId="15">'Ações-Oportunidades-PIEMONTE'!$B$2:$J$46</definedName>
    <definedName name="_xlnm.Print_Area" localSheetId="1">'Ações-Riscos-CANTU'!$B$2:$K$45</definedName>
    <definedName name="_xlnm.Print_Area" localSheetId="9">'Ações-Riscos-PIEMONTE'!$B$2:$K$51</definedName>
    <definedName name="_xlnm.Print_Area" localSheetId="11">'Condiç Exequibilidade (legenda)'!$A$1:$J$31</definedName>
    <definedName name="_xlnm.Print_Area" localSheetId="17">Gráfico!$E$1:$U$27</definedName>
    <definedName name="_xlnm.Print_Area" localSheetId="12">'Impacto (legenda)'!$A$1:$M$19</definedName>
    <definedName name="_xlnm.Print_Area" localSheetId="2">'Oportunidades-CANTU'!$B$2:$AT$29</definedName>
    <definedName name="_xlnm.Print_Area" localSheetId="14">'Oportunidades-PIEMONTE'!$B$2:$AT$28</definedName>
    <definedName name="_xlnm.Print_Area" localSheetId="10">'Probabilidade (legenda)'!$A$1:$L$31</definedName>
    <definedName name="_xlnm.Print_Area" localSheetId="0">'Riscos-CANTU'!$B$2:$AS$27</definedName>
    <definedName name="_xlnm.Print_Area" localSheetId="5">'Riscos-PIEMONTE'!$B$2:$AS$29</definedName>
    <definedName name="Estratégias" localSheetId="3">[1]Estratégias!$A$2:$A$5</definedName>
    <definedName name="Estratégias" localSheetId="1">[1]Estratégias!$A$2:$A$5</definedName>
    <definedName name="Estratégias" localSheetId="2">[1]Estratégias!$A$2:$A$5</definedName>
    <definedName name="Estratégias" localSheetId="0">[1]Estratégias!$A$2:$A$5</definedName>
    <definedName name="Estratégias">'Estratégias (legenda)'!$A$2:$A$5</definedName>
    <definedName name="EstrategiasOport" localSheetId="3">[1]Estratégias!$D$2:$D$5</definedName>
    <definedName name="EstrategiasOport" localSheetId="1">[1]Estratégias!$D$2:$D$5</definedName>
    <definedName name="EstrategiasOport" localSheetId="2">[1]Estratégias!$D$2:$D$5</definedName>
    <definedName name="EstrategiasOport" localSheetId="0">[1]Estratégias!$D$2:$D$5</definedName>
    <definedName name="EstrategiasOport">'Estratégias (legenda)'!$D$2:$D$5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 i="25" l="1"/>
  <c r="K6" i="25"/>
  <c r="L6" i="25"/>
  <c r="M6" i="25"/>
  <c r="N6" i="25"/>
  <c r="H7" i="25"/>
  <c r="K7" i="25"/>
  <c r="L7" i="25"/>
  <c r="M7" i="25"/>
  <c r="N7" i="25"/>
  <c r="C8" i="25"/>
  <c r="H8" i="25"/>
  <c r="K8" i="25"/>
  <c r="L8" i="25"/>
  <c r="H9" i="25"/>
  <c r="K9" i="25" s="1"/>
  <c r="L9" i="25"/>
  <c r="K10" i="25"/>
  <c r="H11" i="25"/>
  <c r="K11" i="25" s="1"/>
  <c r="L11" i="25"/>
  <c r="C12" i="25"/>
  <c r="K12" i="25"/>
  <c r="H13" i="25"/>
  <c r="K13" i="25"/>
  <c r="L13" i="25"/>
  <c r="K14" i="25"/>
  <c r="H15" i="25"/>
  <c r="K15" i="25"/>
  <c r="L15" i="25"/>
  <c r="M15" i="25"/>
  <c r="N15" i="25"/>
  <c r="K16" i="25"/>
  <c r="C17" i="25"/>
  <c r="K17" i="25"/>
  <c r="K18" i="25"/>
  <c r="L18" i="25"/>
  <c r="M18" i="25"/>
  <c r="N18" i="25"/>
  <c r="C21" i="25"/>
  <c r="AE48" i="27"/>
  <c r="AD48" i="27"/>
  <c r="AC48" i="27"/>
  <c r="AB48" i="27"/>
  <c r="AA48" i="27"/>
  <c r="Z48" i="27"/>
  <c r="Y48" i="27"/>
  <c r="X48" i="27"/>
  <c r="W48" i="27"/>
  <c r="V48" i="27"/>
  <c r="U48" i="27"/>
  <c r="T48" i="27"/>
  <c r="S48" i="27"/>
  <c r="R48" i="27"/>
  <c r="Q48" i="27"/>
  <c r="P48" i="27"/>
  <c r="O48" i="27"/>
  <c r="N48" i="27"/>
  <c r="M48" i="27"/>
  <c r="L48" i="27"/>
  <c r="K48" i="27"/>
  <c r="J48" i="27"/>
  <c r="I48" i="27"/>
  <c r="H48" i="27"/>
  <c r="G48" i="27"/>
  <c r="F48" i="27"/>
  <c r="E48" i="27"/>
  <c r="C28" i="27"/>
  <c r="C27" i="27"/>
  <c r="C26" i="27"/>
  <c r="AE48" i="26"/>
  <c r="AD48" i="26"/>
  <c r="AC48" i="26"/>
  <c r="AB48" i="26"/>
  <c r="AA48" i="26"/>
  <c r="Z48" i="26"/>
  <c r="Y48" i="26"/>
  <c r="X48" i="26"/>
  <c r="W48" i="26"/>
  <c r="V48" i="26"/>
  <c r="U48" i="26"/>
  <c r="T48" i="26"/>
  <c r="S48" i="26"/>
  <c r="R48" i="26"/>
  <c r="Q48" i="26"/>
  <c r="P48" i="26"/>
  <c r="O48" i="26"/>
  <c r="N48" i="26"/>
  <c r="M48" i="26"/>
  <c r="L48" i="26"/>
  <c r="K48" i="26"/>
  <c r="J48" i="26"/>
  <c r="I48" i="26"/>
  <c r="H48" i="26"/>
  <c r="G48" i="26"/>
  <c r="F48" i="26"/>
  <c r="E48" i="26"/>
  <c r="C28" i="26"/>
  <c r="C27" i="26"/>
  <c r="C26" i="26"/>
  <c r="C67" i="27"/>
  <c r="D56" i="27"/>
  <c r="D51" i="27"/>
  <c r="AH43" i="27"/>
  <c r="AG43" i="27"/>
  <c r="AF43" i="27"/>
  <c r="AE43" i="27"/>
  <c r="AD43" i="27"/>
  <c r="AC43" i="27"/>
  <c r="AB43" i="27"/>
  <c r="AA43" i="27"/>
  <c r="Z43" i="27"/>
  <c r="Y43" i="27"/>
  <c r="X43" i="27"/>
  <c r="W43" i="27"/>
  <c r="V43" i="27"/>
  <c r="U43" i="27"/>
  <c r="T43" i="27"/>
  <c r="S43" i="27"/>
  <c r="R43" i="27"/>
  <c r="Q43" i="27"/>
  <c r="P43" i="27"/>
  <c r="O43" i="27"/>
  <c r="N43" i="27"/>
  <c r="M43" i="27"/>
  <c r="L43" i="27"/>
  <c r="K43" i="27"/>
  <c r="J43" i="27"/>
  <c r="I43" i="27"/>
  <c r="H43" i="27"/>
  <c r="G43" i="27"/>
  <c r="F43" i="27"/>
  <c r="E43" i="27"/>
  <c r="AH41" i="27"/>
  <c r="C41" i="27"/>
  <c r="D40" i="27"/>
  <c r="AH39" i="27"/>
  <c r="D39" i="27"/>
  <c r="C39" i="27"/>
  <c r="E17" i="27" s="1"/>
  <c r="AE38" i="27"/>
  <c r="AD38" i="27"/>
  <c r="AC38" i="27"/>
  <c r="AB38" i="27"/>
  <c r="AA38" i="27"/>
  <c r="Z38" i="27"/>
  <c r="Y38" i="27"/>
  <c r="X38" i="27"/>
  <c r="W38" i="27"/>
  <c r="V38" i="27"/>
  <c r="U38" i="27"/>
  <c r="T38" i="27"/>
  <c r="S38" i="27"/>
  <c r="R38" i="27"/>
  <c r="Q38" i="27"/>
  <c r="P38" i="27"/>
  <c r="O38" i="27"/>
  <c r="N38" i="27"/>
  <c r="M38" i="27"/>
  <c r="L38" i="27"/>
  <c r="K38" i="27"/>
  <c r="J38" i="27"/>
  <c r="I38" i="27"/>
  <c r="H38" i="27"/>
  <c r="G38" i="27"/>
  <c r="F38" i="27"/>
  <c r="E38" i="27"/>
  <c r="D38" i="27"/>
  <c r="AE37" i="27"/>
  <c r="AD37" i="27"/>
  <c r="AC37" i="27"/>
  <c r="AB37" i="27"/>
  <c r="AA37" i="27"/>
  <c r="Z37" i="27"/>
  <c r="Y37" i="27"/>
  <c r="X37" i="27"/>
  <c r="W37" i="27"/>
  <c r="V37" i="27"/>
  <c r="U37" i="27"/>
  <c r="T37" i="27"/>
  <c r="S37" i="27"/>
  <c r="R37" i="27"/>
  <c r="Q37" i="27"/>
  <c r="P37" i="27"/>
  <c r="O37" i="27"/>
  <c r="N37" i="27"/>
  <c r="M37" i="27"/>
  <c r="L37" i="27"/>
  <c r="K37" i="27"/>
  <c r="J37" i="27"/>
  <c r="I37" i="27"/>
  <c r="C37" i="27" s="1"/>
  <c r="H37" i="27"/>
  <c r="G37" i="27"/>
  <c r="F37" i="27"/>
  <c r="E37" i="27"/>
  <c r="D37" i="27"/>
  <c r="S36" i="27"/>
  <c r="R36" i="27"/>
  <c r="E34" i="27"/>
  <c r="N18" i="27"/>
  <c r="M18" i="27"/>
  <c r="L18" i="27"/>
  <c r="K18" i="27"/>
  <c r="K17" i="27"/>
  <c r="C17" i="27"/>
  <c r="K16" i="27"/>
  <c r="L15" i="27"/>
  <c r="H15" i="27"/>
  <c r="K15" i="27" s="1"/>
  <c r="M15" i="27" s="1"/>
  <c r="K14" i="27"/>
  <c r="L13" i="27"/>
  <c r="H13" i="27"/>
  <c r="K13" i="27" s="1"/>
  <c r="M13" i="27" s="1"/>
  <c r="K12" i="27"/>
  <c r="C12" i="27"/>
  <c r="I36" i="27" s="1"/>
  <c r="L11" i="27"/>
  <c r="N11" i="27" s="1"/>
  <c r="K11" i="27"/>
  <c r="H11" i="27"/>
  <c r="K10" i="27"/>
  <c r="L9" i="27"/>
  <c r="H9" i="27"/>
  <c r="K9" i="27" s="1"/>
  <c r="M9" i="27" s="1"/>
  <c r="N8" i="27"/>
  <c r="M8" i="27"/>
  <c r="L8" i="27"/>
  <c r="K8" i="27"/>
  <c r="H8" i="27"/>
  <c r="C8" i="27"/>
  <c r="L7" i="27"/>
  <c r="H7" i="27"/>
  <c r="K7" i="27" s="1"/>
  <c r="M7" i="27" s="1"/>
  <c r="L6" i="27"/>
  <c r="N6" i="27" s="1"/>
  <c r="K6" i="27"/>
  <c r="M6" i="27" s="1"/>
  <c r="H6" i="27"/>
  <c r="C67" i="26"/>
  <c r="D56" i="26"/>
  <c r="D51" i="26"/>
  <c r="AH43" i="26"/>
  <c r="AG43" i="26"/>
  <c r="AF43" i="26"/>
  <c r="AE43" i="26"/>
  <c r="AD43" i="26"/>
  <c r="AC43" i="26"/>
  <c r="AB43" i="26"/>
  <c r="AA43" i="26"/>
  <c r="Z43" i="26"/>
  <c r="Y43" i="26"/>
  <c r="X43" i="26"/>
  <c r="W43" i="26"/>
  <c r="V43" i="26"/>
  <c r="U43" i="26"/>
  <c r="T43" i="26"/>
  <c r="S43" i="26"/>
  <c r="R43" i="26"/>
  <c r="Q43" i="26"/>
  <c r="P43" i="26"/>
  <c r="O43" i="26"/>
  <c r="N43" i="26"/>
  <c r="M43" i="26"/>
  <c r="L43" i="26"/>
  <c r="K43" i="26"/>
  <c r="J43" i="26"/>
  <c r="I43" i="26"/>
  <c r="H43" i="26"/>
  <c r="G43" i="26"/>
  <c r="F43" i="26"/>
  <c r="E43" i="26"/>
  <c r="AH41" i="26"/>
  <c r="C41" i="26"/>
  <c r="Q40" i="26"/>
  <c r="D40" i="26"/>
  <c r="AH39" i="26"/>
  <c r="D39" i="26"/>
  <c r="C39" i="26"/>
  <c r="AE38" i="26"/>
  <c r="AD38" i="26"/>
  <c r="AC38" i="26"/>
  <c r="AB38" i="26"/>
  <c r="AA38" i="26"/>
  <c r="Z38" i="26"/>
  <c r="Y38" i="26"/>
  <c r="X38" i="26"/>
  <c r="W38" i="26"/>
  <c r="V38" i="26"/>
  <c r="U38" i="26"/>
  <c r="T38" i="26"/>
  <c r="S38" i="26"/>
  <c r="R38" i="26"/>
  <c r="Q38" i="26"/>
  <c r="P38" i="26"/>
  <c r="O38" i="26"/>
  <c r="N38" i="26"/>
  <c r="M38" i="26"/>
  <c r="L38" i="26"/>
  <c r="K38" i="26"/>
  <c r="J38" i="26"/>
  <c r="I38" i="26"/>
  <c r="H38" i="26"/>
  <c r="G38" i="26"/>
  <c r="F38" i="26"/>
  <c r="E38" i="26"/>
  <c r="D38" i="26"/>
  <c r="AE37" i="26"/>
  <c r="AD37" i="26"/>
  <c r="AC37" i="26"/>
  <c r="AB37" i="26"/>
  <c r="AA37" i="26"/>
  <c r="Z37" i="26"/>
  <c r="Y37" i="26"/>
  <c r="X37" i="26"/>
  <c r="W37" i="26"/>
  <c r="V37" i="26"/>
  <c r="U37" i="26"/>
  <c r="T37" i="26"/>
  <c r="S37" i="26"/>
  <c r="R37" i="26"/>
  <c r="Q37" i="26"/>
  <c r="P37" i="26"/>
  <c r="O37" i="26"/>
  <c r="N37" i="26"/>
  <c r="M37" i="26"/>
  <c r="L37" i="26"/>
  <c r="K37" i="26"/>
  <c r="J37" i="26"/>
  <c r="I37" i="26"/>
  <c r="H37" i="26"/>
  <c r="G37" i="26"/>
  <c r="F37" i="26"/>
  <c r="E37" i="26"/>
  <c r="D37" i="26"/>
  <c r="Z36" i="26"/>
  <c r="Y36" i="26"/>
  <c r="T36" i="26"/>
  <c r="S36" i="26"/>
  <c r="E34" i="26"/>
  <c r="F34" i="26" s="1"/>
  <c r="G34" i="26" s="1"/>
  <c r="H34" i="26" s="1"/>
  <c r="I34" i="26" s="1"/>
  <c r="J34" i="26" s="1"/>
  <c r="K34" i="26" s="1"/>
  <c r="L34" i="26" s="1"/>
  <c r="M34" i="26" s="1"/>
  <c r="N34" i="26" s="1"/>
  <c r="O34" i="26" s="1"/>
  <c r="P34" i="26" s="1"/>
  <c r="Q34" i="26" s="1"/>
  <c r="R34" i="26" s="1"/>
  <c r="S34" i="26" s="1"/>
  <c r="T34" i="26" s="1"/>
  <c r="U34" i="26" s="1"/>
  <c r="V34" i="26" s="1"/>
  <c r="W34" i="26" s="1"/>
  <c r="X34" i="26" s="1"/>
  <c r="Y34" i="26" s="1"/>
  <c r="Z34" i="26" s="1"/>
  <c r="AA34" i="26" s="1"/>
  <c r="AB34" i="26" s="1"/>
  <c r="AC34" i="26" s="1"/>
  <c r="AD34" i="26" s="1"/>
  <c r="AE34" i="26" s="1"/>
  <c r="AF34" i="26" s="1"/>
  <c r="AG34" i="26" s="1"/>
  <c r="AH34" i="26" s="1"/>
  <c r="C21" i="26"/>
  <c r="Y42" i="26" s="1"/>
  <c r="N18" i="26"/>
  <c r="M18" i="26"/>
  <c r="L18" i="26"/>
  <c r="K18" i="26"/>
  <c r="K17" i="26"/>
  <c r="E17" i="26"/>
  <c r="C17" i="26"/>
  <c r="K16" i="26"/>
  <c r="L15" i="26"/>
  <c r="H15" i="26"/>
  <c r="K15" i="26" s="1"/>
  <c r="M15" i="26" s="1"/>
  <c r="K14" i="26"/>
  <c r="L13" i="26"/>
  <c r="N13" i="26" s="1"/>
  <c r="K13" i="26"/>
  <c r="H13" i="26"/>
  <c r="K12" i="26"/>
  <c r="C12" i="26"/>
  <c r="Q36" i="26" s="1"/>
  <c r="L11" i="26"/>
  <c r="H11" i="26"/>
  <c r="K11" i="26" s="1"/>
  <c r="M11" i="26" s="1"/>
  <c r="E11" i="26"/>
  <c r="K10" i="26"/>
  <c r="L9" i="26"/>
  <c r="H9" i="26"/>
  <c r="K9" i="26" s="1"/>
  <c r="M9" i="26" s="1"/>
  <c r="L8" i="26"/>
  <c r="N8" i="26" s="1"/>
  <c r="H8" i="26"/>
  <c r="K8" i="26" s="1"/>
  <c r="M8" i="26" s="1"/>
  <c r="C8" i="26"/>
  <c r="L7" i="26"/>
  <c r="H7" i="26"/>
  <c r="K7" i="26" s="1"/>
  <c r="M7" i="26" s="1"/>
  <c r="L6" i="26"/>
  <c r="N6" i="26" s="1"/>
  <c r="K6" i="26"/>
  <c r="M6" i="26" s="1"/>
  <c r="H6" i="26"/>
  <c r="M8" i="25" l="1"/>
  <c r="N8" i="25"/>
  <c r="N9" i="25"/>
  <c r="M9" i="25"/>
  <c r="M11" i="25"/>
  <c r="N11" i="25"/>
  <c r="D15" i="25"/>
  <c r="M13" i="25"/>
  <c r="N13" i="25"/>
  <c r="I40" i="27"/>
  <c r="I51" i="27"/>
  <c r="N13" i="27"/>
  <c r="U36" i="27"/>
  <c r="S51" i="27"/>
  <c r="N7" i="27"/>
  <c r="E11" i="27"/>
  <c r="F34" i="27"/>
  <c r="G34" i="27" s="1"/>
  <c r="H34" i="27" s="1"/>
  <c r="I34" i="27" s="1"/>
  <c r="J34" i="27" s="1"/>
  <c r="K34" i="27" s="1"/>
  <c r="L34" i="27" s="1"/>
  <c r="M34" i="27" s="1"/>
  <c r="N34" i="27" s="1"/>
  <c r="O34" i="27" s="1"/>
  <c r="P34" i="27" s="1"/>
  <c r="Q34" i="27" s="1"/>
  <c r="R34" i="27" s="1"/>
  <c r="S34" i="27" s="1"/>
  <c r="T34" i="27" s="1"/>
  <c r="U34" i="27" s="1"/>
  <c r="V34" i="27" s="1"/>
  <c r="W34" i="27" s="1"/>
  <c r="X34" i="27" s="1"/>
  <c r="Y34" i="27" s="1"/>
  <c r="Z34" i="27" s="1"/>
  <c r="AA34" i="27" s="1"/>
  <c r="AB34" i="27" s="1"/>
  <c r="AC34" i="27" s="1"/>
  <c r="AD34" i="27" s="1"/>
  <c r="AE34" i="27" s="1"/>
  <c r="AF34" i="27" s="1"/>
  <c r="AG34" i="27" s="1"/>
  <c r="AH34" i="27" s="1"/>
  <c r="F36" i="27"/>
  <c r="AF36" i="27"/>
  <c r="C38" i="27"/>
  <c r="N9" i="27"/>
  <c r="D15" i="27"/>
  <c r="E36" i="27"/>
  <c r="N15" i="27"/>
  <c r="AG36" i="27"/>
  <c r="C43" i="27"/>
  <c r="D43" i="27" s="1"/>
  <c r="R51" i="27"/>
  <c r="T36" i="27"/>
  <c r="AC36" i="27"/>
  <c r="AD36" i="27"/>
  <c r="C21" i="27"/>
  <c r="AE36" i="27"/>
  <c r="G36" i="27"/>
  <c r="G40" i="27" s="1"/>
  <c r="M11" i="27"/>
  <c r="H36" i="27"/>
  <c r="AB36" i="27"/>
  <c r="P36" i="27"/>
  <c r="W36" i="27"/>
  <c r="V36" i="27"/>
  <c r="AA36" i="27"/>
  <c r="AA40" i="27" s="1"/>
  <c r="O36" i="27"/>
  <c r="Z36" i="27"/>
  <c r="M36" i="27"/>
  <c r="AH36" i="27"/>
  <c r="N36" i="27"/>
  <c r="Y36" i="27"/>
  <c r="K36" i="27"/>
  <c r="X36" i="27"/>
  <c r="L36" i="27"/>
  <c r="J36" i="27"/>
  <c r="Q36" i="27"/>
  <c r="O40" i="27"/>
  <c r="P40" i="27"/>
  <c r="AB40" i="27"/>
  <c r="R40" i="27"/>
  <c r="AD40" i="27"/>
  <c r="S40" i="27"/>
  <c r="S54" i="27" s="1"/>
  <c r="S58" i="27" s="1"/>
  <c r="F42" i="26"/>
  <c r="N15" i="26"/>
  <c r="U42" i="26"/>
  <c r="I42" i="26"/>
  <c r="T42" i="26"/>
  <c r="H42" i="26"/>
  <c r="AC42" i="26"/>
  <c r="Q42" i="26"/>
  <c r="E42" i="26"/>
  <c r="O42" i="26"/>
  <c r="Z42" i="26"/>
  <c r="Z45" i="26" s="1"/>
  <c r="Z46" i="26" s="1"/>
  <c r="AB42" i="26"/>
  <c r="P42" i="26"/>
  <c r="AA42" i="26"/>
  <c r="N42" i="26"/>
  <c r="W42" i="26"/>
  <c r="S42" i="26"/>
  <c r="K42" i="26"/>
  <c r="V42" i="26"/>
  <c r="R42" i="26"/>
  <c r="M42" i="26"/>
  <c r="L42" i="26"/>
  <c r="J42" i="26"/>
  <c r="AE42" i="26"/>
  <c r="G42" i="26"/>
  <c r="AD42" i="26"/>
  <c r="X42" i="26"/>
  <c r="S51" i="26"/>
  <c r="S50" i="26"/>
  <c r="S52" i="26" s="1"/>
  <c r="S53" i="26" s="1"/>
  <c r="S54" i="26"/>
  <c r="S58" i="26" s="1"/>
  <c r="S45" i="26"/>
  <c r="S46" i="26" s="1"/>
  <c r="Q45" i="26"/>
  <c r="Q46" i="26" s="1"/>
  <c r="Q54" i="26"/>
  <c r="Q51" i="26"/>
  <c r="N7" i="26"/>
  <c r="C38" i="26"/>
  <c r="N11" i="26"/>
  <c r="T51" i="26"/>
  <c r="T40" i="26"/>
  <c r="Y51" i="26"/>
  <c r="Y45" i="26"/>
  <c r="Y46" i="26" s="1"/>
  <c r="Z54" i="26"/>
  <c r="Z51" i="26"/>
  <c r="E36" i="26"/>
  <c r="E40" i="26" s="1"/>
  <c r="AD36" i="26"/>
  <c r="G36" i="26"/>
  <c r="H36" i="26"/>
  <c r="H40" i="26" s="1"/>
  <c r="N36" i="26"/>
  <c r="AB36" i="26"/>
  <c r="P36" i="26"/>
  <c r="AA36" i="26"/>
  <c r="O36" i="26"/>
  <c r="X36" i="26"/>
  <c r="L36" i="26"/>
  <c r="AH36" i="26"/>
  <c r="J36" i="26"/>
  <c r="AG36" i="26"/>
  <c r="I36" i="26"/>
  <c r="W36" i="26"/>
  <c r="K36" i="26"/>
  <c r="V36" i="26"/>
  <c r="U36" i="26"/>
  <c r="AC36" i="26"/>
  <c r="C43" i="26"/>
  <c r="D43" i="26" s="1"/>
  <c r="F36" i="26"/>
  <c r="F40" i="26" s="1"/>
  <c r="AE36" i="26"/>
  <c r="AF36" i="26"/>
  <c r="AF40" i="26" s="1"/>
  <c r="AE40" i="26"/>
  <c r="S40" i="26"/>
  <c r="R40" i="26"/>
  <c r="AA40" i="26"/>
  <c r="O40" i="26"/>
  <c r="Y40" i="26"/>
  <c r="M40" i="26"/>
  <c r="Z40" i="26"/>
  <c r="N40" i="26"/>
  <c r="M36" i="26"/>
  <c r="N9" i="26"/>
  <c r="M13" i="26"/>
  <c r="C37" i="26"/>
  <c r="D15" i="26"/>
  <c r="R36" i="26"/>
  <c r="J40" i="26"/>
  <c r="AH40" i="26"/>
  <c r="Q50" i="26" l="1"/>
  <c r="Q52" i="26" s="1"/>
  <c r="Q53" i="26" s="1"/>
  <c r="Z51" i="27"/>
  <c r="Z40" i="27"/>
  <c r="Z45" i="27" s="1"/>
  <c r="Z46" i="27" s="1"/>
  <c r="Z54" i="27"/>
  <c r="Z58" i="27" s="1"/>
  <c r="U42" i="27"/>
  <c r="I42" i="27"/>
  <c r="I45" i="27" s="1"/>
  <c r="I46" i="27" s="1"/>
  <c r="AE42" i="27"/>
  <c r="AE45" i="27" s="1"/>
  <c r="AE46" i="27" s="1"/>
  <c r="G42" i="27"/>
  <c r="G45" i="27" s="1"/>
  <c r="G46" i="27" s="1"/>
  <c r="F42" i="27"/>
  <c r="O42" i="27"/>
  <c r="T42" i="27"/>
  <c r="H42" i="27"/>
  <c r="S42" i="27"/>
  <c r="AD42" i="27"/>
  <c r="N42" i="27"/>
  <c r="R42" i="27"/>
  <c r="R50" i="27" s="1"/>
  <c r="R52" i="27" s="1"/>
  <c r="R53" i="27" s="1"/>
  <c r="AA42" i="27"/>
  <c r="AA45" i="27" s="1"/>
  <c r="AA46" i="27" s="1"/>
  <c r="AC42" i="27"/>
  <c r="AC45" i="27" s="1"/>
  <c r="AC46" i="27" s="1"/>
  <c r="Q42" i="27"/>
  <c r="E42" i="27"/>
  <c r="E45" i="27" s="1"/>
  <c r="E46" i="27" s="1"/>
  <c r="AB42" i="27"/>
  <c r="AB45" i="27" s="1"/>
  <c r="AB46" i="27" s="1"/>
  <c r="P42" i="27"/>
  <c r="J42" i="27"/>
  <c r="X42" i="27"/>
  <c r="L42" i="27"/>
  <c r="W42" i="27"/>
  <c r="Z42" i="27"/>
  <c r="Y42" i="27"/>
  <c r="K42" i="27"/>
  <c r="K45" i="27" s="1"/>
  <c r="K46" i="27" s="1"/>
  <c r="V42" i="27"/>
  <c r="M42" i="27"/>
  <c r="M45" i="27" s="1"/>
  <c r="M46" i="27" s="1"/>
  <c r="U45" i="27"/>
  <c r="U46" i="27" s="1"/>
  <c r="U54" i="27"/>
  <c r="U58" i="27" s="1"/>
  <c r="U51" i="27"/>
  <c r="U40" i="27"/>
  <c r="O45" i="27"/>
  <c r="O46" i="27" s="1"/>
  <c r="O54" i="27"/>
  <c r="O51" i="27"/>
  <c r="O50" i="27"/>
  <c r="O52" i="27" s="1"/>
  <c r="O53" i="27" s="1"/>
  <c r="AD51" i="27"/>
  <c r="AD45" i="27"/>
  <c r="AD46" i="27" s="1"/>
  <c r="AD54" i="27"/>
  <c r="C36" i="27"/>
  <c r="E51" i="27"/>
  <c r="E54" i="27"/>
  <c r="AA54" i="27"/>
  <c r="AA51" i="27"/>
  <c r="AA50" i="27"/>
  <c r="AA52" i="27" s="1"/>
  <c r="AA53" i="27" s="1"/>
  <c r="T51" i="27"/>
  <c r="T40" i="27"/>
  <c r="T45" i="27" s="1"/>
  <c r="T46" i="27" s="1"/>
  <c r="W40" i="27"/>
  <c r="W54" i="27"/>
  <c r="W58" i="27" s="1"/>
  <c r="W45" i="27"/>
  <c r="W46" i="27" s="1"/>
  <c r="W51" i="27"/>
  <c r="I54" i="27"/>
  <c r="I58" i="27" s="1"/>
  <c r="V51" i="27"/>
  <c r="V40" i="27"/>
  <c r="V54" i="27" s="1"/>
  <c r="V58" i="27" s="1"/>
  <c r="I50" i="27"/>
  <c r="I52" i="27" s="1"/>
  <c r="I53" i="27" s="1"/>
  <c r="AH54" i="27"/>
  <c r="AH58" i="27" s="1"/>
  <c r="AH50" i="27"/>
  <c r="AH52" i="27" s="1"/>
  <c r="AH53" i="27" s="1"/>
  <c r="AH45" i="27"/>
  <c r="AH46" i="27" s="1"/>
  <c r="AH51" i="27"/>
  <c r="AH40" i="27"/>
  <c r="AF40" i="27"/>
  <c r="AF45" i="27" s="1"/>
  <c r="AF46" i="27" s="1"/>
  <c r="AF51" i="27"/>
  <c r="J40" i="27"/>
  <c r="J45" i="27" s="1"/>
  <c r="J46" i="27" s="1"/>
  <c r="J51" i="27"/>
  <c r="F51" i="27"/>
  <c r="L51" i="27"/>
  <c r="L40" i="27"/>
  <c r="E40" i="27"/>
  <c r="K40" i="27"/>
  <c r="K51" i="27"/>
  <c r="K54" i="27"/>
  <c r="K58" i="27" s="1"/>
  <c r="H40" i="27"/>
  <c r="H45" i="27" s="1"/>
  <c r="H46" i="27" s="1"/>
  <c r="H51" i="27"/>
  <c r="AE51" i="27"/>
  <c r="AE54" i="27"/>
  <c r="AE58" i="27" s="1"/>
  <c r="Q51" i="27"/>
  <c r="Q45" i="27"/>
  <c r="Q46" i="27" s="1"/>
  <c r="Q54" i="27"/>
  <c r="Q58" i="27" s="1"/>
  <c r="R54" i="27"/>
  <c r="R58" i="27" s="1"/>
  <c r="X50" i="27"/>
  <c r="X40" i="27"/>
  <c r="X51" i="27"/>
  <c r="X54" i="27"/>
  <c r="X58" i="27" s="1"/>
  <c r="X45" i="27"/>
  <c r="X46" i="27" s="1"/>
  <c r="Y50" i="27"/>
  <c r="Y52" i="27" s="1"/>
  <c r="Y53" i="27" s="1"/>
  <c r="Y51" i="27"/>
  <c r="Y40" i="27"/>
  <c r="Y54" i="27" s="1"/>
  <c r="Y58" i="27" s="1"/>
  <c r="S45" i="27"/>
  <c r="S46" i="27" s="1"/>
  <c r="S50" i="27"/>
  <c r="S52" i="27" s="1"/>
  <c r="S53" i="27" s="1"/>
  <c r="G51" i="27"/>
  <c r="G54" i="27"/>
  <c r="G58" i="27" s="1"/>
  <c r="M51" i="27"/>
  <c r="M40" i="27"/>
  <c r="M50" i="27" s="1"/>
  <c r="M52" i="27" s="1"/>
  <c r="M53" i="27" s="1"/>
  <c r="AC51" i="27"/>
  <c r="AC54" i="27"/>
  <c r="AC58" i="27" s="1"/>
  <c r="AC50" i="27"/>
  <c r="AC52" i="27" s="1"/>
  <c r="AC53" i="27" s="1"/>
  <c r="F40" i="27"/>
  <c r="P50" i="27"/>
  <c r="P52" i="27" s="1"/>
  <c r="P53" i="27" s="1"/>
  <c r="P51" i="27"/>
  <c r="P45" i="27"/>
  <c r="P46" i="27" s="1"/>
  <c r="P54" i="27"/>
  <c r="AC40" i="27"/>
  <c r="AB51" i="27"/>
  <c r="AB54" i="27"/>
  <c r="AB58" i="27" s="1"/>
  <c r="Q40" i="27"/>
  <c r="N40" i="27"/>
  <c r="N51" i="27"/>
  <c r="AE40" i="27"/>
  <c r="AE50" i="27" s="1"/>
  <c r="AE52" i="27" s="1"/>
  <c r="AE53" i="27" s="1"/>
  <c r="AG51" i="27"/>
  <c r="AG40" i="27"/>
  <c r="AG45" i="27" s="1"/>
  <c r="AG46" i="27" s="1"/>
  <c r="G51" i="26"/>
  <c r="AA51" i="26"/>
  <c r="AA50" i="26"/>
  <c r="AA52" i="26" s="1"/>
  <c r="AA53" i="26" s="1"/>
  <c r="AA45" i="26"/>
  <c r="AA46" i="26" s="1"/>
  <c r="AA54" i="26"/>
  <c r="AA58" i="26" s="1"/>
  <c r="V51" i="26"/>
  <c r="V40" i="26"/>
  <c r="V54" i="26" s="1"/>
  <c r="V58" i="26" s="1"/>
  <c r="AB51" i="26"/>
  <c r="K51" i="26"/>
  <c r="K40" i="26"/>
  <c r="K50" i="26" s="1"/>
  <c r="K52" i="26" s="1"/>
  <c r="K53" i="26" s="1"/>
  <c r="K45" i="26"/>
  <c r="K46" i="26" s="1"/>
  <c r="Z50" i="26"/>
  <c r="Z52" i="26" s="1"/>
  <c r="Z53" i="26" s="1"/>
  <c r="L51" i="26"/>
  <c r="L50" i="26"/>
  <c r="L52" i="26" s="1"/>
  <c r="L53" i="26" s="1"/>
  <c r="L54" i="26"/>
  <c r="L58" i="26" s="1"/>
  <c r="L45" i="26"/>
  <c r="L46" i="26" s="1"/>
  <c r="O51" i="26"/>
  <c r="O50" i="26"/>
  <c r="O52" i="26" s="1"/>
  <c r="O53" i="26" s="1"/>
  <c r="O45" i="26"/>
  <c r="O46" i="26" s="1"/>
  <c r="O54" i="26"/>
  <c r="O58" i="26" s="1"/>
  <c r="AD51" i="26"/>
  <c r="AD54" i="26"/>
  <c r="AD58" i="26" s="1"/>
  <c r="AD45" i="26"/>
  <c r="AD46" i="26" s="1"/>
  <c r="Y50" i="26"/>
  <c r="Y52" i="26" s="1"/>
  <c r="Y53" i="26" s="1"/>
  <c r="C42" i="26"/>
  <c r="P45" i="26"/>
  <c r="P46" i="26" s="1"/>
  <c r="P51" i="26"/>
  <c r="P40" i="26"/>
  <c r="P54" i="26" s="1"/>
  <c r="P58" i="26" s="1"/>
  <c r="AD40" i="26"/>
  <c r="AD50" i="26" s="1"/>
  <c r="AD52" i="26" s="1"/>
  <c r="AD53" i="26" s="1"/>
  <c r="I54" i="26"/>
  <c r="I51" i="26"/>
  <c r="I50" i="26"/>
  <c r="I52" i="26" s="1"/>
  <c r="I53" i="26" s="1"/>
  <c r="AG45" i="26"/>
  <c r="AG46" i="26" s="1"/>
  <c r="AG51" i="26"/>
  <c r="AG40" i="26"/>
  <c r="AG54" i="26" s="1"/>
  <c r="AG58" i="26" s="1"/>
  <c r="X51" i="26"/>
  <c r="X54" i="26"/>
  <c r="X58" i="26" s="1"/>
  <c r="C36" i="26"/>
  <c r="E45" i="26"/>
  <c r="E46" i="26" s="1"/>
  <c r="E54" i="26"/>
  <c r="E51" i="26"/>
  <c r="T50" i="26"/>
  <c r="T52" i="26" s="1"/>
  <c r="T53" i="26" s="1"/>
  <c r="M51" i="26"/>
  <c r="M50" i="26"/>
  <c r="M52" i="26" s="1"/>
  <c r="M53" i="26" s="1"/>
  <c r="M54" i="26"/>
  <c r="M58" i="26" s="1"/>
  <c r="M45" i="26"/>
  <c r="M46" i="26" s="1"/>
  <c r="AB40" i="26"/>
  <c r="AB54" i="26" s="1"/>
  <c r="AB58" i="26" s="1"/>
  <c r="G40" i="26"/>
  <c r="C40" i="26" s="1"/>
  <c r="W51" i="26"/>
  <c r="W40" i="26"/>
  <c r="W45" i="26" s="1"/>
  <c r="W46" i="26" s="1"/>
  <c r="W50" i="26"/>
  <c r="W52" i="26" s="1"/>
  <c r="W53" i="26" s="1"/>
  <c r="W54" i="26"/>
  <c r="W58" i="26" s="1"/>
  <c r="Z58" i="26"/>
  <c r="T45" i="26"/>
  <c r="T46" i="26" s="1"/>
  <c r="X40" i="26"/>
  <c r="AF45" i="26"/>
  <c r="AF46" i="26" s="1"/>
  <c r="AF54" i="26"/>
  <c r="AF50" i="26"/>
  <c r="AF51" i="26"/>
  <c r="J54" i="26"/>
  <c r="J50" i="26"/>
  <c r="J52" i="26" s="1"/>
  <c r="J53" i="26" s="1"/>
  <c r="J45" i="26"/>
  <c r="J46" i="26" s="1"/>
  <c r="J51" i="26"/>
  <c r="Y54" i="26"/>
  <c r="Y58" i="26" s="1"/>
  <c r="F51" i="26"/>
  <c r="F50" i="26"/>
  <c r="F52" i="26" s="1"/>
  <c r="F53" i="26" s="1"/>
  <c r="F54" i="26"/>
  <c r="F58" i="26" s="1"/>
  <c r="F45" i="26"/>
  <c r="F46" i="26" s="1"/>
  <c r="H45" i="26"/>
  <c r="H46" i="26" s="1"/>
  <c r="H54" i="26"/>
  <c r="H51" i="26"/>
  <c r="H50" i="26"/>
  <c r="H52" i="26" s="1"/>
  <c r="H53" i="26" s="1"/>
  <c r="AC51" i="26"/>
  <c r="Q58" i="26"/>
  <c r="AC40" i="26"/>
  <c r="AC45" i="26" s="1"/>
  <c r="AC46" i="26" s="1"/>
  <c r="U45" i="26"/>
  <c r="U46" i="26" s="1"/>
  <c r="U51" i="26"/>
  <c r="U40" i="26"/>
  <c r="U54" i="26" s="1"/>
  <c r="U58" i="26" s="1"/>
  <c r="T54" i="26"/>
  <c r="T58" i="26" s="1"/>
  <c r="I40" i="26"/>
  <c r="I45" i="26" s="1"/>
  <c r="I46" i="26" s="1"/>
  <c r="R51" i="26"/>
  <c r="R54" i="26"/>
  <c r="R58" i="26" s="1"/>
  <c r="R45" i="26"/>
  <c r="R46" i="26" s="1"/>
  <c r="R50" i="26"/>
  <c r="R52" i="26" s="1"/>
  <c r="R53" i="26" s="1"/>
  <c r="L40" i="26"/>
  <c r="AE51" i="26"/>
  <c r="AE50" i="26"/>
  <c r="AE52" i="26" s="1"/>
  <c r="AE53" i="26" s="1"/>
  <c r="AE45" i="26"/>
  <c r="AE46" i="26" s="1"/>
  <c r="AE54" i="26"/>
  <c r="AE58" i="26" s="1"/>
  <c r="AH54" i="26"/>
  <c r="AH50" i="26"/>
  <c r="AH51" i="26"/>
  <c r="AH45" i="26"/>
  <c r="AH46" i="26" s="1"/>
  <c r="N51" i="26"/>
  <c r="N50" i="26"/>
  <c r="N45" i="26"/>
  <c r="N46" i="26" s="1"/>
  <c r="N54" i="26"/>
  <c r="AD50" i="27" l="1"/>
  <c r="AD52" i="27" s="1"/>
  <c r="AD53" i="27" s="1"/>
  <c r="N50" i="27"/>
  <c r="N52" i="27" s="1"/>
  <c r="N53" i="27" s="1"/>
  <c r="L54" i="27"/>
  <c r="L58" i="27" s="1"/>
  <c r="AA58" i="27"/>
  <c r="AB50" i="27"/>
  <c r="AB52" i="27" s="1"/>
  <c r="AB53" i="27" s="1"/>
  <c r="W50" i="27"/>
  <c r="W52" i="27" s="1"/>
  <c r="W53" i="27" s="1"/>
  <c r="AG50" i="27"/>
  <c r="AG52" i="27" s="1"/>
  <c r="AG53" i="27" s="1"/>
  <c r="L50" i="27"/>
  <c r="L52" i="27" s="1"/>
  <c r="L53" i="27" s="1"/>
  <c r="J54" i="27"/>
  <c r="J58" i="27" s="1"/>
  <c r="E50" i="27"/>
  <c r="X52" i="27"/>
  <c r="X53" i="27" s="1"/>
  <c r="C48" i="27"/>
  <c r="F54" i="27"/>
  <c r="F58" i="27" s="1"/>
  <c r="AF54" i="27"/>
  <c r="AF58" i="27" s="1"/>
  <c r="V45" i="27"/>
  <c r="V46" i="27" s="1"/>
  <c r="Z50" i="27"/>
  <c r="Z52" i="27" s="1"/>
  <c r="Z53" i="27" s="1"/>
  <c r="H54" i="27"/>
  <c r="H58" i="27" s="1"/>
  <c r="N54" i="27"/>
  <c r="N58" i="27" s="1"/>
  <c r="F45" i="27"/>
  <c r="F46" i="27" s="1"/>
  <c r="C51" i="27"/>
  <c r="AG54" i="27"/>
  <c r="AG58" i="27" s="1"/>
  <c r="O58" i="27"/>
  <c r="F50" i="27"/>
  <c r="F52" i="27" s="1"/>
  <c r="F53" i="27" s="1"/>
  <c r="N45" i="27"/>
  <c r="N46" i="27" s="1"/>
  <c r="AF50" i="27"/>
  <c r="AF52" i="27" s="1"/>
  <c r="AF53" i="27" s="1"/>
  <c r="T50" i="27"/>
  <c r="T52" i="27" s="1"/>
  <c r="T53" i="27" s="1"/>
  <c r="D36" i="27"/>
  <c r="E12" i="27"/>
  <c r="U50" i="27"/>
  <c r="U52" i="27" s="1"/>
  <c r="U53" i="27" s="1"/>
  <c r="H50" i="27"/>
  <c r="H52" i="27" s="1"/>
  <c r="H53" i="27" s="1"/>
  <c r="L45" i="27"/>
  <c r="L46" i="27" s="1"/>
  <c r="G50" i="27"/>
  <c r="G52" i="27" s="1"/>
  <c r="G53" i="27" s="1"/>
  <c r="V50" i="27"/>
  <c r="V52" i="27" s="1"/>
  <c r="V53" i="27" s="1"/>
  <c r="T54" i="27"/>
  <c r="T58" i="27" s="1"/>
  <c r="M54" i="27"/>
  <c r="M58" i="27" s="1"/>
  <c r="Y45" i="27"/>
  <c r="Y46" i="27" s="1"/>
  <c r="P58" i="27"/>
  <c r="R45" i="27"/>
  <c r="R46" i="27" s="1"/>
  <c r="C42" i="27"/>
  <c r="Q50" i="27"/>
  <c r="Q52" i="27" s="1"/>
  <c r="Q53" i="27" s="1"/>
  <c r="J50" i="27"/>
  <c r="J52" i="27" s="1"/>
  <c r="J53" i="27" s="1"/>
  <c r="E58" i="27"/>
  <c r="C40" i="27"/>
  <c r="AD58" i="27"/>
  <c r="D42" i="26"/>
  <c r="E19" i="26"/>
  <c r="AF58" i="26"/>
  <c r="AB50" i="26"/>
  <c r="AB52" i="26" s="1"/>
  <c r="AB53" i="26" s="1"/>
  <c r="AC50" i="26"/>
  <c r="AC52" i="26" s="1"/>
  <c r="AC53" i="26" s="1"/>
  <c r="X50" i="26"/>
  <c r="X52" i="26" s="1"/>
  <c r="X53" i="26" s="1"/>
  <c r="AB45" i="26"/>
  <c r="AB46" i="26" s="1"/>
  <c r="G50" i="26"/>
  <c r="G52" i="26" s="1"/>
  <c r="G53" i="26" s="1"/>
  <c r="D36" i="26"/>
  <c r="C45" i="26"/>
  <c r="D46" i="26" s="1"/>
  <c r="E12" i="26"/>
  <c r="G54" i="26"/>
  <c r="G58" i="26" s="1"/>
  <c r="AC54" i="26"/>
  <c r="AC58" i="26" s="1"/>
  <c r="G45" i="26"/>
  <c r="G46" i="26" s="1"/>
  <c r="K54" i="26"/>
  <c r="K58" i="26" s="1"/>
  <c r="V45" i="26"/>
  <c r="V46" i="26" s="1"/>
  <c r="C54" i="26"/>
  <c r="E58" i="26"/>
  <c r="C71" i="26"/>
  <c r="AH52" i="26"/>
  <c r="AH53" i="26" s="1"/>
  <c r="I58" i="26"/>
  <c r="N58" i="26"/>
  <c r="E50" i="26"/>
  <c r="AG50" i="26"/>
  <c r="AG52" i="26" s="1"/>
  <c r="AG53" i="26" s="1"/>
  <c r="P50" i="26"/>
  <c r="P52" i="26" s="1"/>
  <c r="P53" i="26" s="1"/>
  <c r="V50" i="26"/>
  <c r="V52" i="26" s="1"/>
  <c r="V53" i="26" s="1"/>
  <c r="N52" i="26"/>
  <c r="N53" i="26" s="1"/>
  <c r="AF52" i="26"/>
  <c r="AF53" i="26" s="1"/>
  <c r="AH58" i="26"/>
  <c r="X45" i="26"/>
  <c r="X46" i="26" s="1"/>
  <c r="U50" i="26"/>
  <c r="U52" i="26" s="1"/>
  <c r="U53" i="26" s="1"/>
  <c r="H58" i="26"/>
  <c r="J58" i="26"/>
  <c r="C51" i="26"/>
  <c r="K50" i="27" l="1"/>
  <c r="K52" i="27" s="1"/>
  <c r="K53" i="27" s="1"/>
  <c r="D42" i="27"/>
  <c r="E19" i="27"/>
  <c r="C58" i="27"/>
  <c r="C45" i="27"/>
  <c r="D46" i="27" s="1"/>
  <c r="C71" i="27"/>
  <c r="C54" i="27"/>
  <c r="E52" i="27"/>
  <c r="E52" i="26"/>
  <c r="C50" i="26"/>
  <c r="C58" i="26"/>
  <c r="C48" i="26"/>
  <c r="C50" i="27" l="1"/>
  <c r="E53" i="27"/>
  <c r="C52" i="27"/>
  <c r="D53" i="27" s="1"/>
  <c r="C70" i="27"/>
  <c r="C72" i="27" s="1"/>
  <c r="E53" i="26"/>
  <c r="C52" i="26"/>
  <c r="D53" i="26" s="1"/>
  <c r="C70" i="26"/>
  <c r="C72" i="26" s="1"/>
  <c r="P36" i="25" l="1"/>
  <c r="AH41" i="25"/>
  <c r="F37" i="25"/>
  <c r="AA36" i="25" l="1"/>
  <c r="O36" i="25"/>
  <c r="Z36" i="25"/>
  <c r="N36" i="25"/>
  <c r="L36" i="25"/>
  <c r="K36" i="25"/>
  <c r="AH36" i="25"/>
  <c r="V36" i="25"/>
  <c r="AG36" i="25"/>
  <c r="U36" i="25"/>
  <c r="AF36" i="25"/>
  <c r="H36" i="25"/>
  <c r="G36" i="25"/>
  <c r="AD36" i="25"/>
  <c r="F36" i="25"/>
  <c r="AC36" i="25"/>
  <c r="Q36" i="25"/>
  <c r="Y36" i="25"/>
  <c r="M36" i="25"/>
  <c r="X36" i="25"/>
  <c r="E36" i="25"/>
  <c r="W36" i="25"/>
  <c r="J36" i="25"/>
  <c r="I36" i="25"/>
  <c r="T36" i="25"/>
  <c r="AE36" i="25"/>
  <c r="S36" i="25"/>
  <c r="R36" i="25"/>
  <c r="AB36" i="25"/>
  <c r="AH39" i="25"/>
  <c r="I37" i="25"/>
  <c r="P37" i="25"/>
  <c r="M37" i="25"/>
  <c r="J37" i="25"/>
  <c r="O37" i="25"/>
  <c r="AD37" i="25"/>
  <c r="AB37" i="25"/>
  <c r="AA37" i="25"/>
  <c r="Z37" i="25"/>
  <c r="N37" i="25"/>
  <c r="AE37" i="25"/>
  <c r="AC37" i="25"/>
  <c r="X37" i="25"/>
  <c r="L37" i="25"/>
  <c r="Q37" i="25"/>
  <c r="Y37" i="25"/>
  <c r="W37" i="25"/>
  <c r="K37" i="25"/>
  <c r="S37" i="25"/>
  <c r="R37" i="25"/>
  <c r="V37" i="25"/>
  <c r="U37" i="25"/>
  <c r="E37" i="25"/>
  <c r="T37" i="25"/>
  <c r="H37" i="25"/>
  <c r="G37" i="25"/>
  <c r="D56" i="25"/>
  <c r="AH43" i="25" l="1"/>
  <c r="AB38" i="25"/>
  <c r="AC38" i="25"/>
  <c r="AD38" i="25"/>
  <c r="AE38" i="25"/>
  <c r="AB43" i="25"/>
  <c r="AC43" i="25"/>
  <c r="AD43" i="25"/>
  <c r="AE43" i="25"/>
  <c r="AH51" i="25" l="1"/>
  <c r="AS22" i="6"/>
  <c r="C14" i="6"/>
  <c r="C12" i="6"/>
  <c r="C10" i="6"/>
  <c r="AB51" i="25" l="1"/>
  <c r="AE51" i="25"/>
  <c r="AC51" i="25"/>
  <c r="AD51" i="25"/>
  <c r="F43" i="25"/>
  <c r="G43" i="25"/>
  <c r="H43" i="25"/>
  <c r="I43" i="25"/>
  <c r="J43" i="25"/>
  <c r="K43" i="25"/>
  <c r="L43" i="25"/>
  <c r="M43" i="25"/>
  <c r="N43" i="25"/>
  <c r="O43" i="25"/>
  <c r="P43" i="25"/>
  <c r="Q43" i="25"/>
  <c r="R43" i="25"/>
  <c r="S43" i="25"/>
  <c r="T43" i="25"/>
  <c r="U43" i="25"/>
  <c r="V43" i="25"/>
  <c r="W43" i="25"/>
  <c r="X43" i="25"/>
  <c r="Y43" i="25"/>
  <c r="Z43" i="25"/>
  <c r="AA43" i="25"/>
  <c r="AF43" i="25"/>
  <c r="AG43" i="25"/>
  <c r="E43" i="25"/>
  <c r="E38" i="25"/>
  <c r="C67" i="25" l="1"/>
  <c r="C36" i="25" l="1"/>
  <c r="E12" i="25" s="1"/>
  <c r="E51" i="25"/>
  <c r="AF51" i="25"/>
  <c r="AG51" i="25"/>
  <c r="D51" i="25"/>
  <c r="C41" i="25"/>
  <c r="D40" i="25"/>
  <c r="C39" i="25"/>
  <c r="E17" i="25" s="1"/>
  <c r="D39" i="25"/>
  <c r="F38" i="25"/>
  <c r="G38" i="25"/>
  <c r="H38" i="25"/>
  <c r="I38" i="25"/>
  <c r="J38" i="25"/>
  <c r="K38" i="25"/>
  <c r="L38" i="25"/>
  <c r="M38" i="25"/>
  <c r="N38" i="25"/>
  <c r="O38" i="25"/>
  <c r="P38" i="25"/>
  <c r="Q38" i="25"/>
  <c r="R38" i="25"/>
  <c r="S38" i="25"/>
  <c r="T38" i="25"/>
  <c r="U38" i="25"/>
  <c r="V38" i="25"/>
  <c r="W38" i="25"/>
  <c r="X38" i="25"/>
  <c r="Y38" i="25"/>
  <c r="Z38" i="25"/>
  <c r="AA38" i="25"/>
  <c r="D38" i="25"/>
  <c r="C37" i="25"/>
  <c r="D37" i="25"/>
  <c r="E34" i="25"/>
  <c r="E11" i="25" s="1"/>
  <c r="D36" i="25" l="1"/>
  <c r="N42" i="25"/>
  <c r="Z42" i="25"/>
  <c r="O42" i="25"/>
  <c r="AA42" i="25"/>
  <c r="P42" i="25"/>
  <c r="AB42" i="25"/>
  <c r="Q42" i="25"/>
  <c r="AC42" i="25"/>
  <c r="F42" i="25"/>
  <c r="R42" i="25"/>
  <c r="AD42" i="25"/>
  <c r="S42" i="25"/>
  <c r="H42" i="25"/>
  <c r="T42" i="25"/>
  <c r="I42" i="25"/>
  <c r="J42" i="25"/>
  <c r="G42" i="25"/>
  <c r="AE42" i="25"/>
  <c r="E42" i="25"/>
  <c r="U42" i="25"/>
  <c r="V42" i="25"/>
  <c r="K42" i="25"/>
  <c r="W42" i="25"/>
  <c r="L42" i="25"/>
  <c r="X42" i="25"/>
  <c r="M42" i="25"/>
  <c r="Y42" i="25"/>
  <c r="E40" i="25"/>
  <c r="E48" i="25" s="1"/>
  <c r="AB40" i="25"/>
  <c r="AB48" i="25" s="1"/>
  <c r="AD40" i="25"/>
  <c r="AD48" i="25" s="1"/>
  <c r="AH40" i="25"/>
  <c r="AE40" i="25"/>
  <c r="AE48" i="25" s="1"/>
  <c r="AC40" i="25"/>
  <c r="AC48" i="25" s="1"/>
  <c r="C38" i="25"/>
  <c r="Y51" i="25"/>
  <c r="W51" i="25"/>
  <c r="Q51" i="25"/>
  <c r="M51" i="25"/>
  <c r="X51" i="25"/>
  <c r="L51" i="25"/>
  <c r="K51" i="25"/>
  <c r="F34" i="25"/>
  <c r="G34" i="25" s="1"/>
  <c r="H34" i="25" s="1"/>
  <c r="I34" i="25" s="1"/>
  <c r="J34" i="25" s="1"/>
  <c r="K34" i="25" s="1"/>
  <c r="L34" i="25" s="1"/>
  <c r="M34" i="25" s="1"/>
  <c r="N34" i="25" s="1"/>
  <c r="O34" i="25" s="1"/>
  <c r="P34" i="25" s="1"/>
  <c r="Q34" i="25" s="1"/>
  <c r="R34" i="25" s="1"/>
  <c r="S34" i="25" s="1"/>
  <c r="T34" i="25" s="1"/>
  <c r="U34" i="25" s="1"/>
  <c r="V34" i="25" s="1"/>
  <c r="W34" i="25" s="1"/>
  <c r="X34" i="25" s="1"/>
  <c r="Y34" i="25" s="1"/>
  <c r="Z34" i="25" s="1"/>
  <c r="AA34" i="25" s="1"/>
  <c r="H51" i="25"/>
  <c r="T51" i="25"/>
  <c r="P51" i="25"/>
  <c r="S51" i="25"/>
  <c r="R51" i="25"/>
  <c r="G51" i="25"/>
  <c r="F51" i="25"/>
  <c r="J51" i="25"/>
  <c r="AA51" i="25"/>
  <c r="O51" i="25"/>
  <c r="Z51" i="25"/>
  <c r="N51" i="25"/>
  <c r="U51" i="25"/>
  <c r="I51" i="25"/>
  <c r="V51" i="25"/>
  <c r="C43" i="25"/>
  <c r="D43" i="25" s="1"/>
  <c r="N40" i="25"/>
  <c r="N48" i="25" s="1"/>
  <c r="L40" i="25"/>
  <c r="L48" i="25" s="1"/>
  <c r="Z40" i="25"/>
  <c r="Z48" i="25" s="1"/>
  <c r="Y40" i="25"/>
  <c r="Y48" i="25" s="1"/>
  <c r="O40" i="25"/>
  <c r="O48" i="25" s="1"/>
  <c r="M40" i="25"/>
  <c r="M48" i="25" s="1"/>
  <c r="K40" i="25"/>
  <c r="K48" i="25" s="1"/>
  <c r="V40" i="25"/>
  <c r="V48" i="25" s="1"/>
  <c r="U40" i="25"/>
  <c r="U48" i="25" s="1"/>
  <c r="T40" i="25"/>
  <c r="T48" i="25" s="1"/>
  <c r="H40" i="25"/>
  <c r="H48" i="25" s="1"/>
  <c r="S40" i="25"/>
  <c r="S48" i="25" s="1"/>
  <c r="G40" i="25"/>
  <c r="G48" i="25" s="1"/>
  <c r="AG40" i="25"/>
  <c r="R40" i="25"/>
  <c r="R48" i="25" s="1"/>
  <c r="F40" i="25"/>
  <c r="F48" i="25" s="1"/>
  <c r="AF40" i="25"/>
  <c r="Q40" i="25"/>
  <c r="Q48" i="25" s="1"/>
  <c r="X40" i="25"/>
  <c r="X48" i="25" s="1"/>
  <c r="W40" i="25"/>
  <c r="W48" i="25" s="1"/>
  <c r="J40" i="25"/>
  <c r="J48" i="25" s="1"/>
  <c r="I40" i="25"/>
  <c r="I48" i="25" s="1"/>
  <c r="P40" i="25"/>
  <c r="P48" i="25" s="1"/>
  <c r="AA40" i="25"/>
  <c r="AA48" i="25" s="1"/>
  <c r="Z54" i="25" l="1"/>
  <c r="Z58" i="25" s="1"/>
  <c r="G54" i="25"/>
  <c r="G58" i="25" s="1"/>
  <c r="G50" i="25"/>
  <c r="G52" i="25" s="1"/>
  <c r="G53" i="25" s="1"/>
  <c r="S54" i="25"/>
  <c r="S58" i="25" s="1"/>
  <c r="S50" i="25"/>
  <c r="S52" i="25" s="1"/>
  <c r="S53" i="25" s="1"/>
  <c r="K54" i="25"/>
  <c r="K58" i="25" s="1"/>
  <c r="K50" i="25"/>
  <c r="K52" i="25" s="1"/>
  <c r="K53" i="25" s="1"/>
  <c r="E54" i="25"/>
  <c r="E58" i="25" s="1"/>
  <c r="E50" i="25"/>
  <c r="E52" i="25" s="1"/>
  <c r="E45" i="25"/>
  <c r="E46" i="25" s="1"/>
  <c r="AE50" i="25"/>
  <c r="AE52" i="25" s="1"/>
  <c r="AE53" i="25" s="1"/>
  <c r="AE45" i="25"/>
  <c r="AE46" i="25" s="1"/>
  <c r="AE54" i="25"/>
  <c r="AE58" i="25" s="1"/>
  <c r="AB45" i="25"/>
  <c r="AB46" i="25" s="1"/>
  <c r="AB50" i="25"/>
  <c r="AB52" i="25" s="1"/>
  <c r="AB53" i="25" s="1"/>
  <c r="AB54" i="25"/>
  <c r="AB58" i="25" s="1"/>
  <c r="AH45" i="25"/>
  <c r="AH46" i="25" s="1"/>
  <c r="AH54" i="25"/>
  <c r="AH58" i="25" s="1"/>
  <c r="AH50" i="25"/>
  <c r="AH52" i="25" s="1"/>
  <c r="AH53" i="25" s="1"/>
  <c r="Z50" i="25"/>
  <c r="Z52" i="25" s="1"/>
  <c r="Z53" i="25" s="1"/>
  <c r="AC50" i="25"/>
  <c r="AC52" i="25" s="1"/>
  <c r="AC53" i="25" s="1"/>
  <c r="AC45" i="25"/>
  <c r="AC46" i="25" s="1"/>
  <c r="AC54" i="25"/>
  <c r="AC58" i="25" s="1"/>
  <c r="AD45" i="25"/>
  <c r="AD46" i="25" s="1"/>
  <c r="AD54" i="25"/>
  <c r="AD58" i="25" s="1"/>
  <c r="AD50" i="25"/>
  <c r="AD52" i="25" s="1"/>
  <c r="AD53" i="25" s="1"/>
  <c r="C42" i="25"/>
  <c r="E19" i="25" s="1"/>
  <c r="AB34" i="25"/>
  <c r="AC34" i="25" s="1"/>
  <c r="AD34" i="25" s="1"/>
  <c r="AE34" i="25" s="1"/>
  <c r="AF34" i="25" s="1"/>
  <c r="AG34" i="25" s="1"/>
  <c r="AH34" i="25" s="1"/>
  <c r="F45" i="25"/>
  <c r="F46" i="25" s="1"/>
  <c r="V45" i="25"/>
  <c r="V46" i="25" s="1"/>
  <c r="J45" i="25"/>
  <c r="J46" i="25" s="1"/>
  <c r="C51" i="25"/>
  <c r="U54" i="25"/>
  <c r="U58" i="25" s="1"/>
  <c r="J50" i="25"/>
  <c r="J52" i="25" s="1"/>
  <c r="J53" i="25" s="1"/>
  <c r="R54" i="25"/>
  <c r="R58" i="25" s="1"/>
  <c r="H54" i="25"/>
  <c r="H58" i="25" s="1"/>
  <c r="T54" i="25"/>
  <c r="T58" i="25" s="1"/>
  <c r="X54" i="25"/>
  <c r="X58" i="25" s="1"/>
  <c r="P45" i="25"/>
  <c r="P46" i="25" s="1"/>
  <c r="P54" i="25"/>
  <c r="P58" i="25" s="1"/>
  <c r="M45" i="25"/>
  <c r="M46" i="25" s="1"/>
  <c r="M50" i="25"/>
  <c r="M52" i="25" s="1"/>
  <c r="M53" i="25" s="1"/>
  <c r="M54" i="25"/>
  <c r="M58" i="25" s="1"/>
  <c r="L45" i="25"/>
  <c r="L46" i="25" s="1"/>
  <c r="L50" i="25"/>
  <c r="L52" i="25" s="1"/>
  <c r="L53" i="25" s="1"/>
  <c r="Y54" i="25"/>
  <c r="Y58" i="25" s="1"/>
  <c r="Y50" i="25"/>
  <c r="Y52" i="25" s="1"/>
  <c r="Y53" i="25" s="1"/>
  <c r="Q45" i="25"/>
  <c r="Q46" i="25" s="1"/>
  <c r="AA50" i="25"/>
  <c r="AA52" i="25" s="1"/>
  <c r="AA53" i="25" s="1"/>
  <c r="AA54" i="25"/>
  <c r="AA58" i="25" s="1"/>
  <c r="AF45" i="25"/>
  <c r="AF46" i="25" s="1"/>
  <c r="AF54" i="25"/>
  <c r="AF58" i="25" s="1"/>
  <c r="AF50" i="25"/>
  <c r="AF52" i="25" s="1"/>
  <c r="AF53" i="25" s="1"/>
  <c r="AG45" i="25"/>
  <c r="AG46" i="25" s="1"/>
  <c r="AG54" i="25"/>
  <c r="AG58" i="25" s="1"/>
  <c r="AG50" i="25"/>
  <c r="AG52" i="25" s="1"/>
  <c r="AG53" i="25" s="1"/>
  <c r="Q50" i="25"/>
  <c r="Q52" i="25" s="1"/>
  <c r="Q53" i="25" s="1"/>
  <c r="S45" i="25"/>
  <c r="S46" i="25" s="1"/>
  <c r="J54" i="25"/>
  <c r="J58" i="25" s="1"/>
  <c r="I54" i="25"/>
  <c r="I58" i="25" s="1"/>
  <c r="X50" i="25"/>
  <c r="X52" i="25" s="1"/>
  <c r="X53" i="25" s="1"/>
  <c r="Q54" i="25"/>
  <c r="Q58" i="25" s="1"/>
  <c r="N45" i="25"/>
  <c r="N46" i="25" s="1"/>
  <c r="N50" i="25"/>
  <c r="N52" i="25" s="1"/>
  <c r="N53" i="25" s="1"/>
  <c r="W45" i="25"/>
  <c r="W46" i="25" s="1"/>
  <c r="W54" i="25"/>
  <c r="W58" i="25" s="1"/>
  <c r="T45" i="25"/>
  <c r="T46" i="25" s="1"/>
  <c r="T50" i="25"/>
  <c r="T52" i="25" s="1"/>
  <c r="T53" i="25" s="1"/>
  <c r="K45" i="25"/>
  <c r="K46" i="25" s="1"/>
  <c r="R50" i="25"/>
  <c r="R52" i="25" s="1"/>
  <c r="R53" i="25" s="1"/>
  <c r="V50" i="25"/>
  <c r="V52" i="25" s="1"/>
  <c r="V53" i="25" s="1"/>
  <c r="P50" i="25"/>
  <c r="P52" i="25" s="1"/>
  <c r="P53" i="25" s="1"/>
  <c r="O45" i="25"/>
  <c r="O46" i="25" s="1"/>
  <c r="O54" i="25"/>
  <c r="O58" i="25" s="1"/>
  <c r="O50" i="25"/>
  <c r="O52" i="25" s="1"/>
  <c r="O53" i="25" s="1"/>
  <c r="F50" i="25"/>
  <c r="F52" i="25" s="1"/>
  <c r="F53" i="25" s="1"/>
  <c r="I45" i="25"/>
  <c r="I46" i="25" s="1"/>
  <c r="I50" i="25"/>
  <c r="I52" i="25" s="1"/>
  <c r="I53" i="25" s="1"/>
  <c r="Z45" i="25"/>
  <c r="Z46" i="25" s="1"/>
  <c r="V54" i="25"/>
  <c r="V58" i="25" s="1"/>
  <c r="H50" i="25"/>
  <c r="H52" i="25" s="1"/>
  <c r="H53" i="25" s="1"/>
  <c r="U50" i="25"/>
  <c r="U52" i="25" s="1"/>
  <c r="U53" i="25" s="1"/>
  <c r="L54" i="25"/>
  <c r="L58" i="25" s="1"/>
  <c r="N54" i="25"/>
  <c r="N58" i="25" s="1"/>
  <c r="W50" i="25"/>
  <c r="W52" i="25" s="1"/>
  <c r="W53" i="25" s="1"/>
  <c r="F54" i="25"/>
  <c r="R45" i="25"/>
  <c r="R46" i="25" s="1"/>
  <c r="G45" i="25"/>
  <c r="G46" i="25" s="1"/>
  <c r="H45" i="25"/>
  <c r="H46" i="25" s="1"/>
  <c r="U45" i="25"/>
  <c r="U46" i="25" s="1"/>
  <c r="AA45" i="25"/>
  <c r="AA46" i="25" s="1"/>
  <c r="X45" i="25"/>
  <c r="X46" i="25" s="1"/>
  <c r="Y45" i="25"/>
  <c r="Y46" i="25" s="1"/>
  <c r="C40" i="25"/>
  <c r="C71" i="25" l="1"/>
  <c r="E53" i="25"/>
  <c r="C52" i="25"/>
  <c r="D53" i="25" s="1"/>
  <c r="C70" i="25"/>
  <c r="D42" i="25"/>
  <c r="C54" i="25"/>
  <c r="F58" i="25"/>
  <c r="C58" i="25" s="1"/>
  <c r="C45" i="25"/>
  <c r="D46" i="25" s="1"/>
  <c r="C48" i="25"/>
  <c r="C50" i="25"/>
  <c r="C72" i="25" l="1"/>
  <c r="O18" i="6"/>
  <c r="P18" i="6" s="1"/>
  <c r="O16" i="6"/>
  <c r="P16" i="6" s="1"/>
  <c r="O14" i="6"/>
  <c r="P14" i="6" s="1"/>
  <c r="L18" i="6"/>
  <c r="M18" i="6" s="1"/>
  <c r="L16" i="6"/>
  <c r="M16" i="6" s="1"/>
  <c r="L14" i="6"/>
  <c r="M14" i="6" s="1"/>
  <c r="I19" i="6"/>
  <c r="J19" i="6" s="1"/>
  <c r="I18" i="6"/>
  <c r="J18" i="6" s="1"/>
  <c r="I17" i="6"/>
  <c r="J17" i="6" s="1"/>
  <c r="I16" i="6"/>
  <c r="J16" i="6" s="1"/>
  <c r="I15" i="6"/>
  <c r="J15" i="6" s="1"/>
  <c r="I14" i="6"/>
  <c r="J14" i="6" s="1"/>
  <c r="F19" i="6"/>
  <c r="G19" i="6" s="1"/>
  <c r="F18" i="6"/>
  <c r="G18" i="6" s="1"/>
  <c r="F16" i="6"/>
  <c r="G16" i="6" s="1"/>
  <c r="F14" i="6"/>
  <c r="G14" i="6" s="1"/>
  <c r="AN16" i="6" l="1"/>
  <c r="AF16" i="6"/>
  <c r="AA16" i="6"/>
  <c r="R16" i="6"/>
  <c r="S16" i="6" s="1"/>
  <c r="T16" i="6" s="1"/>
  <c r="U16" i="6" s="1"/>
  <c r="AN12" i="6"/>
  <c r="AF12" i="6"/>
  <c r="AA12" i="6"/>
  <c r="R12" i="6"/>
  <c r="S12" i="6" s="1"/>
  <c r="O12" i="6"/>
  <c r="P12" i="6" s="1"/>
  <c r="L12" i="6"/>
  <c r="M12" i="6" s="1"/>
  <c r="I12" i="6"/>
  <c r="J12" i="6" s="1"/>
  <c r="F12" i="6"/>
  <c r="G12" i="6" s="1"/>
  <c r="I11" i="6"/>
  <c r="J11" i="6" s="1"/>
  <c r="L11" i="6"/>
  <c r="R11" i="6"/>
  <c r="S11" i="6" s="1"/>
  <c r="AF11" i="6"/>
  <c r="AP16" i="6" l="1"/>
  <c r="AQ16" i="6" s="1"/>
  <c r="AP12" i="6"/>
  <c r="T11" i="6"/>
  <c r="U11" i="6" s="1"/>
  <c r="T12" i="6"/>
  <c r="U12" i="6" s="1"/>
  <c r="AQ12" i="6" s="1"/>
  <c r="AF32" i="6" l="1"/>
  <c r="AA32" i="6"/>
  <c r="R32" i="6"/>
  <c r="S32" i="6" s="1"/>
  <c r="O32" i="6"/>
  <c r="P32" i="6" s="1"/>
  <c r="L32" i="6"/>
  <c r="M32" i="6" s="1"/>
  <c r="I32" i="6"/>
  <c r="J32" i="6" s="1"/>
  <c r="F32" i="6"/>
  <c r="G32" i="6" s="1"/>
  <c r="T32" i="6" l="1"/>
  <c r="U32" i="6" s="1"/>
  <c r="AS52" i="6"/>
  <c r="C31" i="9" l="1"/>
  <c r="C35" i="9"/>
  <c r="AP12" i="15"/>
  <c r="AI12" i="15"/>
  <c r="AB12" i="15"/>
  <c r="R12" i="15"/>
  <c r="S12" i="15" s="1"/>
  <c r="O12" i="15"/>
  <c r="P12" i="15" s="1"/>
  <c r="L12" i="15"/>
  <c r="M12" i="15" s="1"/>
  <c r="I12" i="15"/>
  <c r="J12" i="15" s="1"/>
  <c r="F12" i="15"/>
  <c r="G12" i="15" s="1"/>
  <c r="AQ11" i="15"/>
  <c r="R11" i="15"/>
  <c r="S11" i="15" s="1"/>
  <c r="L11" i="15"/>
  <c r="I11" i="15"/>
  <c r="J11" i="15" s="1"/>
  <c r="AP10" i="15"/>
  <c r="AI10" i="15"/>
  <c r="AB10" i="15"/>
  <c r="R10" i="15"/>
  <c r="S10" i="15" s="1"/>
  <c r="O10" i="15"/>
  <c r="P10" i="15" s="1"/>
  <c r="L10" i="15"/>
  <c r="M10" i="15" s="1"/>
  <c r="I10" i="15"/>
  <c r="J10" i="15" s="1"/>
  <c r="F10" i="15"/>
  <c r="G10" i="15" s="1"/>
  <c r="AR52" i="6"/>
  <c r="AN52" i="6"/>
  <c r="AP52" i="6" s="1"/>
  <c r="AN50" i="6"/>
  <c r="AP50" i="6" s="1"/>
  <c r="AQ12" i="15" l="1"/>
  <c r="AQ10" i="15"/>
  <c r="AQ50" i="6"/>
  <c r="T11" i="15"/>
  <c r="U11" i="15" s="1"/>
  <c r="T12" i="15"/>
  <c r="U12" i="15" s="1"/>
  <c r="AR12" i="15" s="1"/>
  <c r="T10" i="15"/>
  <c r="U10" i="15" s="1"/>
  <c r="AR10" i="15" s="1"/>
  <c r="AQ52" i="6"/>
  <c r="AN46" i="6" l="1"/>
  <c r="AP46" i="6"/>
  <c r="AN42" i="6"/>
  <c r="AN40" i="6"/>
  <c r="AP40" i="6" s="1"/>
  <c r="AN34" i="6"/>
  <c r="AP34" i="6" s="1"/>
  <c r="F16" i="15"/>
  <c r="G16" i="15" s="1"/>
  <c r="I16" i="15"/>
  <c r="J16" i="15" s="1"/>
  <c r="L16" i="15"/>
  <c r="M16" i="15" s="1"/>
  <c r="O16" i="15"/>
  <c r="P16" i="15" s="1"/>
  <c r="R16" i="15"/>
  <c r="S16" i="15" s="1"/>
  <c r="T17" i="15"/>
  <c r="U17" i="15" s="1"/>
  <c r="AP16" i="15"/>
  <c r="C98" i="8"/>
  <c r="AP42" i="6" l="1"/>
  <c r="AQ34" i="6"/>
  <c r="AQ46" i="6"/>
  <c r="AQ42" i="6"/>
  <c r="AQ40" i="6"/>
  <c r="T16" i="15"/>
  <c r="U16" i="15" s="1"/>
  <c r="AQ16" i="15"/>
  <c r="AI23" i="15"/>
  <c r="AB23" i="15"/>
  <c r="R23" i="15"/>
  <c r="S23" i="15" s="1"/>
  <c r="O23" i="15"/>
  <c r="P23" i="15" s="1"/>
  <c r="L23" i="15"/>
  <c r="M23" i="15" s="1"/>
  <c r="I23" i="15"/>
  <c r="J23" i="15" s="1"/>
  <c r="F23" i="15"/>
  <c r="G23" i="15" s="1"/>
  <c r="AR16" i="15" l="1"/>
  <c r="AY16" i="15"/>
  <c r="BA16" i="15"/>
  <c r="AZ16" i="15"/>
  <c r="BB16" i="15"/>
  <c r="T23" i="15"/>
  <c r="U23" i="15" s="1"/>
  <c r="AT16" i="15" l="1"/>
  <c r="AS16" i="15" s="1"/>
  <c r="E98" i="8"/>
  <c r="C14" i="20" l="1"/>
  <c r="C10" i="20"/>
  <c r="BB39" i="19"/>
  <c r="BA39" i="19"/>
  <c r="AP38" i="19"/>
  <c r="AI38" i="19"/>
  <c r="AB38" i="19"/>
  <c r="R38" i="19"/>
  <c r="S38" i="19" s="1"/>
  <c r="O38" i="19"/>
  <c r="P38" i="19" s="1"/>
  <c r="L38" i="19"/>
  <c r="M38" i="19" s="1"/>
  <c r="I38" i="19"/>
  <c r="J38" i="19" s="1"/>
  <c r="F38" i="19"/>
  <c r="G38" i="19" s="1"/>
  <c r="BB37" i="19"/>
  <c r="BA37" i="19"/>
  <c r="AP36" i="19"/>
  <c r="AI36" i="19"/>
  <c r="AB36" i="19"/>
  <c r="R36" i="19"/>
  <c r="S36" i="19" s="1"/>
  <c r="O36" i="19"/>
  <c r="P36" i="19" s="1"/>
  <c r="L36" i="19"/>
  <c r="M36" i="19" s="1"/>
  <c r="I36" i="19"/>
  <c r="J36" i="19" s="1"/>
  <c r="F36" i="19"/>
  <c r="G36" i="19" s="1"/>
  <c r="BB35" i="19"/>
  <c r="BA35" i="19"/>
  <c r="AP34" i="19"/>
  <c r="AI34" i="19"/>
  <c r="AB34" i="19"/>
  <c r="R34" i="19"/>
  <c r="S34" i="19" s="1"/>
  <c r="O34" i="19"/>
  <c r="P34" i="19" s="1"/>
  <c r="L34" i="19"/>
  <c r="M34" i="19" s="1"/>
  <c r="I34" i="19"/>
  <c r="J34" i="19" s="1"/>
  <c r="F34" i="19"/>
  <c r="G34" i="19" s="1"/>
  <c r="BB33" i="19"/>
  <c r="BA33" i="19"/>
  <c r="AP32" i="19"/>
  <c r="AI32" i="19"/>
  <c r="AB32" i="19"/>
  <c r="R32" i="19"/>
  <c r="S32" i="19" s="1"/>
  <c r="O32" i="19"/>
  <c r="P32" i="19" s="1"/>
  <c r="L32" i="19"/>
  <c r="M32" i="19" s="1"/>
  <c r="I32" i="19"/>
  <c r="J32" i="19" s="1"/>
  <c r="F32" i="19"/>
  <c r="G32" i="19" s="1"/>
  <c r="BB31" i="19"/>
  <c r="BA31" i="19"/>
  <c r="AP30" i="19"/>
  <c r="AI30" i="19"/>
  <c r="AB30" i="19"/>
  <c r="R30" i="19"/>
  <c r="S30" i="19" s="1"/>
  <c r="O30" i="19"/>
  <c r="P30" i="19" s="1"/>
  <c r="L30" i="19"/>
  <c r="M30" i="19" s="1"/>
  <c r="I30" i="19"/>
  <c r="J30" i="19" s="1"/>
  <c r="F30" i="19"/>
  <c r="G30" i="19" s="1"/>
  <c r="BB29" i="19"/>
  <c r="BA29" i="19"/>
  <c r="AP28" i="19"/>
  <c r="AI28" i="19"/>
  <c r="AB28" i="19"/>
  <c r="R28" i="19"/>
  <c r="S28" i="19" s="1"/>
  <c r="O28" i="19"/>
  <c r="P28" i="19" s="1"/>
  <c r="L28" i="19"/>
  <c r="M28" i="19" s="1"/>
  <c r="I28" i="19"/>
  <c r="J28" i="19" s="1"/>
  <c r="F28" i="19"/>
  <c r="G28" i="19" s="1"/>
  <c r="BB27" i="19"/>
  <c r="BA27" i="19"/>
  <c r="AP26" i="19"/>
  <c r="AI26" i="19"/>
  <c r="AB26" i="19"/>
  <c r="R26" i="19"/>
  <c r="S26" i="19" s="1"/>
  <c r="O26" i="19"/>
  <c r="P26" i="19" s="1"/>
  <c r="L26" i="19"/>
  <c r="M26" i="19" s="1"/>
  <c r="I26" i="19"/>
  <c r="J26" i="19" s="1"/>
  <c r="F26" i="19"/>
  <c r="G26" i="19" s="1"/>
  <c r="BB25" i="19"/>
  <c r="BA25" i="19"/>
  <c r="AP24" i="19"/>
  <c r="AI24" i="19"/>
  <c r="AB24" i="19"/>
  <c r="R24" i="19"/>
  <c r="S24" i="19" s="1"/>
  <c r="O24" i="19"/>
  <c r="P24" i="19" s="1"/>
  <c r="L24" i="19"/>
  <c r="M24" i="19" s="1"/>
  <c r="I24" i="19"/>
  <c r="J24" i="19" s="1"/>
  <c r="F24" i="19"/>
  <c r="G24" i="19" s="1"/>
  <c r="BB23" i="19"/>
  <c r="BA23" i="19"/>
  <c r="AP22" i="19"/>
  <c r="AI22" i="19"/>
  <c r="AB22" i="19"/>
  <c r="R22" i="19"/>
  <c r="S22" i="19" s="1"/>
  <c r="O22" i="19"/>
  <c r="P22" i="19" s="1"/>
  <c r="L22" i="19"/>
  <c r="M22" i="19" s="1"/>
  <c r="I22" i="19"/>
  <c r="J22" i="19" s="1"/>
  <c r="F22" i="19"/>
  <c r="G22" i="19" s="1"/>
  <c r="BB21" i="19"/>
  <c r="BA21" i="19"/>
  <c r="AP20" i="19"/>
  <c r="AI20" i="19"/>
  <c r="AB20" i="19"/>
  <c r="R20" i="19"/>
  <c r="S20" i="19" s="1"/>
  <c r="O20" i="19"/>
  <c r="P20" i="19" s="1"/>
  <c r="L20" i="19"/>
  <c r="M20" i="19" s="1"/>
  <c r="I20" i="19"/>
  <c r="J20" i="19" s="1"/>
  <c r="F20" i="19"/>
  <c r="G20" i="19" s="1"/>
  <c r="BB19" i="19"/>
  <c r="BA19" i="19"/>
  <c r="AP18" i="19"/>
  <c r="AI18" i="19"/>
  <c r="AB18" i="19"/>
  <c r="R18" i="19"/>
  <c r="S18" i="19" s="1"/>
  <c r="O18" i="19"/>
  <c r="P18" i="19" s="1"/>
  <c r="L18" i="19"/>
  <c r="M18" i="19" s="1"/>
  <c r="I18" i="19"/>
  <c r="J18" i="19" s="1"/>
  <c r="F18" i="19"/>
  <c r="G18" i="19" s="1"/>
  <c r="AQ17" i="19"/>
  <c r="T17" i="19"/>
  <c r="U17" i="19" s="1"/>
  <c r="AP16" i="19"/>
  <c r="AI16" i="19"/>
  <c r="AB16" i="19"/>
  <c r="R16" i="19"/>
  <c r="S16" i="19" s="1"/>
  <c r="O16" i="19"/>
  <c r="P16" i="19" s="1"/>
  <c r="L16" i="19"/>
  <c r="M16" i="19" s="1"/>
  <c r="I16" i="19"/>
  <c r="J16" i="19" s="1"/>
  <c r="F16" i="19"/>
  <c r="G16" i="19" s="1"/>
  <c r="AQ15" i="19"/>
  <c r="T15" i="19"/>
  <c r="U15" i="19" s="1"/>
  <c r="AP14" i="19"/>
  <c r="AI14" i="19"/>
  <c r="AB14" i="19"/>
  <c r="R14" i="19"/>
  <c r="S14" i="19" s="1"/>
  <c r="O14" i="19"/>
  <c r="P14" i="19" s="1"/>
  <c r="L14" i="19"/>
  <c r="M14" i="19" s="1"/>
  <c r="I14" i="19"/>
  <c r="J14" i="19" s="1"/>
  <c r="F14" i="19"/>
  <c r="G14" i="19" s="1"/>
  <c r="AQ13" i="19"/>
  <c r="T13" i="19"/>
  <c r="U13" i="19" s="1"/>
  <c r="AP12" i="19"/>
  <c r="AI12" i="19"/>
  <c r="AB12" i="19"/>
  <c r="R12" i="19"/>
  <c r="S12" i="19" s="1"/>
  <c r="O12" i="19"/>
  <c r="P12" i="19" s="1"/>
  <c r="L12" i="19"/>
  <c r="M12" i="19" s="1"/>
  <c r="I12" i="19"/>
  <c r="J12" i="19" s="1"/>
  <c r="F12" i="19"/>
  <c r="G12" i="19" s="1"/>
  <c r="AQ11" i="19"/>
  <c r="R11" i="19"/>
  <c r="S11" i="19" s="1"/>
  <c r="L11" i="19"/>
  <c r="I11" i="19"/>
  <c r="J11" i="19" s="1"/>
  <c r="AP10" i="19"/>
  <c r="AI10" i="19"/>
  <c r="AB10" i="19"/>
  <c r="R10" i="19"/>
  <c r="S10" i="19" s="1"/>
  <c r="O10" i="19"/>
  <c r="P10" i="19" s="1"/>
  <c r="L10" i="19"/>
  <c r="M10" i="19" s="1"/>
  <c r="I10" i="19"/>
  <c r="J10" i="19" s="1"/>
  <c r="F10" i="19"/>
  <c r="G10" i="19" s="1"/>
  <c r="E90" i="18"/>
  <c r="C90" i="18"/>
  <c r="B90" i="18"/>
  <c r="E86" i="18"/>
  <c r="C86" i="18"/>
  <c r="B86" i="18"/>
  <c r="E82" i="18"/>
  <c r="C82" i="18"/>
  <c r="B82" i="18"/>
  <c r="E78" i="18"/>
  <c r="C78" i="18"/>
  <c r="B78" i="18"/>
  <c r="E74" i="18"/>
  <c r="C74" i="18"/>
  <c r="B74" i="18"/>
  <c r="E70" i="18"/>
  <c r="C70" i="18"/>
  <c r="B70" i="18"/>
  <c r="E66" i="18"/>
  <c r="C66" i="18"/>
  <c r="B66" i="18"/>
  <c r="E62" i="18"/>
  <c r="C62" i="18"/>
  <c r="B62" i="18"/>
  <c r="E58" i="18"/>
  <c r="C58" i="18"/>
  <c r="B58" i="18"/>
  <c r="E54" i="18"/>
  <c r="C54" i="18"/>
  <c r="B54" i="18"/>
  <c r="E50" i="18"/>
  <c r="C50" i="18"/>
  <c r="B50" i="18"/>
  <c r="E46" i="18"/>
  <c r="C46" i="18"/>
  <c r="B46" i="18"/>
  <c r="E42" i="18"/>
  <c r="C42" i="18"/>
  <c r="B42" i="18"/>
  <c r="E38" i="18"/>
  <c r="C38" i="18"/>
  <c r="B38" i="18"/>
  <c r="E34" i="18"/>
  <c r="C34" i="18"/>
  <c r="B34" i="18"/>
  <c r="E30" i="18"/>
  <c r="C30" i="18"/>
  <c r="B30" i="18"/>
  <c r="E26" i="18"/>
  <c r="C26" i="18"/>
  <c r="B26" i="18"/>
  <c r="E22" i="18"/>
  <c r="C22" i="18"/>
  <c r="B22" i="18"/>
  <c r="E18" i="18"/>
  <c r="C18" i="18"/>
  <c r="B18" i="18"/>
  <c r="E14" i="18"/>
  <c r="C14" i="18"/>
  <c r="B14" i="18"/>
  <c r="E10" i="18"/>
  <c r="C10" i="18"/>
  <c r="B10" i="18"/>
  <c r="AF49" i="17"/>
  <c r="R49" i="17"/>
  <c r="O49" i="17"/>
  <c r="P49" i="17" s="1"/>
  <c r="L49" i="17"/>
  <c r="M49" i="17" s="1"/>
  <c r="I49" i="17"/>
  <c r="J49" i="17" s="1"/>
  <c r="F49" i="17"/>
  <c r="G49" i="17" s="1"/>
  <c r="AN48" i="17"/>
  <c r="AF48" i="17"/>
  <c r="AA48" i="17"/>
  <c r="R48" i="17"/>
  <c r="S48" i="17" s="1"/>
  <c r="O48" i="17"/>
  <c r="P48" i="17" s="1"/>
  <c r="L48" i="17"/>
  <c r="M48" i="17" s="1"/>
  <c r="I48" i="17"/>
  <c r="J48" i="17" s="1"/>
  <c r="F48" i="17"/>
  <c r="G48" i="17" s="1"/>
  <c r="AF47" i="17"/>
  <c r="AA47" i="17"/>
  <c r="R47" i="17"/>
  <c r="O47" i="17"/>
  <c r="P47" i="17" s="1"/>
  <c r="L47" i="17"/>
  <c r="M47" i="17" s="1"/>
  <c r="I47" i="17"/>
  <c r="J47" i="17" s="1"/>
  <c r="F47" i="17"/>
  <c r="G47" i="17" s="1"/>
  <c r="AN46" i="17"/>
  <c r="AF46" i="17"/>
  <c r="AA46" i="17"/>
  <c r="R46" i="17"/>
  <c r="S46" i="17" s="1"/>
  <c r="O46" i="17"/>
  <c r="P46" i="17" s="1"/>
  <c r="L46" i="17"/>
  <c r="M46" i="17" s="1"/>
  <c r="I46" i="17"/>
  <c r="J46" i="17" s="1"/>
  <c r="F46" i="17"/>
  <c r="G46" i="17" s="1"/>
  <c r="AF45" i="17"/>
  <c r="AA45" i="17"/>
  <c r="R45" i="17"/>
  <c r="O45" i="17"/>
  <c r="P45" i="17" s="1"/>
  <c r="L45" i="17"/>
  <c r="M45" i="17" s="1"/>
  <c r="I45" i="17"/>
  <c r="J45" i="17" s="1"/>
  <c r="F45" i="17"/>
  <c r="G45" i="17" s="1"/>
  <c r="AN44" i="17"/>
  <c r="AF44" i="17"/>
  <c r="AA44" i="17"/>
  <c r="R44" i="17"/>
  <c r="S44" i="17" s="1"/>
  <c r="O44" i="17"/>
  <c r="P44" i="17" s="1"/>
  <c r="L44" i="17"/>
  <c r="M44" i="17" s="1"/>
  <c r="I44" i="17"/>
  <c r="J44" i="17" s="1"/>
  <c r="F44" i="17"/>
  <c r="G44" i="17" s="1"/>
  <c r="AF43" i="17"/>
  <c r="AA43" i="17"/>
  <c r="R43" i="17"/>
  <c r="O43" i="17"/>
  <c r="P43" i="17" s="1"/>
  <c r="L43" i="17"/>
  <c r="M43" i="17" s="1"/>
  <c r="I43" i="17"/>
  <c r="J43" i="17" s="1"/>
  <c r="F43" i="17"/>
  <c r="G43" i="17" s="1"/>
  <c r="AN42" i="17"/>
  <c r="AF42" i="17"/>
  <c r="AA42" i="17"/>
  <c r="R42" i="17"/>
  <c r="S42" i="17" s="1"/>
  <c r="O42" i="17"/>
  <c r="P42" i="17" s="1"/>
  <c r="L42" i="17"/>
  <c r="M42" i="17" s="1"/>
  <c r="I42" i="17"/>
  <c r="J42" i="17" s="1"/>
  <c r="F42" i="17"/>
  <c r="G42" i="17" s="1"/>
  <c r="AF41" i="17"/>
  <c r="AA41" i="17"/>
  <c r="R41" i="17"/>
  <c r="O41" i="17"/>
  <c r="P41" i="17" s="1"/>
  <c r="L41" i="17"/>
  <c r="M41" i="17" s="1"/>
  <c r="I41" i="17"/>
  <c r="J41" i="17" s="1"/>
  <c r="F41" i="17"/>
  <c r="G41" i="17" s="1"/>
  <c r="AN40" i="17"/>
  <c r="AF40" i="17"/>
  <c r="AA40" i="17"/>
  <c r="R40" i="17"/>
  <c r="S40" i="17" s="1"/>
  <c r="O40" i="17"/>
  <c r="P40" i="17" s="1"/>
  <c r="L40" i="17"/>
  <c r="M40" i="17" s="1"/>
  <c r="I40" i="17"/>
  <c r="J40" i="17" s="1"/>
  <c r="F40" i="17"/>
  <c r="G40" i="17" s="1"/>
  <c r="AF39" i="17"/>
  <c r="AA39" i="17"/>
  <c r="R39" i="17"/>
  <c r="O39" i="17"/>
  <c r="P39" i="17" s="1"/>
  <c r="L39" i="17"/>
  <c r="M39" i="17" s="1"/>
  <c r="I39" i="17"/>
  <c r="J39" i="17" s="1"/>
  <c r="F39" i="17"/>
  <c r="G39" i="17" s="1"/>
  <c r="AN38" i="17"/>
  <c r="AF38" i="17"/>
  <c r="AA38" i="17"/>
  <c r="R38" i="17"/>
  <c r="S38" i="17" s="1"/>
  <c r="O38" i="17"/>
  <c r="P38" i="17" s="1"/>
  <c r="L38" i="17"/>
  <c r="M38" i="17" s="1"/>
  <c r="I38" i="17"/>
  <c r="J38" i="17" s="1"/>
  <c r="F38" i="17"/>
  <c r="G38" i="17" s="1"/>
  <c r="AF37" i="17"/>
  <c r="AA37" i="17"/>
  <c r="R37" i="17"/>
  <c r="O37" i="17"/>
  <c r="P37" i="17" s="1"/>
  <c r="L37" i="17"/>
  <c r="M37" i="17" s="1"/>
  <c r="I37" i="17"/>
  <c r="J37" i="17" s="1"/>
  <c r="F37" i="17"/>
  <c r="G37" i="17" s="1"/>
  <c r="AN36" i="17"/>
  <c r="AF36" i="17"/>
  <c r="AA36" i="17"/>
  <c r="R36" i="17"/>
  <c r="S36" i="17" s="1"/>
  <c r="O36" i="17"/>
  <c r="P36" i="17" s="1"/>
  <c r="L36" i="17"/>
  <c r="M36" i="17" s="1"/>
  <c r="I36" i="17"/>
  <c r="J36" i="17" s="1"/>
  <c r="F36" i="17"/>
  <c r="G36" i="17" s="1"/>
  <c r="AF35" i="17"/>
  <c r="AA35" i="17"/>
  <c r="R35" i="17"/>
  <c r="O35" i="17"/>
  <c r="P35" i="17" s="1"/>
  <c r="L35" i="17"/>
  <c r="M35" i="17" s="1"/>
  <c r="I35" i="17"/>
  <c r="J35" i="17" s="1"/>
  <c r="F35" i="17"/>
  <c r="G35" i="17" s="1"/>
  <c r="AN34" i="17"/>
  <c r="AF34" i="17"/>
  <c r="AA34" i="17"/>
  <c r="R34" i="17"/>
  <c r="S34" i="17" s="1"/>
  <c r="O34" i="17"/>
  <c r="P34" i="17" s="1"/>
  <c r="L34" i="17"/>
  <c r="M34" i="17" s="1"/>
  <c r="I34" i="17"/>
  <c r="J34" i="17" s="1"/>
  <c r="F34" i="17"/>
  <c r="G34" i="17" s="1"/>
  <c r="AF33" i="17"/>
  <c r="AA33" i="17"/>
  <c r="R33" i="17"/>
  <c r="O33" i="17"/>
  <c r="P33" i="17" s="1"/>
  <c r="L33" i="17"/>
  <c r="M33" i="17" s="1"/>
  <c r="I33" i="17"/>
  <c r="J33" i="17" s="1"/>
  <c r="F33" i="17"/>
  <c r="G33" i="17" s="1"/>
  <c r="AN32" i="17"/>
  <c r="AF32" i="17"/>
  <c r="AA32" i="17"/>
  <c r="R32" i="17"/>
  <c r="S32" i="17" s="1"/>
  <c r="O32" i="17"/>
  <c r="P32" i="17" s="1"/>
  <c r="L32" i="17"/>
  <c r="M32" i="17" s="1"/>
  <c r="I32" i="17"/>
  <c r="J32" i="17" s="1"/>
  <c r="F32" i="17"/>
  <c r="G32" i="17" s="1"/>
  <c r="AF31" i="17"/>
  <c r="AA31" i="17"/>
  <c r="R31" i="17"/>
  <c r="O31" i="17"/>
  <c r="P31" i="17" s="1"/>
  <c r="L31" i="17"/>
  <c r="M31" i="17" s="1"/>
  <c r="I31" i="17"/>
  <c r="J31" i="17" s="1"/>
  <c r="F31" i="17"/>
  <c r="G31" i="17" s="1"/>
  <c r="AN30" i="17"/>
  <c r="AF30" i="17"/>
  <c r="AA30" i="17"/>
  <c r="R30" i="17"/>
  <c r="S30" i="17" s="1"/>
  <c r="O30" i="17"/>
  <c r="P30" i="17" s="1"/>
  <c r="L30" i="17"/>
  <c r="M30" i="17" s="1"/>
  <c r="I30" i="17"/>
  <c r="J30" i="17" s="1"/>
  <c r="F30" i="17"/>
  <c r="G30" i="17" s="1"/>
  <c r="AF29" i="17"/>
  <c r="AA29" i="17"/>
  <c r="R29" i="17"/>
  <c r="O29" i="17"/>
  <c r="P29" i="17" s="1"/>
  <c r="L29" i="17"/>
  <c r="M29" i="17" s="1"/>
  <c r="I29" i="17"/>
  <c r="J29" i="17" s="1"/>
  <c r="F29" i="17"/>
  <c r="G29" i="17" s="1"/>
  <c r="AN28" i="17"/>
  <c r="AF28" i="17"/>
  <c r="AA28" i="17"/>
  <c r="R28" i="17"/>
  <c r="S28" i="17" s="1"/>
  <c r="O28" i="17"/>
  <c r="P28" i="17" s="1"/>
  <c r="L28" i="17"/>
  <c r="M28" i="17" s="1"/>
  <c r="I28" i="17"/>
  <c r="J28" i="17" s="1"/>
  <c r="F28" i="17"/>
  <c r="G28" i="17" s="1"/>
  <c r="AF27" i="17"/>
  <c r="AA27" i="17"/>
  <c r="R27" i="17"/>
  <c r="O27" i="17"/>
  <c r="P27" i="17" s="1"/>
  <c r="L27" i="17"/>
  <c r="M27" i="17" s="1"/>
  <c r="I27" i="17"/>
  <c r="J27" i="17" s="1"/>
  <c r="F27" i="17"/>
  <c r="G27" i="17" s="1"/>
  <c r="AN26" i="17"/>
  <c r="AF26" i="17"/>
  <c r="AA26" i="17"/>
  <c r="R26" i="17"/>
  <c r="S26" i="17" s="1"/>
  <c r="O26" i="17"/>
  <c r="P26" i="17" s="1"/>
  <c r="L26" i="17"/>
  <c r="M26" i="17" s="1"/>
  <c r="I26" i="17"/>
  <c r="J26" i="17" s="1"/>
  <c r="F26" i="17"/>
  <c r="G26" i="17" s="1"/>
  <c r="AF25" i="17"/>
  <c r="AA25" i="17"/>
  <c r="R25" i="17"/>
  <c r="O25" i="17"/>
  <c r="P25" i="17" s="1"/>
  <c r="L25" i="17"/>
  <c r="M25" i="17" s="1"/>
  <c r="I25" i="17"/>
  <c r="J25" i="17" s="1"/>
  <c r="F25" i="17"/>
  <c r="G25" i="17" s="1"/>
  <c r="AN24" i="17"/>
  <c r="AF24" i="17"/>
  <c r="AA24" i="17"/>
  <c r="R24" i="17"/>
  <c r="S24" i="17" s="1"/>
  <c r="O24" i="17"/>
  <c r="P24" i="17" s="1"/>
  <c r="L24" i="17"/>
  <c r="M24" i="17" s="1"/>
  <c r="I24" i="17"/>
  <c r="J24" i="17" s="1"/>
  <c r="F24" i="17"/>
  <c r="G24" i="17" s="1"/>
  <c r="AF23" i="17"/>
  <c r="AA23" i="17"/>
  <c r="R23" i="17"/>
  <c r="O23" i="17"/>
  <c r="P23" i="17" s="1"/>
  <c r="L23" i="17"/>
  <c r="M23" i="17" s="1"/>
  <c r="I23" i="17"/>
  <c r="J23" i="17" s="1"/>
  <c r="F23" i="17"/>
  <c r="G23" i="17" s="1"/>
  <c r="AN22" i="17"/>
  <c r="AF22" i="17"/>
  <c r="AA22" i="17"/>
  <c r="R22" i="17"/>
  <c r="S22" i="17" s="1"/>
  <c r="O22" i="17"/>
  <c r="P22" i="17" s="1"/>
  <c r="L22" i="17"/>
  <c r="M22" i="17" s="1"/>
  <c r="I22" i="17"/>
  <c r="J22" i="17" s="1"/>
  <c r="F22" i="17"/>
  <c r="G22" i="17" s="1"/>
  <c r="AF21" i="17"/>
  <c r="AA21" i="17"/>
  <c r="R21" i="17"/>
  <c r="O21" i="17"/>
  <c r="P21" i="17" s="1"/>
  <c r="L21" i="17"/>
  <c r="M21" i="17" s="1"/>
  <c r="I21" i="17"/>
  <c r="J21" i="17" s="1"/>
  <c r="F21" i="17"/>
  <c r="G21" i="17" s="1"/>
  <c r="AN20" i="17"/>
  <c r="AF20" i="17"/>
  <c r="AA20" i="17"/>
  <c r="R20" i="17"/>
  <c r="S20" i="17" s="1"/>
  <c r="O20" i="17"/>
  <c r="P20" i="17" s="1"/>
  <c r="L20" i="17"/>
  <c r="M20" i="17" s="1"/>
  <c r="I20" i="17"/>
  <c r="J20" i="17" s="1"/>
  <c r="F20" i="17"/>
  <c r="G20" i="17" s="1"/>
  <c r="AF19" i="17"/>
  <c r="AA19" i="17"/>
  <c r="R19" i="17"/>
  <c r="O19" i="17"/>
  <c r="P19" i="17" s="1"/>
  <c r="L19" i="17"/>
  <c r="M19" i="17" s="1"/>
  <c r="I19" i="17"/>
  <c r="J19" i="17" s="1"/>
  <c r="F19" i="17"/>
  <c r="G19" i="17" s="1"/>
  <c r="AN18" i="17"/>
  <c r="AF18" i="17"/>
  <c r="AA18" i="17"/>
  <c r="R18" i="17"/>
  <c r="S18" i="17" s="1"/>
  <c r="O18" i="17"/>
  <c r="P18" i="17" s="1"/>
  <c r="L18" i="17"/>
  <c r="M18" i="17" s="1"/>
  <c r="I18" i="17"/>
  <c r="J18" i="17" s="1"/>
  <c r="F18" i="17"/>
  <c r="G18" i="17" s="1"/>
  <c r="AF17" i="17"/>
  <c r="AA17" i="17"/>
  <c r="R17" i="17"/>
  <c r="O17" i="17"/>
  <c r="P17" i="17" s="1"/>
  <c r="L17" i="17"/>
  <c r="M17" i="17" s="1"/>
  <c r="I17" i="17"/>
  <c r="J17" i="17" s="1"/>
  <c r="F17" i="17"/>
  <c r="G17" i="17" s="1"/>
  <c r="AN16" i="17"/>
  <c r="AF16" i="17"/>
  <c r="AA16" i="17"/>
  <c r="R16" i="17"/>
  <c r="S16" i="17" s="1"/>
  <c r="O16" i="17"/>
  <c r="P16" i="17" s="1"/>
  <c r="L16" i="17"/>
  <c r="M16" i="17" s="1"/>
  <c r="I16" i="17"/>
  <c r="J16" i="17" s="1"/>
  <c r="F16" i="17"/>
  <c r="G16" i="17" s="1"/>
  <c r="AF15" i="17"/>
  <c r="AA15" i="17"/>
  <c r="R15" i="17"/>
  <c r="S15" i="17" s="1"/>
  <c r="O15" i="17"/>
  <c r="P15" i="17" s="1"/>
  <c r="L15" i="17"/>
  <c r="M15" i="17" s="1"/>
  <c r="I15" i="17"/>
  <c r="J15" i="17" s="1"/>
  <c r="F15" i="17"/>
  <c r="G15" i="17" s="1"/>
  <c r="AN14" i="17"/>
  <c r="AF14" i="17"/>
  <c r="AA14" i="17"/>
  <c r="R14" i="17"/>
  <c r="S14" i="17" s="1"/>
  <c r="O14" i="17"/>
  <c r="P14" i="17" s="1"/>
  <c r="L14" i="17"/>
  <c r="M14" i="17" s="1"/>
  <c r="I14" i="17"/>
  <c r="J14" i="17" s="1"/>
  <c r="F14" i="17"/>
  <c r="G14" i="17" s="1"/>
  <c r="AF13" i="17"/>
  <c r="AA13" i="17"/>
  <c r="R13" i="17"/>
  <c r="S13" i="17" s="1"/>
  <c r="O13" i="17"/>
  <c r="P13" i="17" s="1"/>
  <c r="L13" i="17"/>
  <c r="M13" i="17" s="1"/>
  <c r="I13" i="17"/>
  <c r="J13" i="17" s="1"/>
  <c r="F13" i="17"/>
  <c r="G13" i="17" s="1"/>
  <c r="AN12" i="17"/>
  <c r="AF12" i="17"/>
  <c r="AA12" i="17"/>
  <c r="R12" i="17"/>
  <c r="S12" i="17" s="1"/>
  <c r="O12" i="17"/>
  <c r="P12" i="17" s="1"/>
  <c r="L12" i="17"/>
  <c r="M12" i="17" s="1"/>
  <c r="I12" i="17"/>
  <c r="J12" i="17" s="1"/>
  <c r="F12" i="17"/>
  <c r="G12" i="17" s="1"/>
  <c r="AF11" i="17"/>
  <c r="R11" i="17"/>
  <c r="S11" i="17" s="1"/>
  <c r="L11" i="17"/>
  <c r="I11" i="17"/>
  <c r="J11" i="17" s="1"/>
  <c r="AN10" i="17"/>
  <c r="AF10" i="17"/>
  <c r="AA10" i="17"/>
  <c r="R10" i="17"/>
  <c r="S10" i="17" s="1"/>
  <c r="O10" i="17"/>
  <c r="P10" i="17" s="1"/>
  <c r="L10" i="17"/>
  <c r="M10" i="17" s="1"/>
  <c r="I10" i="17"/>
  <c r="J10" i="17" s="1"/>
  <c r="F10" i="17"/>
  <c r="G10" i="17" s="1"/>
  <c r="L24" i="15"/>
  <c r="I24" i="15"/>
  <c r="J24" i="15" s="1"/>
  <c r="AP26" i="17" l="1"/>
  <c r="BA17" i="19"/>
  <c r="AQ34" i="19"/>
  <c r="AP14" i="17"/>
  <c r="AQ26" i="19"/>
  <c r="AZ26" i="19" s="1"/>
  <c r="AQ28" i="19"/>
  <c r="AQ10" i="19"/>
  <c r="AP10" i="17"/>
  <c r="BB13" i="19"/>
  <c r="AQ38" i="19"/>
  <c r="AP20" i="17"/>
  <c r="AP48" i="17"/>
  <c r="T35" i="17"/>
  <c r="U35" i="17" s="1"/>
  <c r="BA35" i="17" s="1"/>
  <c r="AQ12" i="19"/>
  <c r="AP42" i="17"/>
  <c r="T24" i="17"/>
  <c r="U24" i="17" s="1"/>
  <c r="T47" i="17"/>
  <c r="U47" i="17" s="1"/>
  <c r="AZ47" i="17" s="1"/>
  <c r="T18" i="19"/>
  <c r="U18" i="19" s="1"/>
  <c r="T38" i="19"/>
  <c r="U38" i="19" s="1"/>
  <c r="AP38" i="17"/>
  <c r="AQ18" i="19"/>
  <c r="AY18" i="19" s="1"/>
  <c r="AQ22" i="19"/>
  <c r="AP12" i="17"/>
  <c r="AP28" i="17"/>
  <c r="AP18" i="17"/>
  <c r="AP22" i="17"/>
  <c r="AP32" i="17"/>
  <c r="T26" i="19"/>
  <c r="U26" i="19" s="1"/>
  <c r="BA26" i="19" s="1"/>
  <c r="T42" i="17"/>
  <c r="U42" i="17" s="1"/>
  <c r="T40" i="17"/>
  <c r="U40" i="17" s="1"/>
  <c r="AX40" i="17" s="1"/>
  <c r="T30" i="19"/>
  <c r="U30" i="19" s="1"/>
  <c r="T26" i="17"/>
  <c r="U26" i="17" s="1"/>
  <c r="BA26" i="17" s="1"/>
  <c r="T29" i="17"/>
  <c r="U29" i="17" s="1"/>
  <c r="AZ29" i="17" s="1"/>
  <c r="T46" i="17"/>
  <c r="U46" i="17" s="1"/>
  <c r="AQ46" i="17" s="1"/>
  <c r="AP46" i="17"/>
  <c r="T14" i="19"/>
  <c r="U14" i="19" s="1"/>
  <c r="T34" i="19"/>
  <c r="U34" i="19" s="1"/>
  <c r="T17" i="17"/>
  <c r="U17" i="17" s="1"/>
  <c r="AZ17" i="17" s="1"/>
  <c r="T18" i="17"/>
  <c r="U18" i="17" s="1"/>
  <c r="T45" i="17"/>
  <c r="U45" i="17" s="1"/>
  <c r="AZ45" i="17" s="1"/>
  <c r="AQ30" i="19"/>
  <c r="AQ14" i="19"/>
  <c r="BA14" i="19" s="1"/>
  <c r="T24" i="19"/>
  <c r="U24" i="19" s="1"/>
  <c r="AQ32" i="19"/>
  <c r="T31" i="17"/>
  <c r="U31" i="17" s="1"/>
  <c r="AZ31" i="17" s="1"/>
  <c r="T19" i="17"/>
  <c r="U19" i="17" s="1"/>
  <c r="BA19" i="17" s="1"/>
  <c r="AP36" i="17"/>
  <c r="AQ16" i="19"/>
  <c r="AQ36" i="19"/>
  <c r="T12" i="17"/>
  <c r="U12" i="17" s="1"/>
  <c r="T11" i="17"/>
  <c r="U11" i="17" s="1"/>
  <c r="BA11" i="17" s="1"/>
  <c r="T22" i="19"/>
  <c r="U22" i="19" s="1"/>
  <c r="T23" i="17"/>
  <c r="U23" i="17" s="1"/>
  <c r="BA23" i="17" s="1"/>
  <c r="AP24" i="17"/>
  <c r="T16" i="19"/>
  <c r="U16" i="19" s="1"/>
  <c r="AQ20" i="19"/>
  <c r="AP30" i="17"/>
  <c r="AP34" i="17"/>
  <c r="T39" i="17"/>
  <c r="U39" i="17" s="1"/>
  <c r="BA39" i="17" s="1"/>
  <c r="AP40" i="17"/>
  <c r="AP44" i="17"/>
  <c r="AQ24" i="19"/>
  <c r="T10" i="19"/>
  <c r="U10" i="19" s="1"/>
  <c r="T36" i="19"/>
  <c r="U36" i="19" s="1"/>
  <c r="T11" i="19"/>
  <c r="U11" i="19" s="1"/>
  <c r="T12" i="19"/>
  <c r="U12" i="19" s="1"/>
  <c r="AZ14" i="19"/>
  <c r="AY14" i="19"/>
  <c r="BB14" i="19"/>
  <c r="BB15" i="19"/>
  <c r="BA15" i="19"/>
  <c r="T28" i="19"/>
  <c r="U28" i="19" s="1"/>
  <c r="T20" i="19"/>
  <c r="U20" i="19" s="1"/>
  <c r="AR26" i="19"/>
  <c r="T32" i="19"/>
  <c r="U32" i="19" s="1"/>
  <c r="BA13" i="19"/>
  <c r="BB17" i="19"/>
  <c r="BA29" i="17"/>
  <c r="T15" i="17"/>
  <c r="U15" i="17" s="1"/>
  <c r="T20" i="17"/>
  <c r="U20" i="17" s="1"/>
  <c r="AQ20" i="17" s="1"/>
  <c r="T30" i="17"/>
  <c r="U30" i="17" s="1"/>
  <c r="T36" i="17"/>
  <c r="U36" i="17" s="1"/>
  <c r="T16" i="17"/>
  <c r="U16" i="17" s="1"/>
  <c r="T25" i="17"/>
  <c r="U25" i="17" s="1"/>
  <c r="T41" i="17"/>
  <c r="U41" i="17" s="1"/>
  <c r="T14" i="17"/>
  <c r="U14" i="17" s="1"/>
  <c r="AQ14" i="17" s="1"/>
  <c r="T34" i="17"/>
  <c r="U34" i="17" s="1"/>
  <c r="T10" i="17"/>
  <c r="U10" i="17" s="1"/>
  <c r="T13" i="17"/>
  <c r="U13" i="17" s="1"/>
  <c r="AP16" i="17"/>
  <c r="T22" i="17"/>
  <c r="U22" i="17" s="1"/>
  <c r="T27" i="17"/>
  <c r="U27" i="17" s="1"/>
  <c r="T28" i="17"/>
  <c r="U28" i="17" s="1"/>
  <c r="T32" i="17"/>
  <c r="U32" i="17" s="1"/>
  <c r="T38" i="17"/>
  <c r="U38" i="17" s="1"/>
  <c r="T43" i="17"/>
  <c r="U43" i="17" s="1"/>
  <c r="T44" i="17"/>
  <c r="U44" i="17" s="1"/>
  <c r="T48" i="17"/>
  <c r="U48" i="17" s="1"/>
  <c r="T33" i="17"/>
  <c r="U33" i="17" s="1"/>
  <c r="T49" i="17"/>
  <c r="U49" i="17" s="1"/>
  <c r="T21" i="17"/>
  <c r="U21" i="17" s="1"/>
  <c r="T37" i="17"/>
  <c r="U37" i="17" s="1"/>
  <c r="C27" i="9"/>
  <c r="C22" i="9"/>
  <c r="C18" i="9"/>
  <c r="C10" i="9"/>
  <c r="AR32" i="19" l="1"/>
  <c r="AZ38" i="19"/>
  <c r="BA38" i="19"/>
  <c r="AQ38" i="17"/>
  <c r="BB24" i="19"/>
  <c r="AQ24" i="17"/>
  <c r="AR22" i="19"/>
  <c r="AZ18" i="17"/>
  <c r="BA12" i="17"/>
  <c r="AR34" i="19"/>
  <c r="BA17" i="17"/>
  <c r="AZ39" i="17"/>
  <c r="AZ11" i="17"/>
  <c r="AY38" i="19"/>
  <c r="AX24" i="17"/>
  <c r="BB26" i="19"/>
  <c r="BA22" i="19"/>
  <c r="AR12" i="19"/>
  <c r="BB22" i="19"/>
  <c r="BA24" i="17"/>
  <c r="AY22" i="19"/>
  <c r="AZ12" i="17"/>
  <c r="AX26" i="17"/>
  <c r="AQ28" i="17"/>
  <c r="AQ36" i="17"/>
  <c r="AZ26" i="17"/>
  <c r="AZ22" i="19"/>
  <c r="AT22" i="19" s="1"/>
  <c r="AS22" i="19" s="1"/>
  <c r="AY40" i="17"/>
  <c r="AQ30" i="17"/>
  <c r="AY26" i="19"/>
  <c r="AQ26" i="17"/>
  <c r="AZ19" i="17"/>
  <c r="BA45" i="17"/>
  <c r="AT17" i="19"/>
  <c r="BA46" i="17"/>
  <c r="BB38" i="19"/>
  <c r="AQ44" i="17"/>
  <c r="AR38" i="19"/>
  <c r="AR30" i="19"/>
  <c r="AY18" i="17"/>
  <c r="BA24" i="19"/>
  <c r="BA47" i="17"/>
  <c r="BA18" i="17"/>
  <c r="AZ42" i="17"/>
  <c r="AR10" i="19"/>
  <c r="AT13" i="19"/>
  <c r="BA42" i="17"/>
  <c r="AZ16" i="19"/>
  <c r="AY12" i="17"/>
  <c r="AZ40" i="17"/>
  <c r="BA31" i="17"/>
  <c r="BA40" i="17"/>
  <c r="AS40" i="17" s="1"/>
  <c r="AR40" i="17" s="1"/>
  <c r="AY34" i="19"/>
  <c r="AY24" i="19"/>
  <c r="AQ40" i="17"/>
  <c r="AZ34" i="19"/>
  <c r="AR18" i="19"/>
  <c r="AZ23" i="17"/>
  <c r="AZ35" i="17"/>
  <c r="BA34" i="19"/>
  <c r="BA18" i="19"/>
  <c r="AY42" i="17"/>
  <c r="BB18" i="19"/>
  <c r="AY24" i="17"/>
  <c r="AQ18" i="17"/>
  <c r="AX42" i="17"/>
  <c r="AY26" i="17"/>
  <c r="AS26" i="17" s="1"/>
  <c r="AR26" i="17" s="1"/>
  <c r="BB34" i="19"/>
  <c r="AQ42" i="17"/>
  <c r="AZ24" i="17"/>
  <c r="AX12" i="17"/>
  <c r="AZ18" i="19"/>
  <c r="AQ32" i="17"/>
  <c r="AX18" i="17"/>
  <c r="AQ12" i="17"/>
  <c r="AZ46" i="17"/>
  <c r="BB16" i="19"/>
  <c r="AR16" i="19"/>
  <c r="AY16" i="19"/>
  <c r="BB30" i="19"/>
  <c r="AY30" i="19"/>
  <c r="BA30" i="19"/>
  <c r="AX46" i="17"/>
  <c r="AZ30" i="19"/>
  <c r="AY46" i="17"/>
  <c r="AR24" i="19"/>
  <c r="AZ24" i="19"/>
  <c r="BA16" i="19"/>
  <c r="AR14" i="19"/>
  <c r="BA28" i="19"/>
  <c r="AZ28" i="19"/>
  <c r="AY28" i="19"/>
  <c r="BB28" i="19"/>
  <c r="BA11" i="19"/>
  <c r="BB11" i="19"/>
  <c r="AT15" i="19"/>
  <c r="AT14" i="19"/>
  <c r="AS14" i="19" s="1"/>
  <c r="BA36" i="19"/>
  <c r="AZ36" i="19"/>
  <c r="AY36" i="19"/>
  <c r="BB36" i="19"/>
  <c r="BA20" i="19"/>
  <c r="AZ20" i="19"/>
  <c r="AY20" i="19"/>
  <c r="BB20" i="19"/>
  <c r="AR36" i="19"/>
  <c r="AR20" i="19"/>
  <c r="AR28" i="19"/>
  <c r="AY10" i="19"/>
  <c r="BB10" i="19"/>
  <c r="BA10" i="19"/>
  <c r="AZ10" i="19"/>
  <c r="AY32" i="19"/>
  <c r="BB32" i="19"/>
  <c r="BA32" i="19"/>
  <c r="AZ32" i="19"/>
  <c r="BA12" i="19"/>
  <c r="AZ12" i="19"/>
  <c r="AY12" i="19"/>
  <c r="BB12" i="19"/>
  <c r="AZ37" i="17"/>
  <c r="BA37" i="17"/>
  <c r="AY48" i="17"/>
  <c r="AX48" i="17"/>
  <c r="BA48" i="17"/>
  <c r="AZ48" i="17"/>
  <c r="BA43" i="17"/>
  <c r="AZ43" i="17"/>
  <c r="BA10" i="17"/>
  <c r="AZ10" i="17"/>
  <c r="AY10" i="17"/>
  <c r="AX10" i="17"/>
  <c r="BA30" i="17"/>
  <c r="AZ30" i="17"/>
  <c r="AY30" i="17"/>
  <c r="AX30" i="17"/>
  <c r="AZ21" i="17"/>
  <c r="BA21" i="17"/>
  <c r="BA22" i="17"/>
  <c r="AX22" i="17"/>
  <c r="AZ22" i="17"/>
  <c r="AY22" i="17"/>
  <c r="BA34" i="17"/>
  <c r="AY34" i="17"/>
  <c r="AX34" i="17"/>
  <c r="AZ34" i="17"/>
  <c r="AQ34" i="17"/>
  <c r="AZ25" i="17"/>
  <c r="BA25" i="17"/>
  <c r="AX16" i="17"/>
  <c r="BA16" i="17"/>
  <c r="AZ16" i="17"/>
  <c r="AY16" i="17"/>
  <c r="BA49" i="17"/>
  <c r="AZ49" i="17"/>
  <c r="BA38" i="17"/>
  <c r="AX38" i="17"/>
  <c r="AZ38" i="17"/>
  <c r="AY38" i="17"/>
  <c r="AY28" i="17"/>
  <c r="AZ28" i="17"/>
  <c r="AX28" i="17"/>
  <c r="BA28" i="17"/>
  <c r="AQ16" i="17"/>
  <c r="BA14" i="17"/>
  <c r="AZ14" i="17"/>
  <c r="AX14" i="17"/>
  <c r="AY14" i="17"/>
  <c r="AY20" i="17"/>
  <c r="BA20" i="17"/>
  <c r="AX20" i="17"/>
  <c r="AZ20" i="17"/>
  <c r="AQ22" i="17"/>
  <c r="AZ33" i="17"/>
  <c r="BA33" i="17"/>
  <c r="AY44" i="17"/>
  <c r="AZ44" i="17"/>
  <c r="AX44" i="17"/>
  <c r="BA44" i="17"/>
  <c r="AY32" i="17"/>
  <c r="AX32" i="17"/>
  <c r="BA32" i="17"/>
  <c r="AZ32" i="17"/>
  <c r="BA27" i="17"/>
  <c r="AZ27" i="17"/>
  <c r="AZ13" i="17"/>
  <c r="BA13" i="17"/>
  <c r="AZ41" i="17"/>
  <c r="BA41" i="17"/>
  <c r="AQ48" i="17"/>
  <c r="AY36" i="17"/>
  <c r="BA36" i="17"/>
  <c r="AX36" i="17"/>
  <c r="AZ36" i="17"/>
  <c r="AQ10" i="17"/>
  <c r="BA15" i="17"/>
  <c r="AZ15" i="17"/>
  <c r="AS18" i="17"/>
  <c r="AR18" i="17" s="1"/>
  <c r="O21" i="15"/>
  <c r="P21" i="15" s="1"/>
  <c r="L21" i="15"/>
  <c r="M21" i="15" s="1"/>
  <c r="I21" i="15"/>
  <c r="J21" i="15" s="1"/>
  <c r="F21" i="15"/>
  <c r="G21" i="15" s="1"/>
  <c r="O19" i="15"/>
  <c r="P19" i="15" s="1"/>
  <c r="L19" i="15"/>
  <c r="M19" i="15" s="1"/>
  <c r="I19" i="15"/>
  <c r="J19" i="15" s="1"/>
  <c r="F19" i="15"/>
  <c r="G19" i="15" s="1"/>
  <c r="L15" i="15"/>
  <c r="I15" i="15"/>
  <c r="J15" i="15" s="1"/>
  <c r="O14" i="15"/>
  <c r="P14" i="15" s="1"/>
  <c r="L14" i="15"/>
  <c r="M14" i="15" s="1"/>
  <c r="I14" i="15"/>
  <c r="J14" i="15" s="1"/>
  <c r="F14" i="15"/>
  <c r="G14" i="15" s="1"/>
  <c r="O31" i="6"/>
  <c r="P31" i="6" s="1"/>
  <c r="L31" i="6"/>
  <c r="M31" i="6" s="1"/>
  <c r="I31" i="6"/>
  <c r="J31" i="6" s="1"/>
  <c r="F31" i="6"/>
  <c r="G31" i="6" s="1"/>
  <c r="O30" i="6"/>
  <c r="P30" i="6" s="1"/>
  <c r="L30" i="6"/>
  <c r="M30" i="6" s="1"/>
  <c r="I30" i="6"/>
  <c r="J30" i="6" s="1"/>
  <c r="F30" i="6"/>
  <c r="G30" i="6" s="1"/>
  <c r="O29" i="6"/>
  <c r="P29" i="6" s="1"/>
  <c r="L29" i="6"/>
  <c r="M29" i="6" s="1"/>
  <c r="I29" i="6"/>
  <c r="J29" i="6" s="1"/>
  <c r="F29" i="6"/>
  <c r="G29" i="6" s="1"/>
  <c r="O28" i="6"/>
  <c r="P28" i="6" s="1"/>
  <c r="L28" i="6"/>
  <c r="M28" i="6" s="1"/>
  <c r="I28" i="6"/>
  <c r="J28" i="6" s="1"/>
  <c r="F28" i="6"/>
  <c r="G28" i="6" s="1"/>
  <c r="L27" i="6"/>
  <c r="I27" i="6"/>
  <c r="J27" i="6" s="1"/>
  <c r="F27" i="6"/>
  <c r="G27" i="6" s="1"/>
  <c r="O26" i="6"/>
  <c r="P26" i="6" s="1"/>
  <c r="L26" i="6"/>
  <c r="M26" i="6" s="1"/>
  <c r="I26" i="6"/>
  <c r="J26" i="6" s="1"/>
  <c r="F26" i="6"/>
  <c r="G26" i="6" s="1"/>
  <c r="L25" i="6"/>
  <c r="I25" i="6"/>
  <c r="J25" i="6" s="1"/>
  <c r="T25" i="6" s="1"/>
  <c r="O24" i="6"/>
  <c r="P24" i="6" s="1"/>
  <c r="L24" i="6"/>
  <c r="M24" i="6" s="1"/>
  <c r="I24" i="6"/>
  <c r="J24" i="6" s="1"/>
  <c r="F24" i="6"/>
  <c r="G24" i="6" s="1"/>
  <c r="I23" i="6"/>
  <c r="J23" i="6" s="1"/>
  <c r="T23" i="6" s="1"/>
  <c r="L23" i="6"/>
  <c r="R23" i="6"/>
  <c r="AA23" i="6"/>
  <c r="AF23" i="6"/>
  <c r="R24" i="6"/>
  <c r="S24" i="6" s="1"/>
  <c r="AA24" i="6"/>
  <c r="AF24" i="6"/>
  <c r="R25" i="6"/>
  <c r="AA25" i="6"/>
  <c r="AF25" i="6"/>
  <c r="R26" i="6"/>
  <c r="S26" i="6" s="1"/>
  <c r="AA26" i="6"/>
  <c r="AF26" i="6"/>
  <c r="R27" i="6"/>
  <c r="AA27" i="6"/>
  <c r="AF27" i="6"/>
  <c r="R28" i="6"/>
  <c r="S28" i="6" s="1"/>
  <c r="AA28" i="6"/>
  <c r="AF28" i="6"/>
  <c r="R29" i="6"/>
  <c r="AA29" i="6"/>
  <c r="AF29" i="6"/>
  <c r="R30" i="6"/>
  <c r="S30" i="6" s="1"/>
  <c r="AA30" i="6"/>
  <c r="AF30" i="6"/>
  <c r="R31" i="6"/>
  <c r="AA31" i="6"/>
  <c r="AF31" i="6"/>
  <c r="AT38" i="19" l="1"/>
  <c r="AS38" i="19" s="1"/>
  <c r="AT26" i="19"/>
  <c r="AS26" i="19" s="1"/>
  <c r="AS46" i="17"/>
  <c r="AR46" i="17" s="1"/>
  <c r="AS42" i="17"/>
  <c r="AR42" i="17" s="1"/>
  <c r="AT24" i="19"/>
  <c r="AS24" i="19" s="1"/>
  <c r="AT18" i="19"/>
  <c r="AS18" i="19" s="1"/>
  <c r="AS24" i="17"/>
  <c r="AR24" i="17" s="1"/>
  <c r="U23" i="6"/>
  <c r="AS12" i="17"/>
  <c r="AR12" i="17" s="1"/>
  <c r="AT34" i="19"/>
  <c r="AS34" i="19" s="1"/>
  <c r="AS20" i="17"/>
  <c r="AR20" i="17" s="1"/>
  <c r="AT16" i="19"/>
  <c r="AS16" i="19" s="1"/>
  <c r="AS22" i="17"/>
  <c r="AR22" i="17" s="1"/>
  <c r="AT30" i="19"/>
  <c r="AS30" i="19" s="1"/>
  <c r="AT11" i="19"/>
  <c r="AS36" i="17"/>
  <c r="AR36" i="17" s="1"/>
  <c r="AS10" i="17"/>
  <c r="AR10" i="17" s="1"/>
  <c r="AS48" i="17"/>
  <c r="AR48" i="17" s="1"/>
  <c r="AT20" i="19"/>
  <c r="AS20" i="19" s="1"/>
  <c r="U25" i="6"/>
  <c r="T31" i="6"/>
  <c r="U31" i="6" s="1"/>
  <c r="AS32" i="17"/>
  <c r="AR32" i="17" s="1"/>
  <c r="AS30" i="17"/>
  <c r="AR30" i="17" s="1"/>
  <c r="AT36" i="19"/>
  <c r="AS36" i="19" s="1"/>
  <c r="AS16" i="17"/>
  <c r="AR16" i="17" s="1"/>
  <c r="AT32" i="19"/>
  <c r="AS32" i="19" s="1"/>
  <c r="AT10" i="19"/>
  <c r="AS10" i="19" s="1"/>
  <c r="AT28" i="19"/>
  <c r="AS28" i="19" s="1"/>
  <c r="AT12" i="19"/>
  <c r="AS12" i="19" s="1"/>
  <c r="AS14" i="17"/>
  <c r="AR14" i="17" s="1"/>
  <c r="AS28" i="17"/>
  <c r="AR28" i="17" s="1"/>
  <c r="AS44" i="17"/>
  <c r="AR44" i="17" s="1"/>
  <c r="AS38" i="17"/>
  <c r="AR38" i="17" s="1"/>
  <c r="AS34" i="17"/>
  <c r="AR34" i="17" s="1"/>
  <c r="T30" i="6"/>
  <c r="U30" i="6" s="1"/>
  <c r="T28" i="6"/>
  <c r="U28" i="6" s="1"/>
  <c r="T29" i="6"/>
  <c r="U29" i="6" s="1"/>
  <c r="T27" i="6"/>
  <c r="U27" i="6" s="1"/>
  <c r="T26" i="6"/>
  <c r="U26" i="6" s="1"/>
  <c r="T24" i="6"/>
  <c r="U24" i="6" s="1"/>
  <c r="BA31" i="6" l="1"/>
  <c r="AZ31" i="6"/>
  <c r="O20" i="6"/>
  <c r="P20" i="6" s="1"/>
  <c r="L19" i="6"/>
  <c r="L13" i="6" l="1"/>
  <c r="I13" i="6"/>
  <c r="J13" i="6" s="1"/>
  <c r="F13" i="6"/>
  <c r="G13" i="6" s="1"/>
  <c r="O10" i="6"/>
  <c r="P10" i="6" s="1"/>
  <c r="L10" i="6"/>
  <c r="M10" i="6" s="1"/>
  <c r="I10" i="6"/>
  <c r="J10" i="6" s="1"/>
  <c r="F10" i="6"/>
  <c r="G10" i="6" s="1"/>
  <c r="C14" i="9" l="1"/>
  <c r="AF15" i="6" l="1"/>
  <c r="AF17" i="6"/>
  <c r="AF18" i="6"/>
  <c r="AF19" i="6"/>
  <c r="AF20" i="6"/>
  <c r="AF21" i="6"/>
  <c r="AA15" i="6"/>
  <c r="AA17" i="6"/>
  <c r="AA18" i="6"/>
  <c r="AA19" i="6"/>
  <c r="AA20" i="6"/>
  <c r="AA21" i="6"/>
  <c r="I21" i="6" l="1"/>
  <c r="BB18" i="15"/>
  <c r="BB20" i="15"/>
  <c r="BB22" i="15"/>
  <c r="BB24" i="15"/>
  <c r="BB26" i="15"/>
  <c r="BB28" i="15"/>
  <c r="BB30" i="15"/>
  <c r="BB32" i="15"/>
  <c r="BB34" i="15"/>
  <c r="BB36" i="15"/>
  <c r="BB38" i="15"/>
  <c r="BA18" i="15"/>
  <c r="BA20" i="15"/>
  <c r="BA22" i="15"/>
  <c r="BA24" i="15"/>
  <c r="BA26" i="15"/>
  <c r="BA28" i="15"/>
  <c r="BA30" i="15"/>
  <c r="BA32" i="15"/>
  <c r="BA34" i="15"/>
  <c r="BA36" i="15"/>
  <c r="BA38" i="15"/>
  <c r="J21" i="6" l="1"/>
  <c r="O17" i="6"/>
  <c r="P17" i="6" s="1"/>
  <c r="O21" i="6"/>
  <c r="P21" i="6" s="1"/>
  <c r="L17" i="6"/>
  <c r="M17" i="6" s="1"/>
  <c r="L21" i="6"/>
  <c r="M21" i="6" s="1"/>
  <c r="F17" i="6"/>
  <c r="G17" i="6" s="1"/>
  <c r="F21" i="6"/>
  <c r="G21" i="6" s="1"/>
  <c r="O29" i="15" l="1"/>
  <c r="P29" i="15" s="1"/>
  <c r="O31" i="15"/>
  <c r="P31" i="15" s="1"/>
  <c r="O33" i="15"/>
  <c r="P33" i="15" s="1"/>
  <c r="O35" i="15"/>
  <c r="P35" i="15" s="1"/>
  <c r="O37" i="15"/>
  <c r="P37" i="15" s="1"/>
  <c r="L29" i="15"/>
  <c r="M29" i="15" s="1"/>
  <c r="L31" i="15"/>
  <c r="M31" i="15" s="1"/>
  <c r="L33" i="15"/>
  <c r="M33" i="15" s="1"/>
  <c r="L35" i="15"/>
  <c r="M35" i="15" s="1"/>
  <c r="L37" i="15"/>
  <c r="M37" i="15" s="1"/>
  <c r="I29" i="15"/>
  <c r="J29" i="15" s="1"/>
  <c r="I31" i="15"/>
  <c r="J31" i="15" s="1"/>
  <c r="I33" i="15"/>
  <c r="J33" i="15" s="1"/>
  <c r="I35" i="15"/>
  <c r="J35" i="15" s="1"/>
  <c r="I37" i="15"/>
  <c r="J37" i="15" s="1"/>
  <c r="F29" i="15"/>
  <c r="G29" i="15" s="1"/>
  <c r="F31" i="15"/>
  <c r="G31" i="15" s="1"/>
  <c r="F33" i="15"/>
  <c r="G33" i="15" s="1"/>
  <c r="F35" i="15"/>
  <c r="G35" i="15" s="1"/>
  <c r="F37" i="15"/>
  <c r="G37" i="15" s="1"/>
  <c r="AQ13" i="15"/>
  <c r="AQ15" i="15"/>
  <c r="AQ17" i="15"/>
  <c r="AP37" i="15"/>
  <c r="AP35" i="15"/>
  <c r="AP33" i="15"/>
  <c r="AP31" i="15"/>
  <c r="AP29" i="15"/>
  <c r="AP23" i="15"/>
  <c r="AP21" i="15"/>
  <c r="AP19" i="15"/>
  <c r="AP14" i="15"/>
  <c r="AI37" i="15"/>
  <c r="AB37" i="15"/>
  <c r="AI35" i="15"/>
  <c r="AB35" i="15"/>
  <c r="AI33" i="15"/>
  <c r="AB33" i="15"/>
  <c r="AI31" i="15"/>
  <c r="AB31" i="15"/>
  <c r="AI29" i="15"/>
  <c r="AB29" i="15"/>
  <c r="AI21" i="15"/>
  <c r="AB21" i="15"/>
  <c r="AI19" i="15"/>
  <c r="AB19" i="15"/>
  <c r="AI14" i="15"/>
  <c r="AB14" i="15"/>
  <c r="R37" i="15"/>
  <c r="S37" i="15" s="1"/>
  <c r="R35" i="15"/>
  <c r="S35" i="15" s="1"/>
  <c r="R33" i="15"/>
  <c r="S33" i="15" s="1"/>
  <c r="R31" i="15"/>
  <c r="S31" i="15" s="1"/>
  <c r="R29" i="15"/>
  <c r="S29" i="15" s="1"/>
  <c r="R21" i="15"/>
  <c r="S21" i="15" s="1"/>
  <c r="R19" i="15"/>
  <c r="S19" i="15" s="1"/>
  <c r="R14" i="15"/>
  <c r="S14" i="15" s="1"/>
  <c r="T21" i="15" l="1"/>
  <c r="U21" i="15" s="1"/>
  <c r="T19" i="15"/>
  <c r="U19" i="15" s="1"/>
  <c r="T15" i="15"/>
  <c r="U15" i="15" s="1"/>
  <c r="AQ19" i="15"/>
  <c r="AQ35" i="15"/>
  <c r="AQ31" i="15"/>
  <c r="AQ33" i="15"/>
  <c r="AQ23" i="15"/>
  <c r="AQ14" i="15"/>
  <c r="AQ21" i="15"/>
  <c r="AQ29" i="15"/>
  <c r="AQ37" i="15"/>
  <c r="T14" i="15"/>
  <c r="U14" i="15" s="1"/>
  <c r="T35" i="15"/>
  <c r="U35" i="15" s="1"/>
  <c r="T33" i="15"/>
  <c r="U33" i="15" s="1"/>
  <c r="T37" i="15"/>
  <c r="U37" i="15" s="1"/>
  <c r="T29" i="15"/>
  <c r="U29" i="15" s="1"/>
  <c r="T13" i="15"/>
  <c r="U13" i="15" s="1"/>
  <c r="T31" i="15"/>
  <c r="U31" i="15" s="1"/>
  <c r="BB27" i="15" l="1"/>
  <c r="BA27" i="15"/>
  <c r="BA29" i="15"/>
  <c r="BB29" i="15"/>
  <c r="BA25" i="15"/>
  <c r="BB25" i="15"/>
  <c r="BA37" i="15"/>
  <c r="BB37" i="15"/>
  <c r="BA23" i="15"/>
  <c r="BB23" i="15"/>
  <c r="BA33" i="15"/>
  <c r="BB33" i="15"/>
  <c r="BA17" i="15"/>
  <c r="BB17" i="15"/>
  <c r="BA11" i="15"/>
  <c r="BB11" i="15"/>
  <c r="BB35" i="15"/>
  <c r="BA35" i="15"/>
  <c r="BA15" i="15"/>
  <c r="BB15" i="15"/>
  <c r="BA13" i="15"/>
  <c r="BB13" i="15"/>
  <c r="BA31" i="15"/>
  <c r="BB31" i="15"/>
  <c r="AR19" i="15"/>
  <c r="BB19" i="15"/>
  <c r="BA19" i="15"/>
  <c r="BA21" i="15"/>
  <c r="BB21" i="15"/>
  <c r="BB14" i="15"/>
  <c r="BA14" i="15"/>
  <c r="BB12" i="15"/>
  <c r="BA12" i="15"/>
  <c r="BA10" i="15"/>
  <c r="BB10" i="15"/>
  <c r="AR33" i="15"/>
  <c r="AY21" i="15"/>
  <c r="AZ19" i="15"/>
  <c r="AY19" i="15"/>
  <c r="AR21" i="15"/>
  <c r="AY12" i="15"/>
  <c r="AY23" i="15"/>
  <c r="AZ21" i="15"/>
  <c r="AZ12" i="15"/>
  <c r="AZ23" i="15"/>
  <c r="AR14" i="15"/>
  <c r="AY14" i="15"/>
  <c r="AZ14" i="15"/>
  <c r="AY31" i="15"/>
  <c r="AZ31" i="15"/>
  <c r="AR35" i="15"/>
  <c r="AZ35" i="15"/>
  <c r="AY35" i="15"/>
  <c r="AR31" i="15"/>
  <c r="AZ29" i="15"/>
  <c r="AY29" i="15"/>
  <c r="AZ37" i="15"/>
  <c r="AY37" i="15"/>
  <c r="AR29" i="15"/>
  <c r="AZ33" i="15"/>
  <c r="AY33" i="15"/>
  <c r="AR23" i="15"/>
  <c r="AZ27" i="15"/>
  <c r="AY27" i="15"/>
  <c r="AZ25" i="15"/>
  <c r="AY25" i="15"/>
  <c r="AR37" i="15"/>
  <c r="AT17" i="15" l="1"/>
  <c r="AT12" i="15"/>
  <c r="AS12" i="15" s="1"/>
  <c r="AT11" i="15"/>
  <c r="AT15" i="15"/>
  <c r="AT21" i="15"/>
  <c r="AS21" i="15" s="1"/>
  <c r="AT19" i="15"/>
  <c r="AS19" i="15" s="1"/>
  <c r="AT13" i="15"/>
  <c r="AT14" i="15"/>
  <c r="AS14" i="15" s="1"/>
  <c r="AT33" i="15"/>
  <c r="AS33" i="15" s="1"/>
  <c r="AT37" i="15"/>
  <c r="AS37" i="15" s="1"/>
  <c r="AT35" i="15"/>
  <c r="AS35" i="15" s="1"/>
  <c r="AT31" i="15"/>
  <c r="AS31" i="15" s="1"/>
  <c r="AT29" i="15"/>
  <c r="AS29" i="15" s="1"/>
  <c r="AT23" i="15"/>
  <c r="AS23" i="15" s="1"/>
  <c r="T19" i="6" l="1"/>
  <c r="T21" i="6"/>
  <c r="C93" i="8" l="1"/>
  <c r="B93" i="8"/>
  <c r="C89" i="8"/>
  <c r="B89" i="8"/>
  <c r="C85" i="8"/>
  <c r="B85" i="8"/>
  <c r="C80" i="8"/>
  <c r="B80" i="8"/>
  <c r="C76" i="8"/>
  <c r="B76" i="8"/>
  <c r="C70" i="8"/>
  <c r="B70" i="8"/>
  <c r="C66" i="8"/>
  <c r="B66" i="8"/>
  <c r="C60" i="8"/>
  <c r="B60" i="8"/>
  <c r="C56" i="8"/>
  <c r="B56" i="8"/>
  <c r="C52" i="8"/>
  <c r="B52" i="8"/>
  <c r="C47" i="8"/>
  <c r="B47" i="8"/>
  <c r="C43" i="8"/>
  <c r="B43" i="8"/>
  <c r="C39" i="8"/>
  <c r="B39" i="8"/>
  <c r="C35" i="8"/>
  <c r="B35" i="8"/>
  <c r="C31" i="8"/>
  <c r="B31" i="8"/>
  <c r="C27" i="8"/>
  <c r="B27" i="8"/>
  <c r="C23" i="8"/>
  <c r="B23" i="8"/>
  <c r="C19" i="8"/>
  <c r="B19" i="8"/>
  <c r="C14" i="8"/>
  <c r="B14" i="8"/>
  <c r="C10" i="8"/>
  <c r="B10" i="8"/>
  <c r="AN48" i="6"/>
  <c r="AN38" i="6"/>
  <c r="AN36" i="6"/>
  <c r="AN32" i="6"/>
  <c r="AN30" i="6"/>
  <c r="AN28" i="6"/>
  <c r="AN26" i="6"/>
  <c r="AN24" i="6"/>
  <c r="AN22" i="6"/>
  <c r="R21" i="6"/>
  <c r="AN20" i="6"/>
  <c r="R20" i="6"/>
  <c r="S20" i="6" s="1"/>
  <c r="R19" i="6"/>
  <c r="AN18" i="6"/>
  <c r="R18" i="6"/>
  <c r="S18" i="6" s="1"/>
  <c r="R17" i="6"/>
  <c r="S17" i="6" s="1"/>
  <c r="R15" i="6"/>
  <c r="S15" i="6" s="1"/>
  <c r="AN14" i="6"/>
  <c r="AF14" i="6"/>
  <c r="AA14" i="6"/>
  <c r="R14" i="6"/>
  <c r="S14" i="6" s="1"/>
  <c r="AF13" i="6"/>
  <c r="R13" i="6"/>
  <c r="S13" i="6" s="1"/>
  <c r="AN10" i="6"/>
  <c r="AF10" i="6"/>
  <c r="AA10" i="6"/>
  <c r="R10" i="6"/>
  <c r="S10" i="6" s="1"/>
  <c r="AZ11" i="6" l="1"/>
  <c r="BA11" i="6"/>
  <c r="AZ43" i="6"/>
  <c r="BA43" i="6"/>
  <c r="AP22" i="6"/>
  <c r="AP30" i="6"/>
  <c r="U21" i="6"/>
  <c r="AP36" i="6"/>
  <c r="T14" i="6"/>
  <c r="U14" i="6" s="1"/>
  <c r="T10" i="6"/>
  <c r="U10" i="6" s="1"/>
  <c r="T18" i="6"/>
  <c r="U18" i="6" s="1"/>
  <c r="T20" i="6"/>
  <c r="U20" i="6" s="1"/>
  <c r="U19" i="6"/>
  <c r="T15" i="6"/>
  <c r="U15" i="6" s="1"/>
  <c r="T17" i="6"/>
  <c r="U17" i="6" s="1"/>
  <c r="T13" i="6"/>
  <c r="U13" i="6" s="1"/>
  <c r="AP48" i="6"/>
  <c r="AP20" i="6"/>
  <c r="AP18" i="6"/>
  <c r="AP38" i="6"/>
  <c r="AP28" i="6"/>
  <c r="AP32" i="6"/>
  <c r="AP10" i="6"/>
  <c r="AP14" i="6"/>
  <c r="AP24" i="6"/>
  <c r="AP26" i="6"/>
  <c r="AX32" i="6" l="1"/>
  <c r="AY32" i="6"/>
  <c r="AZ32" i="6"/>
  <c r="BA32" i="6"/>
  <c r="AZ15" i="6"/>
  <c r="BA15" i="6"/>
  <c r="BA19" i="6"/>
  <c r="AZ19" i="6"/>
  <c r="BA17" i="6"/>
  <c r="AZ17" i="6"/>
  <c r="AZ13" i="6"/>
  <c r="BA13" i="6"/>
  <c r="AZ10" i="6"/>
  <c r="BA10" i="6"/>
  <c r="AZ12" i="6"/>
  <c r="BA12" i="6"/>
  <c r="BA14" i="6"/>
  <c r="AZ14" i="6"/>
  <c r="BA18" i="6"/>
  <c r="AZ18" i="6"/>
  <c r="BA16" i="6"/>
  <c r="AZ16" i="6"/>
  <c r="BA27" i="6"/>
  <c r="AZ27" i="6"/>
  <c r="AZ29" i="6"/>
  <c r="BA29" i="6"/>
  <c r="AQ22" i="6"/>
  <c r="BA22" i="6"/>
  <c r="AZ22" i="6"/>
  <c r="BA21" i="6"/>
  <c r="AZ21" i="6"/>
  <c r="AQ30" i="6"/>
  <c r="AZ30" i="6"/>
  <c r="BA30" i="6"/>
  <c r="BA23" i="6"/>
  <c r="AZ23" i="6"/>
  <c r="BA25" i="6"/>
  <c r="AZ25" i="6"/>
  <c r="AZ28" i="6"/>
  <c r="BA28" i="6"/>
  <c r="BA47" i="6"/>
  <c r="AZ47" i="6"/>
  <c r="BA41" i="6"/>
  <c r="AZ41" i="6"/>
  <c r="AZ51" i="6"/>
  <c r="BA51" i="6"/>
  <c r="AZ35" i="6"/>
  <c r="BA35" i="6"/>
  <c r="AZ34" i="6"/>
  <c r="BA34" i="6"/>
  <c r="AZ45" i="6"/>
  <c r="BA45" i="6"/>
  <c r="BA46" i="6"/>
  <c r="AZ46" i="6"/>
  <c r="BA33" i="6"/>
  <c r="AZ33" i="6"/>
  <c r="AZ50" i="6"/>
  <c r="BA50" i="6"/>
  <c r="BA39" i="6"/>
  <c r="AZ39" i="6"/>
  <c r="BA38" i="6"/>
  <c r="AZ38" i="6"/>
  <c r="AZ37" i="6"/>
  <c r="BA37" i="6"/>
  <c r="AZ40" i="6"/>
  <c r="BA40" i="6"/>
  <c r="BA49" i="6"/>
  <c r="AZ49" i="6"/>
  <c r="AZ48" i="6"/>
  <c r="BA48" i="6"/>
  <c r="AZ42" i="6"/>
  <c r="BA42" i="6"/>
  <c r="AZ36" i="6"/>
  <c r="BA36" i="6"/>
  <c r="BA26" i="6"/>
  <c r="AZ26" i="6"/>
  <c r="AZ24" i="6"/>
  <c r="BA24" i="6"/>
  <c r="AZ20" i="6"/>
  <c r="BA20" i="6"/>
  <c r="AQ18" i="6"/>
  <c r="AQ36" i="6"/>
  <c r="AQ32" i="6"/>
  <c r="AX10" i="6"/>
  <c r="AX28" i="6"/>
  <c r="AY28" i="6"/>
  <c r="AX36" i="6"/>
  <c r="AY36" i="6"/>
  <c r="AX46" i="6"/>
  <c r="AY46" i="6"/>
  <c r="AY22" i="6"/>
  <c r="AX22" i="6"/>
  <c r="AY18" i="6"/>
  <c r="AX18" i="6"/>
  <c r="AX14" i="6"/>
  <c r="AY14" i="6"/>
  <c r="AX30" i="6"/>
  <c r="AY30" i="6"/>
  <c r="AX12" i="6"/>
  <c r="AY12" i="6"/>
  <c r="AX16" i="6"/>
  <c r="AY16" i="6"/>
  <c r="AX20" i="6"/>
  <c r="AY20" i="6"/>
  <c r="AY10" i="6"/>
  <c r="AX48" i="6"/>
  <c r="AY48" i="6"/>
  <c r="AX50" i="6"/>
  <c r="AY50" i="6"/>
  <c r="AY26" i="6"/>
  <c r="AX26" i="6"/>
  <c r="AX38" i="6"/>
  <c r="AY38" i="6"/>
  <c r="AX24" i="6"/>
  <c r="AY24" i="6"/>
  <c r="AX40" i="6"/>
  <c r="AY40" i="6"/>
  <c r="AQ24" i="6"/>
  <c r="AX34" i="6"/>
  <c r="AY34" i="6"/>
  <c r="AY42" i="6"/>
  <c r="AX42" i="6"/>
  <c r="AQ10" i="6"/>
  <c r="AQ28" i="6"/>
  <c r="AQ20" i="6"/>
  <c r="AQ26" i="6"/>
  <c r="AQ38" i="6"/>
  <c r="AQ14" i="6"/>
  <c r="AQ48" i="6"/>
  <c r="AS18" i="6" l="1"/>
  <c r="AS16" i="6"/>
  <c r="AR16" i="6" s="1"/>
  <c r="AS12" i="6"/>
  <c r="AR12" i="6" s="1"/>
  <c r="AS32" i="6"/>
  <c r="AR32" i="6" s="1"/>
  <c r="AS50" i="6"/>
  <c r="AR50" i="6" s="1"/>
  <c r="AS46" i="6"/>
  <c r="AR46" i="6" s="1"/>
  <c r="AS42" i="6"/>
  <c r="AR42" i="6" s="1"/>
  <c r="AS40" i="6"/>
  <c r="AR40" i="6" s="1"/>
  <c r="AS34" i="6"/>
  <c r="AR34" i="6" s="1"/>
  <c r="AR22" i="6"/>
  <c r="AS10" i="6"/>
  <c r="AR10" i="6" s="1"/>
  <c r="AS24" i="6"/>
  <c r="AR24" i="6" s="1"/>
  <c r="E93" i="8"/>
  <c r="AS14" i="6"/>
  <c r="E19" i="8" s="1"/>
  <c r="AS28" i="6"/>
  <c r="AR28" i="6" s="1"/>
  <c r="AS38" i="6"/>
  <c r="AR38" i="6" s="1"/>
  <c r="AS26" i="6"/>
  <c r="E43" i="8" s="1"/>
  <c r="AS48" i="6"/>
  <c r="AR48" i="6" s="1"/>
  <c r="AS30" i="6"/>
  <c r="AS36" i="6"/>
  <c r="AS20" i="6"/>
  <c r="E80" i="8" l="1"/>
  <c r="E85" i="8"/>
  <c r="E76" i="8"/>
  <c r="E10" i="8"/>
  <c r="E14" i="8"/>
  <c r="E39" i="8"/>
  <c r="E35" i="8"/>
  <c r="E89" i="8"/>
  <c r="E23" i="8"/>
  <c r="E47" i="8"/>
  <c r="AR14" i="6"/>
  <c r="E56" i="8"/>
  <c r="AR26" i="6"/>
  <c r="E70" i="8"/>
  <c r="E60" i="8"/>
  <c r="E31" i="8"/>
  <c r="AR20" i="6"/>
  <c r="E27" i="8"/>
  <c r="AR18" i="6"/>
  <c r="E52" i="8"/>
  <c r="AR30" i="6"/>
  <c r="E66" i="8"/>
  <c r="AR36" i="6"/>
  <c r="AZ10" i="15"/>
  <c r="AY10" i="15"/>
  <c r="AT10" i="15" l="1"/>
  <c r="AS10" i="1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Y8" authorId="0" shapeId="0" xr:uid="{BC1480D8-526A-47E0-8877-BAC3C2641D1D}">
      <text>
        <r>
          <rPr>
            <b/>
            <sz val="9"/>
            <color indexed="81"/>
            <rFont val="Segoe UI"/>
            <family val="2"/>
          </rPr>
          <t>Autor:</t>
        </r>
        <r>
          <rPr>
            <sz val="9"/>
            <color indexed="81"/>
            <rFont val="Segoe UI"/>
            <family val="2"/>
          </rPr>
          <t xml:space="preserve">
Exige avaliação do risco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tc={015411E4-D186-43CB-8EAC-92BC700392D8}</author>
  </authors>
  <commentList>
    <comment ref="H5" authorId="0" shapeId="0" xr:uid="{015411E4-D186-43CB-8EAC-92BC700392D8}">
      <text>
        <t>[Comentário encadeado]
Sua versão do Excel permite que você leia este comentário encadeado, no entanto, as edições serão removidas se o arquivo for aberto em uma versão mais recente do Excel. Saiba mais: https://go.microsoft.com/fwlink/?linkid=870924
Comentário:
    Sem dividir por 0,8</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tc={613C73D3-3EAA-4FF0-9805-C95BC353D179}</author>
  </authors>
  <commentList>
    <comment ref="H5" authorId="0" shapeId="0" xr:uid="{613C73D3-3EAA-4FF0-9805-C95BC353D179}">
      <text>
        <t>[Comentário encadeado]
Sua versão do Excel permite que você leia este comentário encadeado, no entanto, as edições serão removidas se o arquivo for aberto em uma versão mais recente do Excel. Saiba mais: https://go.microsoft.com/fwlink/?linkid=870924
Comentário:
    Sem dividir por 0,8</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tc={BDF5BCC8-91FE-4887-92B4-A0F79F31DBDB}</author>
  </authors>
  <commentList>
    <comment ref="H5" authorId="0" shapeId="0" xr:uid="{BDF5BCC8-91FE-4887-92B4-A0F79F31DBDB}">
      <text>
        <t>[Comentário encadeado]
Sua versão do Excel permite que você leia este comentário encadeado, no entanto, as edições serão removidas se o arquivo for aberto em uma versão mais recente do Excel. Saiba mais: https://go.microsoft.com/fwlink/?linkid=870924
Comentário:
    Sem dividir por 0,8</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Y8" authorId="0" shapeId="0" xr:uid="{00000000-0006-0000-0100-000001000000}">
      <text>
        <r>
          <rPr>
            <b/>
            <sz val="9"/>
            <color indexed="81"/>
            <rFont val="Segoe UI"/>
            <family val="2"/>
          </rPr>
          <t>Autor:</t>
        </r>
        <r>
          <rPr>
            <sz val="9"/>
            <color indexed="81"/>
            <rFont val="Segoe UI"/>
            <family val="2"/>
          </rPr>
          <t xml:space="preserve">
Exige avaliação do risco</t>
        </r>
      </text>
    </comment>
  </commentList>
</comments>
</file>

<file path=xl/sharedStrings.xml><?xml version="1.0" encoding="utf-8"?>
<sst xmlns="http://schemas.openxmlformats.org/spreadsheetml/2006/main" count="1161" uniqueCount="364">
  <si>
    <t>Item</t>
  </si>
  <si>
    <t>Significância</t>
  </si>
  <si>
    <t>Financeiro</t>
  </si>
  <si>
    <t>Legal</t>
  </si>
  <si>
    <t>Características</t>
  </si>
  <si>
    <t>Controle Inexistente</t>
  </si>
  <si>
    <t>Tipo</t>
  </si>
  <si>
    <t>Anual</t>
  </si>
  <si>
    <t>Trimestral</t>
  </si>
  <si>
    <t>Mensal</t>
  </si>
  <si>
    <t>Semanal</t>
  </si>
  <si>
    <t>Diário</t>
  </si>
  <si>
    <t>N.A.</t>
  </si>
  <si>
    <t>Média</t>
  </si>
  <si>
    <t>Controle-chave efetivo</t>
  </si>
  <si>
    <t>Automatizado</t>
  </si>
  <si>
    <t>Manual</t>
  </si>
  <si>
    <t>Administrável</t>
  </si>
  <si>
    <t>Indesejável</t>
  </si>
  <si>
    <t>Intolerável</t>
  </si>
  <si>
    <t>Desprezível</t>
  </si>
  <si>
    <t>Avaliação de Impacto</t>
  </si>
  <si>
    <t>Pontos</t>
  </si>
  <si>
    <t>Inf. Média</t>
  </si>
  <si>
    <t>X</t>
  </si>
  <si>
    <t>Avaliação do Controle (Probabilidade)</t>
  </si>
  <si>
    <t>Controle Compensatório efetivo</t>
  </si>
  <si>
    <t>Probabilidade</t>
  </si>
  <si>
    <t>Baixo</t>
  </si>
  <si>
    <t>Moderado</t>
  </si>
  <si>
    <t>Significativo</t>
  </si>
  <si>
    <t>Alto</t>
  </si>
  <si>
    <t>Impacto</t>
  </si>
  <si>
    <t>Ações / Monitoramento</t>
  </si>
  <si>
    <t>Responsável</t>
  </si>
  <si>
    <t>1.</t>
  </si>
  <si>
    <t>2.</t>
  </si>
  <si>
    <t>3.</t>
  </si>
  <si>
    <t>4.</t>
  </si>
  <si>
    <t>5.</t>
  </si>
  <si>
    <t>6.</t>
  </si>
  <si>
    <t>7.</t>
  </si>
  <si>
    <t>8.</t>
  </si>
  <si>
    <t>9.</t>
  </si>
  <si>
    <t>10.</t>
  </si>
  <si>
    <t>Identificação de Riscos</t>
  </si>
  <si>
    <t>BOM/RO/GR</t>
  </si>
  <si>
    <t>11.</t>
  </si>
  <si>
    <t>12.</t>
  </si>
  <si>
    <t>14.</t>
  </si>
  <si>
    <t>15.</t>
  </si>
  <si>
    <t>13.</t>
  </si>
  <si>
    <t>Identificação das Oportunidades</t>
  </si>
  <si>
    <t>16.</t>
  </si>
  <si>
    <t>17.</t>
  </si>
  <si>
    <t>18.</t>
  </si>
  <si>
    <t>19.</t>
  </si>
  <si>
    <t>20.</t>
  </si>
  <si>
    <t>21.</t>
  </si>
  <si>
    <t>CLASSIFICAÇÃO DO IMPACTO</t>
  </si>
  <si>
    <t>1                                          Baixo</t>
  </si>
  <si>
    <t>2                                  Moderado</t>
  </si>
  <si>
    <t>3                             Significativo</t>
  </si>
  <si>
    <t>4                                          Alto</t>
  </si>
  <si>
    <t>Possibilidade de Autuação</t>
  </si>
  <si>
    <t>Pequena Possibilidade de Condenação</t>
  </si>
  <si>
    <t>Possibilidade de Responsabilização aos Representantes Legais</t>
  </si>
  <si>
    <t>Processo Simples de Reversão                           (Retração)</t>
  </si>
  <si>
    <t>Processo Complexo de Reversão</t>
  </si>
  <si>
    <t>Prejuízos Significativos com Stakeholders</t>
  </si>
  <si>
    <t>Degradação da Credibilidade com Ameaça da Perenidade</t>
  </si>
  <si>
    <t>Pode afetar o Market Share, mas sem perda de Posição no Mercado</t>
  </si>
  <si>
    <t>NOTAS</t>
  </si>
  <si>
    <r>
      <t xml:space="preserve">Controle compensatório efetivo: </t>
    </r>
    <r>
      <rPr>
        <sz val="10"/>
        <color theme="1"/>
        <rFont val="Century Gothic"/>
        <family val="2"/>
      </rPr>
      <t>existe um plano de contingência para recuperação, caso o processo incorra no Risco</t>
    </r>
  </si>
  <si>
    <t>PROBABILIDADE</t>
  </si>
  <si>
    <t>Remota</t>
  </si>
  <si>
    <t>&lt; = 7</t>
  </si>
  <si>
    <t>Improvável</t>
  </si>
  <si>
    <t>&gt; 7 e &lt; 10</t>
  </si>
  <si>
    <t>Possível</t>
  </si>
  <si>
    <t>&gt; = 10 e &lt; 13</t>
  </si>
  <si>
    <t>Provável</t>
  </si>
  <si>
    <t>Risco</t>
  </si>
  <si>
    <t>Oportunidade</t>
  </si>
  <si>
    <t>Regulamentação com baixa complexidade (fácil adapatação / aplicação / baixo custo, baixo risco de multas</t>
  </si>
  <si>
    <t xml:space="preserve">Regulamentação com complexidade moderada porém dominada pela empresa </t>
  </si>
  <si>
    <t xml:space="preserve">Regulamentação com complexidade alta porém dominada pela empresa </t>
  </si>
  <si>
    <t>Imagem</t>
  </si>
  <si>
    <t>Nenhuma agregação de valor para imagem / possibilidade de perda de credibilidade</t>
  </si>
  <si>
    <t>Alta agregação de valor a imagem da empresa / valorização da marca / elevação posicionamento no mercado</t>
  </si>
  <si>
    <t>Agregação significativa com pouca elevação no posicionamento no mercado</t>
  </si>
  <si>
    <t>Pouca agregação de valor para imagem</t>
  </si>
  <si>
    <t>Prazo</t>
  </si>
  <si>
    <t>Muito curto</t>
  </si>
  <si>
    <t>Curto</t>
  </si>
  <si>
    <t>Médio</t>
  </si>
  <si>
    <t>1 mês</t>
  </si>
  <si>
    <t>Longo</t>
  </si>
  <si>
    <t>3 meses</t>
  </si>
  <si>
    <t>Muito longo</t>
  </si>
  <si>
    <t xml:space="preserve">Nenhuma </t>
  </si>
  <si>
    <t xml:space="preserve">Baixa </t>
  </si>
  <si>
    <t>Alta</t>
  </si>
  <si>
    <t>Muito alta</t>
  </si>
  <si>
    <t>Payback (ROI)</t>
  </si>
  <si>
    <t>Imediato</t>
  </si>
  <si>
    <t>0 a 3 meses</t>
  </si>
  <si>
    <t>3 a 6 meses</t>
  </si>
  <si>
    <t>6 meses a 1 ano</t>
  </si>
  <si>
    <t>1 ano a 2 anos</t>
  </si>
  <si>
    <t>Acima de 2 anos</t>
  </si>
  <si>
    <t>Curto prazo</t>
  </si>
  <si>
    <t>Médio prazo</t>
  </si>
  <si>
    <t>Longo prazo</t>
  </si>
  <si>
    <t xml:space="preserve">Complexidade   </t>
  </si>
  <si>
    <t>Direcionamento Estratégico</t>
  </si>
  <si>
    <t>Compromete a lucratividade do negócio</t>
  </si>
  <si>
    <t>Implica em redirecionar a gestão, mas sem impacto nas estratégias</t>
  </si>
  <si>
    <t>Compromete sériamente a sustentabilidade / continuidade do negócio</t>
  </si>
  <si>
    <t>Afeta as condições operacionais da empresa sem comprometer a qualidade e entrega</t>
  </si>
  <si>
    <t>Provável condenação</t>
  </si>
  <si>
    <t>Muito Curto</t>
  </si>
  <si>
    <t>Muito Longo</t>
  </si>
  <si>
    <t>Complexidade</t>
  </si>
  <si>
    <t>Nenhuma</t>
  </si>
  <si>
    <t>Baixa</t>
  </si>
  <si>
    <t>Muito Alta</t>
  </si>
  <si>
    <t>Curto Prazo</t>
  </si>
  <si>
    <t>Médio Prazo</t>
  </si>
  <si>
    <t>Longo Prazo</t>
  </si>
  <si>
    <t>Afeta as condições operacionais da empresa podendo gerar não conformidades</t>
  </si>
  <si>
    <t>Afeta fortemente as condições operacionais da empresa podendo gerar perda de clientes ou paralização da operação da empresa</t>
  </si>
  <si>
    <t>Afeta as condições operacionais da empresa podendo compremeter a satisfação dos clientes / saúde / segurança / meio ambiente</t>
  </si>
  <si>
    <t>Operação</t>
  </si>
  <si>
    <t>Baixíssima possibilidade
de o evento ocorrer</t>
  </si>
  <si>
    <t>O evento já ocorreu repetidas vezes
e provavelmente voltará a ocorrer muitas vezes</t>
  </si>
  <si>
    <t>O evento já ocorreu algumas
vezes e pode voltar a ocorrer.</t>
  </si>
  <si>
    <t>O evento ocorre raramente.</t>
  </si>
  <si>
    <t>Histórico de Ocorrência</t>
  </si>
  <si>
    <t>Mais de uma vez ao dia</t>
  </si>
  <si>
    <t>Histórico de ocorrência do risco</t>
  </si>
  <si>
    <t>Características do controle</t>
  </si>
  <si>
    <t>AVALIAÇÃO DA PROBABILIDADE</t>
  </si>
  <si>
    <t>Nenhum</t>
  </si>
  <si>
    <t>Tipo do controle</t>
  </si>
  <si>
    <r>
      <rPr>
        <b/>
        <sz val="11"/>
        <color theme="1"/>
        <rFont val="Century Gothic"/>
        <family val="2"/>
      </rPr>
      <t xml:space="preserve">Manual: </t>
    </r>
    <r>
      <rPr>
        <sz val="10"/>
        <color theme="1"/>
        <rFont val="Century Gothic"/>
        <family val="2"/>
      </rPr>
      <t>não existem sistemas mecanizados / informatizados associados</t>
    </r>
  </si>
  <si>
    <r>
      <t xml:space="preserve">Controle compensatório não efetivo: </t>
    </r>
    <r>
      <rPr>
        <sz val="10"/>
        <color theme="1"/>
        <rFont val="Century Gothic"/>
        <family val="2"/>
      </rPr>
      <t>o plano de contingência apresenta histórico de Falhas</t>
    </r>
  </si>
  <si>
    <t>Anual ou mais</t>
  </si>
  <si>
    <t>Muito Alto</t>
  </si>
  <si>
    <t>Valor Agregado</t>
  </si>
  <si>
    <r>
      <rPr>
        <b/>
        <sz val="11"/>
        <color theme="1"/>
        <rFont val="Century Gothic"/>
        <family val="2"/>
      </rPr>
      <t>Não está alinhada</t>
    </r>
    <r>
      <rPr>
        <sz val="11"/>
        <color theme="1"/>
        <rFont val="Century Gothic"/>
        <family val="2"/>
      </rPr>
      <t xml:space="preserve"> ao direcionamento estratégico, mas agrega valor ao negócio</t>
    </r>
  </si>
  <si>
    <r>
      <rPr>
        <b/>
        <sz val="11"/>
        <color theme="1"/>
        <rFont val="Century Gothic"/>
        <family val="2"/>
      </rPr>
      <t>Parcialmente alinhada</t>
    </r>
    <r>
      <rPr>
        <sz val="11"/>
        <color theme="1"/>
        <rFont val="Century Gothic"/>
        <family val="2"/>
      </rPr>
      <t xml:space="preserve"> ao direcionamento estratégico</t>
    </r>
  </si>
  <si>
    <r>
      <rPr>
        <b/>
        <sz val="11"/>
        <color theme="1"/>
        <rFont val="Century Gothic"/>
        <family val="2"/>
      </rPr>
      <t>Alinhada</t>
    </r>
    <r>
      <rPr>
        <sz val="11"/>
        <color theme="1"/>
        <rFont val="Century Gothic"/>
        <family val="2"/>
      </rPr>
      <t xml:space="preserve"> ao direcionamento estratégico</t>
    </r>
  </si>
  <si>
    <r>
      <rPr>
        <b/>
        <sz val="11"/>
        <color theme="1"/>
        <rFont val="Century Gothic"/>
        <family val="2"/>
      </rPr>
      <t>Fortemente alinhada</t>
    </r>
    <r>
      <rPr>
        <sz val="11"/>
        <color theme="1"/>
        <rFont val="Century Gothic"/>
        <family val="2"/>
      </rPr>
      <t xml:space="preserve"> e contemplada no direcionamento estratégico</t>
    </r>
  </si>
  <si>
    <t>6 meses</t>
  </si>
  <si>
    <t>1 ano</t>
  </si>
  <si>
    <t>Acima de 1 ano</t>
  </si>
  <si>
    <t>Prazo para execução</t>
  </si>
  <si>
    <t>Financeiro (Anual)</t>
  </si>
  <si>
    <t>Controle compensatório Não Efetivo</t>
  </si>
  <si>
    <t>Riscos</t>
  </si>
  <si>
    <r>
      <t xml:space="preserve">Requer mudanças </t>
    </r>
    <r>
      <rPr>
        <b/>
        <sz val="12"/>
        <color theme="1"/>
        <rFont val="Century Gothic"/>
        <family val="2"/>
      </rPr>
      <t>significativas nos processos</t>
    </r>
    <r>
      <rPr>
        <sz val="12"/>
        <color theme="1"/>
        <rFont val="Century Gothic"/>
        <family val="2"/>
      </rPr>
      <t xml:space="preserve"> e pouco significativas na infraestrutura</t>
    </r>
  </si>
  <si>
    <r>
      <t xml:space="preserve">Requer mudanças </t>
    </r>
    <r>
      <rPr>
        <b/>
        <sz val="12"/>
        <color theme="1"/>
        <rFont val="Century Gothic"/>
        <family val="2"/>
      </rPr>
      <t>significativas na infraestrutura</t>
    </r>
    <r>
      <rPr>
        <sz val="12"/>
        <color theme="1"/>
        <rFont val="Century Gothic"/>
        <family val="2"/>
      </rPr>
      <t xml:space="preserve"> e pouco significativas nos processos</t>
    </r>
  </si>
  <si>
    <t xml:space="preserve">Não requer mudanças na infraestrutura e nos processos </t>
  </si>
  <si>
    <t>Requer mudanças pouco significativas na infraestrutura  e nos processos</t>
  </si>
  <si>
    <t>Requer mudanças significativas na estrutura e  nos processos</t>
  </si>
  <si>
    <r>
      <rPr>
        <b/>
        <sz val="11"/>
        <color theme="1"/>
        <rFont val="Century Gothic"/>
        <family val="2"/>
      </rPr>
      <t>Pode compremeter</t>
    </r>
    <r>
      <rPr>
        <sz val="11"/>
        <color theme="1"/>
        <rFont val="Century Gothic"/>
        <family val="2"/>
      </rPr>
      <t xml:space="preserve"> a operação / sáude / segurança ocupacional / meio ambiente</t>
    </r>
  </si>
  <si>
    <r>
      <rPr>
        <b/>
        <sz val="11"/>
        <color theme="1"/>
        <rFont val="Century Gothic"/>
        <family val="2"/>
      </rPr>
      <t>Não compremete</t>
    </r>
    <r>
      <rPr>
        <sz val="11"/>
        <color theme="1"/>
        <rFont val="Century Gothic"/>
        <family val="2"/>
      </rPr>
      <t xml:space="preserve"> a operação / sáude / segurança ocupacional / meio ambiente</t>
    </r>
  </si>
  <si>
    <r>
      <rPr>
        <b/>
        <sz val="11"/>
        <color theme="1"/>
        <rFont val="Century Gothic"/>
        <family val="2"/>
      </rPr>
      <t>Melhora a operação</t>
    </r>
    <r>
      <rPr>
        <sz val="11"/>
        <color theme="1"/>
        <rFont val="Century Gothic"/>
        <family val="2"/>
      </rPr>
      <t xml:space="preserve"> sáude ocupacional / segurança / meio ambiente</t>
    </r>
  </si>
  <si>
    <r>
      <rPr>
        <b/>
        <sz val="11"/>
        <color theme="1"/>
        <rFont val="Century Gothic"/>
        <family val="2"/>
      </rPr>
      <t xml:space="preserve">Contribui fortemente para com a melhoria da operação </t>
    </r>
    <r>
      <rPr>
        <sz val="11"/>
        <color theme="1"/>
        <rFont val="Century Gothic"/>
        <family val="2"/>
      </rPr>
      <t xml:space="preserve">sáude / segurança ocupacional / meio ambiente </t>
    </r>
  </si>
  <si>
    <t>IMPACTO</t>
  </si>
  <si>
    <t>SIGNIFICÂNCIA</t>
  </si>
  <si>
    <t>NOME DO PROJETO OU PROCESSO</t>
  </si>
  <si>
    <r>
      <rPr>
        <b/>
        <sz val="11"/>
        <color theme="1"/>
        <rFont val="Century Gothic"/>
        <family val="2"/>
      </rPr>
      <t>Automatizado</t>
    </r>
    <r>
      <rPr>
        <b/>
        <sz val="12"/>
        <color theme="1"/>
        <rFont val="Century Gothic"/>
        <family val="2"/>
      </rPr>
      <t xml:space="preserve">: </t>
    </r>
    <r>
      <rPr>
        <sz val="10"/>
        <color theme="1"/>
        <rFont val="Century Gothic"/>
        <family val="2"/>
      </rPr>
      <t>existem</t>
    </r>
    <r>
      <rPr>
        <b/>
        <sz val="10"/>
        <color theme="1"/>
        <rFont val="Century Gothic"/>
        <family val="2"/>
      </rPr>
      <t xml:space="preserve"> </t>
    </r>
    <r>
      <rPr>
        <sz val="10"/>
        <color theme="1"/>
        <rFont val="Century Gothic"/>
        <family val="2"/>
      </rPr>
      <t>sistemas mecanizados / informatizados associados</t>
    </r>
  </si>
  <si>
    <t>&gt; = 20</t>
  </si>
  <si>
    <t>CONDIÇÕES PARA IMPLANTAÇÃO / EXECUÇÃO</t>
  </si>
  <si>
    <t>Condição para Implantação / Execução</t>
  </si>
  <si>
    <r>
      <t>Controle-chave efetivo:</t>
    </r>
    <r>
      <rPr>
        <sz val="12"/>
        <rFont val="Century Gothic"/>
        <family val="2"/>
      </rPr>
      <t xml:space="preserve"> </t>
    </r>
    <r>
      <rPr>
        <sz val="10"/>
        <rFont val="Century Gothic"/>
        <family val="2"/>
      </rPr>
      <t>existe um plano preventivo monitorando o processo minimizando o impacto caso incorra no risco. Após sua implantação não houve ocorrência do risco.</t>
    </r>
  </si>
  <si>
    <t>Regulamentação com alta complexidade (difícil adapatação / alto custo e com pouco domínio pela empresa)</t>
  </si>
  <si>
    <t>Payback (Retorno sobre o investimento)</t>
  </si>
  <si>
    <t>Estratégia</t>
  </si>
  <si>
    <t>Estratégias para Riscos</t>
  </si>
  <si>
    <t>Estratégias para Oportunidades</t>
  </si>
  <si>
    <t>Buscar alternativas/soluções visando a implementação da oportunidade através da adoção de novas práticas ou utilização de novas tecnologias.</t>
  </si>
  <si>
    <t>Estudar metodologias buscando viabilizar o aperfeiçoamento dos processos e da infraestrutura para expandir a oportunidade.</t>
  </si>
  <si>
    <t>Construir parcerias para viabilizar a implementação da oportunidade.</t>
  </si>
  <si>
    <t>Manter a oportunidade no nível atual, assumindo que sua implementação não é viável no momento.</t>
  </si>
  <si>
    <t>Prevenir</t>
  </si>
  <si>
    <t>Transferir</t>
  </si>
  <si>
    <t>Mitigar</t>
  </si>
  <si>
    <t>Aceitar</t>
  </si>
  <si>
    <t>Buscar alternativas/soluções visando evitar que o risco ocorra ou prevenir suas consequências.</t>
  </si>
  <si>
    <t>Transferir o risco para terceiros, contratando seguros, terceirizando a atividade, etc.</t>
  </si>
  <si>
    <t>Investir para que o risco ou seu impacto seja reduzido.</t>
  </si>
  <si>
    <t>manter o risco no nível atual, assumindo que as perdas são toleráveis.</t>
  </si>
  <si>
    <t>Explorar</t>
  </si>
  <si>
    <t>Melhorar</t>
  </si>
  <si>
    <t>Compartilhar</t>
  </si>
  <si>
    <t>Ações para tratar riscos</t>
  </si>
  <si>
    <t>Ações para tratar oportunidades</t>
  </si>
  <si>
    <t>Até R$ 100.000</t>
  </si>
  <si>
    <t>De R$ 100.000 a R$ 300.000</t>
  </si>
  <si>
    <t>x</t>
  </si>
  <si>
    <t>Boa aceitação do mercado para aquisição de personalização de unidades</t>
  </si>
  <si>
    <t>Redução do custo fixo através da centralização do DGCA</t>
  </si>
  <si>
    <t>Claudionor</t>
  </si>
  <si>
    <t>a) Possibilidade de negociação das despesas que foram centralizadas na Controladoria, gerando redução do custo fixo.</t>
  </si>
  <si>
    <t>Rafael</t>
  </si>
  <si>
    <t>Josiane</t>
  </si>
  <si>
    <t>Matriz de Avaliação e Gestão de Riscos</t>
  </si>
  <si>
    <t>Comercial - Vacância</t>
  </si>
  <si>
    <t xml:space="preserve">Eventos de Sinistros em Imóveis </t>
  </si>
  <si>
    <t>Novos Negócios - Aquisição de Imóveis</t>
  </si>
  <si>
    <t>Novos Negócios - Definição do Produto</t>
  </si>
  <si>
    <t>Assistência Técnica - Conservação dos Imóveis</t>
  </si>
  <si>
    <t>Administrativo - Inadimplência</t>
  </si>
  <si>
    <t>Redução de faturamento em decorrência de Pandemias "Covid-19"</t>
  </si>
  <si>
    <t>a) gestão comercial: vacância em R$ de 5,7%; em ABL de 9,96%, base set.2020;</t>
  </si>
  <si>
    <t>Ana Cristina</t>
  </si>
  <si>
    <t>b) negociações pontuais com locatários visando evitar a desocupação;</t>
  </si>
  <si>
    <t>c) imóvel de Fortaleza representa 15% do custo mensal (R$ 27k)</t>
  </si>
  <si>
    <t>a)  seguro dos imóveis:</t>
  </si>
  <si>
    <t>b) segurança ou monitoramento nos imóveis desocupados;</t>
  </si>
  <si>
    <t>a) procedimento de análise de viabilidade;</t>
  </si>
  <si>
    <t>Nelson</t>
  </si>
  <si>
    <t>b) apresentação e aprovação do Conselho;</t>
  </si>
  <si>
    <t>a) pesquisa de mercado;</t>
  </si>
  <si>
    <t>b) busca de negócios com locação "casada";</t>
  </si>
  <si>
    <t>c) viabilidade apresentada e aprovada pelo Conselho;</t>
  </si>
  <si>
    <t>a) manutenção corretiva;</t>
  </si>
  <si>
    <t>b) manutenção e controle preventivo (futura equip. de manutenção da Piemonte);</t>
  </si>
  <si>
    <t>a) acompanhamento por evento;</t>
  </si>
  <si>
    <t>b) procedimentos jurídicos;</t>
  </si>
  <si>
    <t>b) buscar negociações;</t>
  </si>
  <si>
    <t>Matriz de Avaliação e Gestão de Oportunidades</t>
  </si>
  <si>
    <t>GESTÃO DE PROPRIEDADES</t>
  </si>
  <si>
    <t>Expansão/aumento de faturamento na captação de  Novos Negocios</t>
  </si>
  <si>
    <t>CANTU</t>
  </si>
  <si>
    <t>22.</t>
  </si>
  <si>
    <t>Melhorar o atendimento ao cliente</t>
  </si>
  <si>
    <t>Acima de R$ 500.000</t>
  </si>
  <si>
    <t>Acima de R$ 1.000.000</t>
  </si>
  <si>
    <t>Até R$ 200.000</t>
  </si>
  <si>
    <t>De R$ 300.000 a R$ 500.000</t>
  </si>
  <si>
    <t>De R$ 200.000 a R$ 600.000</t>
  </si>
  <si>
    <t>De R$ 600.000 a R$ 1.000.000</t>
  </si>
  <si>
    <t>GR 178 / 179</t>
  </si>
  <si>
    <t>Ações de monitoramento evidenciadas conforme GR 178/179 no SIGO</t>
  </si>
  <si>
    <t>b) Diretrizes gerais para entrega de imóveis</t>
  </si>
  <si>
    <t xml:space="preserve">a) Elaboração do procedimento de entrega de imóveis </t>
  </si>
  <si>
    <t>Investidores buscando oportunidades de maior rentabilidade no mercado imobiliário, priorizam empresas com boas práticas e com bons projetos</t>
  </si>
  <si>
    <t>a) Manter contato com bancos, fundos de investimentos e investidores particulares que estejam buscando oportunidades boas no mercado</t>
  </si>
  <si>
    <t>b) Criar modelo de participação de investidores em projetos que sejam atrativos aos investidores, remunerem a empresa e permitam um maior crescimento do negócio ao longo dos anos</t>
  </si>
  <si>
    <t xml:space="preserve">c) Conhecer o mercado de capitais e de investimentos de forma a manter uma boa comunicação com investidores e parceiros e aproveitar oportunidades existentes </t>
  </si>
  <si>
    <t>GR 188</t>
  </si>
  <si>
    <t>BOM 384/2022</t>
  </si>
  <si>
    <t>Incluir evidências até 31/12</t>
  </si>
  <si>
    <t>Crescimento do mercado trazendo oportunidades para o nicho de prestação de serviços no agronegócio</t>
  </si>
  <si>
    <t>GR 217</t>
  </si>
  <si>
    <t>GR 215</t>
  </si>
  <si>
    <t>Meta 2022</t>
  </si>
  <si>
    <t>Matriz de Avaliação e Gestão de Riscos - 2022</t>
  </si>
  <si>
    <t>Matriz de Avaliação e Gestão de Oportunidades - 2022</t>
  </si>
  <si>
    <t>AMEAÇAS</t>
  </si>
  <si>
    <t>OPORTUNIDADES</t>
  </si>
  <si>
    <t>FORÇAS</t>
  </si>
  <si>
    <t>FRAQUEZAS</t>
  </si>
  <si>
    <t>Solidez e credibilidade do grupo</t>
  </si>
  <si>
    <t>EXTERNOS</t>
  </si>
  <si>
    <t>INTERNOS</t>
  </si>
  <si>
    <t>Receita Taxa de Adm</t>
  </si>
  <si>
    <t>Custos Equipe</t>
  </si>
  <si>
    <t>Resultado Final</t>
  </si>
  <si>
    <t>Margem Líquida</t>
  </si>
  <si>
    <t>Aumento de número de obras terceiro para portfolio</t>
  </si>
  <si>
    <t>Receita Assistência</t>
  </si>
  <si>
    <t>RECEITA</t>
  </si>
  <si>
    <t>CUSTO</t>
  </si>
  <si>
    <t>DESPESA</t>
  </si>
  <si>
    <t>Aumento de receita que proporciona uma diluição do custo fixo da construtora</t>
  </si>
  <si>
    <t>Despesa Assistência</t>
  </si>
  <si>
    <t>Permuta Taxa de Adm</t>
  </si>
  <si>
    <t xml:space="preserve">Receita MO Adm Piemonte </t>
  </si>
  <si>
    <t>Equipe engenharia estruturada demonstrou confiança ao cliente</t>
  </si>
  <si>
    <t>IRPJ + CSLL</t>
  </si>
  <si>
    <t>Impostos (PIS + COFINS + ISS)</t>
  </si>
  <si>
    <t>VPL/RECEITA</t>
  </si>
  <si>
    <t>VPL</t>
  </si>
  <si>
    <t>INCC ANO</t>
  </si>
  <si>
    <t>RECEITA LÍQUIDA</t>
  </si>
  <si>
    <t>CUSTO CAPITAL / MÊS (10% ANO) SEM INCC</t>
  </si>
  <si>
    <t>BASE DE DADOS</t>
  </si>
  <si>
    <t>VIABILIDADE</t>
  </si>
  <si>
    <t>ANÁLISES</t>
  </si>
  <si>
    <t>Modalidade de Contratação</t>
  </si>
  <si>
    <t>R$ Raso de Obra</t>
  </si>
  <si>
    <t>INCC Base</t>
  </si>
  <si>
    <t>Taxa Adm</t>
  </si>
  <si>
    <t>Reajuste Taxa Assistência</t>
  </si>
  <si>
    <t>Reajuste Taxa Adm</t>
  </si>
  <si>
    <t>Tem permuta</t>
  </si>
  <si>
    <t>R$ Permuta</t>
  </si>
  <si>
    <t>R$ Equipe</t>
  </si>
  <si>
    <t>Prazo Obra</t>
  </si>
  <si>
    <t>Data início Obra</t>
  </si>
  <si>
    <t>OBRA:</t>
  </si>
  <si>
    <t>Não</t>
  </si>
  <si>
    <t>VALORES TOTAIS</t>
  </si>
  <si>
    <t>VALORES %</t>
  </si>
  <si>
    <t>MESES DE OBRA</t>
  </si>
  <si>
    <t>MESES PÓS OBRA</t>
  </si>
  <si>
    <t>CONFERÊNCIAS</t>
  </si>
  <si>
    <t>COORDENADOR DE OBRAS</t>
  </si>
  <si>
    <t>ENGENHEIRO RESIDENTE</t>
  </si>
  <si>
    <t>ESTAGIÁRIO</t>
  </si>
  <si>
    <t>MESTRE DE OBRAS</t>
  </si>
  <si>
    <t>CONTRAMESTRE DE OBRAS</t>
  </si>
  <si>
    <t>ANALISTA DE ENGENHARIA</t>
  </si>
  <si>
    <t>ENCARREGADO</t>
  </si>
  <si>
    <t>ALMOXARIFE</t>
  </si>
  <si>
    <t>AUXILIAR DE ALMOXARIFE</t>
  </si>
  <si>
    <t>ENGENHEIRO DE SEGURANÇA</t>
  </si>
  <si>
    <t>TÉCNICO SEGURANCA</t>
  </si>
  <si>
    <t>TÉCNICO EM EDIFICAÇÕES</t>
  </si>
  <si>
    <t>CUSTO EQUIPE ADM PIEMONTE</t>
  </si>
  <si>
    <t>CUSTO CARGO</t>
  </si>
  <si>
    <t>POSSUI NESTE ORÇ</t>
  </si>
  <si>
    <t>Comissão Obra</t>
  </si>
  <si>
    <t>Custos Deslocamento</t>
  </si>
  <si>
    <t>Necessário deslocamento</t>
  </si>
  <si>
    <t>Valor Descolamento</t>
  </si>
  <si>
    <t>-</t>
  </si>
  <si>
    <t>MARGEM BRUTA %</t>
  </si>
  <si>
    <t>MARGEM BRUTA R$</t>
  </si>
  <si>
    <t>Despesas Adm Pie</t>
  </si>
  <si>
    <t>RESULTADO</t>
  </si>
  <si>
    <t>CURVA FÍSICA OBRA</t>
  </si>
  <si>
    <t>RECEITAS - IMPOSTOS</t>
  </si>
  <si>
    <t>LEGENDA:</t>
  </si>
  <si>
    <t>preencher</t>
  </si>
  <si>
    <t>INCCs Raso de Obra</t>
  </si>
  <si>
    <t>Taxa Assistência %</t>
  </si>
  <si>
    <t>Taxa Assistência R$</t>
  </si>
  <si>
    <t>DADOS</t>
  </si>
  <si>
    <t>Risco Estouro / Banda Estouro</t>
  </si>
  <si>
    <t>Ganho Economia / Banda Economia</t>
  </si>
  <si>
    <t>%</t>
  </si>
  <si>
    <t>Indefinições de projetos e soluções</t>
  </si>
  <si>
    <t>Contrato por adm, sem performance! Fugimos da disputa por preço, valorização do conhecimento</t>
  </si>
  <si>
    <t>Obra com controle no sistema de gestão do cliente - SIENGE</t>
  </si>
  <si>
    <t>PLATEA 19</t>
  </si>
  <si>
    <t>Despesa Adm Engenharia 2026</t>
  </si>
  <si>
    <t>Despesa Adm Engenharia 2027</t>
  </si>
  <si>
    <t>variável / ano</t>
  </si>
  <si>
    <t>Despesa Adm Engenharia 2028 a ...</t>
  </si>
  <si>
    <t>FINALIZAÇÃO OBRA</t>
  </si>
  <si>
    <t>Sim</t>
  </si>
  <si>
    <t>Reorçamento de obra pra definição taxa F2</t>
  </si>
  <si>
    <t>Duas obras emblemáticas</t>
  </si>
  <si>
    <t>Duas obras mesmo cliente</t>
  </si>
  <si>
    <t>Desorganização estrutura AG7 (monitorar atrasos NFs, etc)</t>
  </si>
  <si>
    <t>GRAND LODGE</t>
  </si>
  <si>
    <t>PMG</t>
  </si>
  <si>
    <t>valores orç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</si>
</sst>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8" formatCode="&quot;R$&quot;\ #,##0.00;[Red]\-&quot;R$&quot;\ #,##0.00"/>
    <numFmt numFmtId="44" formatCode="_-&quot;R$&quot;\ * #,##0.00_-;\-&quot;R$&quot;\ * #,##0.00_-;_-&quot;R$&quot;\ * &quot;-&quot;??_-;_-@_-"/>
    <numFmt numFmtId="43" formatCode="_-* #,##0.00_-;\-* #,##0.00_-;_-* &quot;-&quot;??_-;_-@_-"/>
    <numFmt numFmtId="164" formatCode="#,##0;\(#,##0\)"/>
    <numFmt numFmtId="165" formatCode="_(* #,##0.00_);_(* \(#,##0.00\);_(* &quot;-&quot;??_);_(@_)"/>
    <numFmt numFmtId="166" formatCode="[$-416]mmm\-yy;@"/>
    <numFmt numFmtId="167" formatCode="0.0000%"/>
    <numFmt numFmtId="168" formatCode="0.0%"/>
    <numFmt numFmtId="169" formatCode="_-* #,##0.000_-;\-* #,##0.000_-;_-* &quot;-&quot;??_-;_-@_-"/>
  </numFmts>
  <fonts count="75" x14ac:knownFonts="1">
    <font>
      <sz val="11"/>
      <color theme="1"/>
      <name val="Calibri"/>
      <family val="2"/>
      <scheme val="minor"/>
    </font>
    <font>
      <b/>
      <sz val="11"/>
      <color indexed="8"/>
      <name val="Arial"/>
      <family val="2"/>
    </font>
    <font>
      <sz val="11"/>
      <color indexed="8"/>
      <name val="Arial"/>
      <family val="2"/>
    </font>
    <font>
      <b/>
      <sz val="14"/>
      <color indexed="8"/>
      <name val="Segoe UI"/>
      <family val="2"/>
    </font>
    <font>
      <sz val="10"/>
      <color indexed="8"/>
      <name val="Arial"/>
      <family val="2"/>
    </font>
    <font>
      <sz val="10"/>
      <name val="Arial"/>
      <family val="2"/>
    </font>
    <font>
      <b/>
      <sz val="8"/>
      <color indexed="8"/>
      <name val="Arial"/>
      <family val="2"/>
    </font>
    <font>
      <sz val="11"/>
      <color theme="1"/>
      <name val="Calibri"/>
      <family val="2"/>
      <scheme val="minor"/>
    </font>
    <font>
      <b/>
      <sz val="12"/>
      <color theme="1"/>
      <name val="Century Gothic"/>
      <family val="2"/>
    </font>
    <font>
      <sz val="11"/>
      <color theme="0"/>
      <name val="Arial"/>
      <family val="2"/>
    </font>
    <font>
      <b/>
      <sz val="9"/>
      <color indexed="8"/>
      <name val="Arial"/>
      <family val="2"/>
    </font>
    <font>
      <sz val="8"/>
      <color indexed="8"/>
      <name val="Arial"/>
      <family val="2"/>
    </font>
    <font>
      <sz val="7"/>
      <color indexed="8"/>
      <name val="Arial"/>
      <family val="2"/>
    </font>
    <font>
      <b/>
      <sz val="11"/>
      <color theme="0"/>
      <name val="Arial"/>
      <family val="2"/>
    </font>
    <font>
      <b/>
      <sz val="7"/>
      <color theme="0"/>
      <name val="Arial"/>
      <family val="2"/>
    </font>
    <font>
      <sz val="8"/>
      <color theme="0"/>
      <name val="Arial"/>
      <family val="2"/>
    </font>
    <font>
      <sz val="9"/>
      <color indexed="8"/>
      <name val="Arial"/>
      <family val="2"/>
    </font>
    <font>
      <sz val="10"/>
      <color indexed="8"/>
      <name val="Calibri"/>
      <family val="2"/>
      <scheme val="minor"/>
    </font>
    <font>
      <sz val="10"/>
      <color theme="1"/>
      <name val="Century Gothic"/>
      <family val="2"/>
    </font>
    <font>
      <b/>
      <u/>
      <sz val="18"/>
      <color theme="0"/>
      <name val="Century Gothic"/>
      <family val="2"/>
    </font>
    <font>
      <b/>
      <u/>
      <sz val="14"/>
      <color theme="0"/>
      <name val="Century Gothic"/>
      <family val="2"/>
    </font>
    <font>
      <b/>
      <sz val="12"/>
      <color theme="0"/>
      <name val="Century Gothic"/>
      <family val="2"/>
    </font>
    <font>
      <sz val="11"/>
      <color theme="1"/>
      <name val="Century Gothic"/>
      <family val="2"/>
    </font>
    <font>
      <b/>
      <i/>
      <sz val="10"/>
      <color theme="1"/>
      <name val="Century Gothic"/>
      <family val="2"/>
    </font>
    <font>
      <b/>
      <sz val="14"/>
      <color theme="1"/>
      <name val="Century Gothic"/>
      <family val="2"/>
    </font>
    <font>
      <b/>
      <sz val="10"/>
      <color theme="1"/>
      <name val="Century Gothic"/>
      <family val="2"/>
    </font>
    <font>
      <b/>
      <i/>
      <sz val="12"/>
      <color theme="1"/>
      <name val="Century Gothic"/>
      <family val="2"/>
    </font>
    <font>
      <sz val="12"/>
      <color theme="1"/>
      <name val="Century Gothic"/>
      <family val="2"/>
    </font>
    <font>
      <sz val="12"/>
      <color rgb="FF000000"/>
      <name val="Century Gothic"/>
      <family val="2"/>
    </font>
    <font>
      <sz val="10"/>
      <color rgb="FF000000"/>
      <name val="Century Gothic"/>
      <family val="2"/>
    </font>
    <font>
      <b/>
      <sz val="11"/>
      <color theme="1"/>
      <name val="Century Gothic"/>
      <family val="2"/>
    </font>
    <font>
      <b/>
      <sz val="12"/>
      <name val="Century Gothic"/>
      <family val="2"/>
    </font>
    <font>
      <sz val="12"/>
      <name val="Century Gothic"/>
      <family val="2"/>
    </font>
    <font>
      <sz val="10"/>
      <name val="Century Gothic"/>
      <family val="2"/>
    </font>
    <font>
      <sz val="8"/>
      <name val="Arial"/>
      <family val="2"/>
    </font>
    <font>
      <sz val="8"/>
      <color rgb="FFFF0000"/>
      <name val="Arial"/>
      <family val="2"/>
    </font>
    <font>
      <sz val="11"/>
      <color rgb="FFFF0000"/>
      <name val="Arial"/>
      <family val="2"/>
    </font>
    <font>
      <b/>
      <sz val="11"/>
      <color rgb="FFFF0000"/>
      <name val="Arial"/>
      <family val="2"/>
    </font>
    <font>
      <b/>
      <sz val="7"/>
      <color rgb="FFFF0000"/>
      <name val="Arial"/>
      <family val="2"/>
    </font>
    <font>
      <b/>
      <sz val="9"/>
      <color rgb="FFFF0000"/>
      <name val="Arial"/>
      <family val="2"/>
    </font>
    <font>
      <sz val="10"/>
      <color rgb="FFFF0000"/>
      <name val="Arial"/>
      <family val="2"/>
    </font>
    <font>
      <sz val="9"/>
      <color indexed="81"/>
      <name val="Segoe UI"/>
      <family val="2"/>
    </font>
    <font>
      <b/>
      <sz val="9"/>
      <color indexed="81"/>
      <name val="Segoe UI"/>
      <family val="2"/>
    </font>
    <font>
      <sz val="16"/>
      <name val="Arial"/>
      <family val="2"/>
    </font>
    <font>
      <b/>
      <sz val="11"/>
      <color theme="1"/>
      <name val="Calibri"/>
      <family val="2"/>
      <scheme val="minor"/>
    </font>
    <font>
      <b/>
      <sz val="20"/>
      <color theme="0"/>
      <name val="Segoe UI"/>
      <family val="2"/>
    </font>
    <font>
      <b/>
      <sz val="14"/>
      <name val="Segoe UI"/>
      <family val="2"/>
    </font>
    <font>
      <b/>
      <sz val="11"/>
      <name val="Arial"/>
      <family val="2"/>
    </font>
    <font>
      <b/>
      <sz val="14"/>
      <color indexed="8"/>
      <name val="Arial"/>
      <family val="2"/>
    </font>
    <font>
      <b/>
      <sz val="16"/>
      <color indexed="8"/>
      <name val="Arial"/>
      <family val="2"/>
    </font>
    <font>
      <b/>
      <sz val="16"/>
      <name val="Arial"/>
      <family val="2"/>
    </font>
    <font>
      <b/>
      <sz val="14"/>
      <color theme="0"/>
      <name val="Arial"/>
      <family val="2"/>
    </font>
    <font>
      <b/>
      <sz val="10"/>
      <color indexed="8"/>
      <name val="Arial"/>
      <family val="2"/>
    </font>
    <font>
      <sz val="11"/>
      <name val="Arial"/>
      <family val="2"/>
    </font>
    <font>
      <b/>
      <sz val="20"/>
      <color rgb="FFFF0000"/>
      <name val="Segoe UI"/>
      <family val="2"/>
    </font>
    <font>
      <sz val="10"/>
      <color theme="0"/>
      <name val="Arial"/>
      <family val="2"/>
    </font>
    <font>
      <b/>
      <sz val="14"/>
      <color rgb="FFFF0000"/>
      <name val="Segoe UI"/>
      <family val="2"/>
    </font>
    <font>
      <sz val="10"/>
      <color theme="0"/>
      <name val="Calibri"/>
      <family val="2"/>
      <scheme val="minor"/>
    </font>
    <font>
      <sz val="10"/>
      <name val="Calibri"/>
      <family val="2"/>
      <scheme val="minor"/>
    </font>
    <font>
      <b/>
      <sz val="10"/>
      <name val="Arial"/>
      <family val="2"/>
    </font>
    <font>
      <sz val="10"/>
      <color theme="1"/>
      <name val="Calibri"/>
      <family val="2"/>
      <scheme val="minor"/>
    </font>
    <font>
      <sz val="11"/>
      <color rgb="FF000000"/>
      <name val="Calibri"/>
      <family val="2"/>
    </font>
    <font>
      <sz val="10"/>
      <color rgb="FFFF0000"/>
      <name val="Calibri"/>
      <family val="2"/>
      <scheme val="minor"/>
    </font>
    <font>
      <b/>
      <sz val="9"/>
      <name val="Arial"/>
      <family val="2"/>
    </font>
    <font>
      <b/>
      <sz val="11"/>
      <color rgb="FF363636"/>
      <name val="Calibri"/>
      <family val="2"/>
      <scheme val="minor"/>
    </font>
    <font>
      <sz val="10"/>
      <color rgb="FF363636"/>
      <name val="Calibri"/>
      <family val="2"/>
      <scheme val="minor"/>
    </font>
    <font>
      <b/>
      <sz val="10"/>
      <color theme="0"/>
      <name val="Calibri"/>
      <family val="2"/>
      <scheme val="minor"/>
    </font>
    <font>
      <sz val="11"/>
      <color rgb="FF000000"/>
      <name val="Calibri"/>
      <family val="2"/>
      <scheme val="minor"/>
    </font>
    <font>
      <i/>
      <sz val="10"/>
      <color theme="1"/>
      <name val="Calibri"/>
      <family val="2"/>
      <scheme val="minor"/>
    </font>
    <font>
      <b/>
      <i/>
      <sz val="10"/>
      <color theme="1"/>
      <name val="Calibri"/>
      <family val="2"/>
      <scheme val="minor"/>
    </font>
    <font>
      <b/>
      <sz val="10"/>
      <color theme="1"/>
      <name val="Calibri"/>
      <family val="2"/>
      <scheme val="minor"/>
    </font>
    <font>
      <i/>
      <sz val="8"/>
      <color rgb="FF000000"/>
      <name val="Calibri"/>
      <family val="2"/>
    </font>
    <font>
      <sz val="8"/>
      <name val="Calibri"/>
      <family val="2"/>
      <scheme val="minor"/>
    </font>
    <font>
      <i/>
      <sz val="10"/>
      <name val="Calibri"/>
      <family val="2"/>
      <scheme val="minor"/>
    </font>
    <font>
      <sz val="9"/>
      <color theme="1"/>
      <name val="Calibri"/>
      <family val="2"/>
      <scheme val="minor"/>
    </font>
  </fonts>
  <fills count="33">
    <fill>
      <patternFill patternType="none"/>
    </fill>
    <fill>
      <patternFill patternType="gray125"/>
    </fill>
    <fill>
      <patternFill patternType="solid">
        <fgColor indexed="9"/>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0"/>
        <bgColor indexed="64"/>
      </patternFill>
    </fill>
    <fill>
      <patternFill patternType="solid">
        <fgColor rgb="FF00B050"/>
        <bgColor indexed="64"/>
      </patternFill>
    </fill>
    <fill>
      <patternFill patternType="solid">
        <fgColor rgb="FFFF0000"/>
        <bgColor indexed="64"/>
      </patternFill>
    </fill>
    <fill>
      <patternFill patternType="solid">
        <fgColor rgb="FFFFFF00"/>
        <bgColor indexed="64"/>
      </patternFill>
    </fill>
    <fill>
      <patternFill patternType="solid">
        <fgColor rgb="FFFF8C00"/>
        <bgColor indexed="64"/>
      </patternFill>
    </fill>
    <fill>
      <gradientFill degree="180">
        <stop position="0">
          <color theme="0"/>
        </stop>
        <stop position="1">
          <color theme="1" tint="0.49803155613879818"/>
        </stop>
      </gradientFill>
    </fill>
    <fill>
      <patternFill patternType="solid">
        <fgColor theme="9" tint="-0.249977111117893"/>
        <bgColor indexed="64"/>
      </patternFill>
    </fill>
    <fill>
      <patternFill patternType="solid">
        <fgColor theme="9" tint="0.59999389629810485"/>
        <bgColor indexed="64"/>
      </patternFill>
    </fill>
    <fill>
      <patternFill patternType="solid">
        <fgColor theme="9" tint="0.39997558519241921"/>
        <bgColor indexed="64"/>
      </patternFill>
    </fill>
    <fill>
      <gradientFill degree="270">
        <stop position="0">
          <color theme="0"/>
        </stop>
        <stop position="1">
          <color theme="1" tint="0.49803155613879818"/>
        </stop>
      </gradientFill>
    </fill>
    <fill>
      <gradientFill degree="270">
        <stop position="0">
          <color theme="0"/>
        </stop>
        <stop position="1">
          <color theme="9" tint="0.40000610370189521"/>
        </stop>
      </gradientFill>
    </fill>
    <fill>
      <patternFill patternType="solid">
        <fgColor theme="0" tint="-0.14999847407452621"/>
        <bgColor indexed="64"/>
      </patternFill>
    </fill>
    <fill>
      <patternFill patternType="solid">
        <fgColor theme="0"/>
        <bgColor auto="1"/>
      </patternFill>
    </fill>
    <fill>
      <patternFill patternType="solid">
        <fgColor theme="4" tint="-0.499984740745262"/>
        <bgColor indexed="64"/>
      </patternFill>
    </fill>
    <fill>
      <patternFill patternType="solid">
        <fgColor theme="4" tint="0.39997558519241921"/>
        <bgColor indexed="64"/>
      </patternFill>
    </fill>
    <fill>
      <patternFill patternType="solid">
        <fgColor rgb="FF6699FF"/>
        <bgColor indexed="64"/>
      </patternFill>
    </fill>
    <fill>
      <patternFill patternType="solid">
        <fgColor theme="8" tint="0.79998168889431442"/>
        <bgColor indexed="64"/>
      </patternFill>
    </fill>
    <fill>
      <patternFill patternType="solid">
        <fgColor rgb="FF00B0F0"/>
        <bgColor indexed="64"/>
      </patternFill>
    </fill>
    <fill>
      <patternFill patternType="solid">
        <fgColor rgb="FF002060"/>
        <bgColor indexed="64"/>
      </patternFill>
    </fill>
    <fill>
      <patternFill patternType="solid">
        <fgColor theme="6" tint="0.59999389629810485"/>
        <bgColor indexed="64"/>
      </patternFill>
    </fill>
    <fill>
      <patternFill patternType="solid">
        <fgColor rgb="FFFFC000"/>
        <bgColor indexed="64"/>
      </patternFill>
    </fill>
    <fill>
      <patternFill patternType="solid">
        <fgColor theme="8" tint="0.59999389629810485"/>
        <bgColor indexed="64"/>
      </patternFill>
    </fill>
    <fill>
      <patternFill patternType="solid">
        <fgColor theme="0" tint="-4.9989318521683403E-2"/>
        <bgColor indexed="64"/>
      </patternFill>
    </fill>
    <fill>
      <patternFill patternType="solid">
        <fgColor rgb="FFFFFF93"/>
        <bgColor indexed="64"/>
      </patternFill>
    </fill>
    <fill>
      <patternFill patternType="solid">
        <fgColor rgb="FF00B871"/>
        <bgColor indexed="64"/>
      </patternFill>
    </fill>
    <fill>
      <patternFill patternType="solid">
        <fgColor rgb="FF1A665B"/>
        <bgColor indexed="64"/>
      </patternFill>
    </fill>
    <fill>
      <patternFill patternType="solid">
        <fgColor theme="6" tint="0.79998168889431442"/>
        <bgColor indexed="64"/>
      </patternFill>
    </fill>
    <fill>
      <patternFill patternType="solid">
        <fgColor rgb="FF363636"/>
        <bgColor indexed="64"/>
      </patternFill>
    </fill>
  </fills>
  <borders count="92">
    <border>
      <left/>
      <right/>
      <top/>
      <bottom/>
      <diagonal/>
    </border>
    <border>
      <left style="thin">
        <color indexed="64"/>
      </left>
      <right style="thin">
        <color indexed="64"/>
      </right>
      <top/>
      <bottom/>
      <diagonal/>
    </border>
    <border>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bottom style="medium">
        <color indexed="64"/>
      </bottom>
      <diagonal/>
    </border>
    <border>
      <left style="thin">
        <color theme="8" tint="-0.24994659260841701"/>
      </left>
      <right style="thin">
        <color theme="8" tint="-0.24994659260841701"/>
      </right>
      <top style="thin">
        <color theme="8" tint="-0.24994659260841701"/>
      </top>
      <bottom style="thin">
        <color theme="8" tint="-0.24994659260841701"/>
      </bottom>
      <diagonal/>
    </border>
    <border>
      <left/>
      <right style="thin">
        <color indexed="64"/>
      </right>
      <top/>
      <bottom style="medium">
        <color indexed="64"/>
      </bottom>
      <diagonal/>
    </border>
    <border>
      <left/>
      <right/>
      <top/>
      <bottom style="thin">
        <color theme="8" tint="-0.24994659260841701"/>
      </bottom>
      <diagonal/>
    </border>
    <border>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thin">
        <color theme="8" tint="-0.24994659260841701"/>
      </right>
      <top style="thin">
        <color theme="8" tint="-0.24994659260841701"/>
      </top>
      <bottom style="thin">
        <color theme="8" tint="-0.24994659260841701"/>
      </bottom>
      <diagonal/>
    </border>
    <border>
      <left/>
      <right style="thin">
        <color theme="0" tint="-0.499984740745262"/>
      </right>
      <top/>
      <bottom/>
      <diagonal/>
    </border>
    <border>
      <left/>
      <right/>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ck">
        <color theme="0"/>
      </left>
      <right style="thin">
        <color theme="0"/>
      </right>
      <top style="thick">
        <color theme="0"/>
      </top>
      <bottom/>
      <diagonal/>
    </border>
    <border>
      <left style="thin">
        <color theme="0"/>
      </left>
      <right style="thin">
        <color theme="0"/>
      </right>
      <top style="thick">
        <color theme="0"/>
      </top>
      <bottom style="thin">
        <color theme="0"/>
      </bottom>
      <diagonal/>
    </border>
    <border>
      <left style="thin">
        <color theme="0"/>
      </left>
      <right style="thick">
        <color theme="0"/>
      </right>
      <top style="thick">
        <color theme="0"/>
      </top>
      <bottom style="thin">
        <color theme="0"/>
      </bottom>
      <diagonal/>
    </border>
    <border>
      <left style="thick">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style="thin">
        <color theme="0"/>
      </left>
      <right style="thick">
        <color theme="0"/>
      </right>
      <top style="thin">
        <color theme="0"/>
      </top>
      <bottom style="thin">
        <color theme="0"/>
      </bottom>
      <diagonal/>
    </border>
    <border>
      <left style="thick">
        <color theme="0"/>
      </left>
      <right style="thin">
        <color theme="0"/>
      </right>
      <top style="thin">
        <color theme="0"/>
      </top>
      <bottom style="thin">
        <color theme="0"/>
      </bottom>
      <diagonal/>
    </border>
    <border>
      <left style="thin">
        <color theme="0"/>
      </left>
      <right style="thin">
        <color theme="0"/>
      </right>
      <top style="thin">
        <color theme="0"/>
      </top>
      <bottom style="thick">
        <color theme="0"/>
      </bottom>
      <diagonal/>
    </border>
    <border>
      <left style="thin">
        <color theme="0"/>
      </left>
      <right style="thick">
        <color theme="0"/>
      </right>
      <top style="thin">
        <color theme="0"/>
      </top>
      <bottom style="thick">
        <color theme="0"/>
      </bottom>
      <diagonal/>
    </border>
    <border>
      <left style="thick">
        <color theme="0"/>
      </left>
      <right style="thin">
        <color theme="0"/>
      </right>
      <top style="thick">
        <color theme="0"/>
      </top>
      <bottom style="thin">
        <color theme="0"/>
      </bottom>
      <diagonal/>
    </border>
    <border>
      <left style="thick">
        <color theme="0"/>
      </left>
      <right style="thick">
        <color theme="0"/>
      </right>
      <top style="thick">
        <color theme="0"/>
      </top>
      <bottom/>
      <diagonal/>
    </border>
    <border>
      <left style="thick">
        <color theme="0"/>
      </left>
      <right style="thick">
        <color theme="0"/>
      </right>
      <top/>
      <bottom/>
      <diagonal/>
    </border>
    <border>
      <left style="thick">
        <color theme="0"/>
      </left>
      <right/>
      <top/>
      <bottom/>
      <diagonal/>
    </border>
    <border>
      <left/>
      <right/>
      <top/>
      <bottom style="thin">
        <color theme="0"/>
      </bottom>
      <diagonal/>
    </border>
    <border>
      <left/>
      <right style="thin">
        <color theme="0"/>
      </right>
      <top style="thin">
        <color theme="0"/>
      </top>
      <bottom style="thin">
        <color theme="0"/>
      </bottom>
      <diagonal/>
    </border>
    <border>
      <left style="thick">
        <color theme="0"/>
      </left>
      <right style="thin">
        <color theme="0"/>
      </right>
      <top style="thin">
        <color theme="0"/>
      </top>
      <bottom/>
      <diagonal/>
    </border>
    <border>
      <left style="thick">
        <color theme="0"/>
      </left>
      <right style="thin">
        <color theme="0"/>
      </right>
      <top/>
      <bottom/>
      <diagonal/>
    </border>
    <border>
      <left style="thick">
        <color theme="0"/>
      </left>
      <right style="thin">
        <color theme="0"/>
      </right>
      <top/>
      <bottom style="thick">
        <color theme="0"/>
      </bottom>
      <diagonal/>
    </border>
    <border>
      <left style="thick">
        <color theme="0"/>
      </left>
      <right style="thick">
        <color theme="0"/>
      </right>
      <top/>
      <bottom style="thick">
        <color theme="0"/>
      </bottom>
      <diagonal/>
    </border>
    <border>
      <left/>
      <right style="thin">
        <color theme="0"/>
      </right>
      <top style="thick">
        <color theme="0"/>
      </top>
      <bottom/>
      <diagonal/>
    </border>
    <border>
      <left/>
      <right style="thin">
        <color theme="0"/>
      </right>
      <top/>
      <bottom style="thin">
        <color theme="0"/>
      </bottom>
      <diagonal/>
    </border>
    <border>
      <left style="thin">
        <color theme="0"/>
      </left>
      <right style="thin">
        <color theme="0"/>
      </right>
      <top style="thin">
        <color theme="0"/>
      </top>
      <bottom/>
      <diagonal/>
    </border>
    <border>
      <left style="thin">
        <color theme="0"/>
      </left>
      <right style="thick">
        <color theme="0"/>
      </right>
      <top style="thin">
        <color theme="0"/>
      </top>
      <bottom/>
      <diagonal/>
    </border>
    <border>
      <left style="thin">
        <color theme="0"/>
      </left>
      <right style="thin">
        <color theme="0"/>
      </right>
      <top/>
      <bottom style="thin">
        <color theme="0"/>
      </bottom>
      <diagonal/>
    </border>
    <border>
      <left style="thin">
        <color theme="0"/>
      </left>
      <right style="thick">
        <color theme="0"/>
      </right>
      <top/>
      <bottom style="thin">
        <color theme="0"/>
      </bottom>
      <diagonal/>
    </border>
    <border>
      <left/>
      <right/>
      <top style="thin">
        <color theme="0"/>
      </top>
      <bottom/>
      <diagonal/>
    </border>
    <border>
      <left/>
      <right style="thin">
        <color theme="0"/>
      </right>
      <top style="thick">
        <color theme="0"/>
      </top>
      <bottom style="thin">
        <color theme="0"/>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indexed="64"/>
      </left>
      <right style="thin">
        <color indexed="64"/>
      </right>
      <top style="thin">
        <color indexed="64"/>
      </top>
      <bottom style="thin">
        <color indexed="64"/>
      </bottom>
      <diagonal/>
    </border>
    <border>
      <left style="thin">
        <color theme="0" tint="-0.499984740745262"/>
      </left>
      <right/>
      <top style="thin">
        <color theme="0" tint="-0.499984740745262"/>
      </top>
      <bottom style="thin">
        <color theme="0" tint="-0.499984740745262"/>
      </bottom>
      <diagonal/>
    </border>
    <border>
      <left/>
      <right style="thin">
        <color theme="8" tint="-0.24994659260841701"/>
      </right>
      <top/>
      <bottom style="thin">
        <color theme="8" tint="-0.24994659260841701"/>
      </bottom>
      <diagonal/>
    </border>
    <border>
      <left/>
      <right style="thin">
        <color indexed="64"/>
      </right>
      <top/>
      <bottom/>
      <diagonal/>
    </border>
    <border>
      <left style="medium">
        <color theme="0" tint="-0.499984740745262"/>
      </left>
      <right style="thin">
        <color theme="0" tint="-0.499984740745262"/>
      </right>
      <top style="medium">
        <color theme="0" tint="-0.499984740745262"/>
      </top>
      <bottom style="thin">
        <color theme="0" tint="-0.499984740745262"/>
      </bottom>
      <diagonal/>
    </border>
    <border>
      <left style="thin">
        <color theme="0" tint="-0.499984740745262"/>
      </left>
      <right style="thin">
        <color theme="0" tint="-0.499984740745262"/>
      </right>
      <top style="medium">
        <color theme="0" tint="-0.499984740745262"/>
      </top>
      <bottom style="thin">
        <color theme="0" tint="-0.499984740745262"/>
      </bottom>
      <diagonal/>
    </border>
    <border>
      <left style="thin">
        <color theme="0" tint="-0.499984740745262"/>
      </left>
      <right style="medium">
        <color theme="0" tint="-0.499984740745262"/>
      </right>
      <top style="medium">
        <color theme="0" tint="-0.499984740745262"/>
      </top>
      <bottom style="thin">
        <color theme="0" tint="-0.499984740745262"/>
      </bottom>
      <diagonal/>
    </border>
    <border>
      <left style="medium">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medium">
        <color theme="0" tint="-0.499984740745262"/>
      </right>
      <top style="thin">
        <color theme="0" tint="-0.499984740745262"/>
      </top>
      <bottom style="thin">
        <color theme="0" tint="-0.499984740745262"/>
      </bottom>
      <diagonal/>
    </border>
    <border>
      <left style="medium">
        <color theme="0" tint="-0.499984740745262"/>
      </left>
      <right style="thin">
        <color theme="0" tint="-0.499984740745262"/>
      </right>
      <top style="thin">
        <color theme="0" tint="-0.499984740745262"/>
      </top>
      <bottom style="medium">
        <color theme="0" tint="-0.499984740745262"/>
      </bottom>
      <diagonal/>
    </border>
    <border>
      <left style="thin">
        <color theme="0" tint="-0.499984740745262"/>
      </left>
      <right style="thin">
        <color theme="0" tint="-0.499984740745262"/>
      </right>
      <top style="thin">
        <color theme="0" tint="-0.499984740745262"/>
      </top>
      <bottom style="medium">
        <color theme="0" tint="-0.499984740745262"/>
      </bottom>
      <diagonal/>
    </border>
    <border>
      <left style="thin">
        <color theme="0" tint="-0.499984740745262"/>
      </left>
      <right style="medium">
        <color theme="0" tint="-0.499984740745262"/>
      </right>
      <top style="thin">
        <color theme="0" tint="-0.499984740745262"/>
      </top>
      <bottom style="medium">
        <color theme="0" tint="-0.499984740745262"/>
      </bottom>
      <diagonal/>
    </border>
    <border>
      <left/>
      <right style="medium">
        <color theme="0" tint="-0.499984740745262"/>
      </right>
      <top style="medium">
        <color theme="0" tint="-0.499984740745262"/>
      </top>
      <bottom/>
      <diagonal/>
    </border>
    <border>
      <left/>
      <right style="medium">
        <color theme="0" tint="-0.499984740745262"/>
      </right>
      <top/>
      <bottom/>
      <diagonal/>
    </border>
    <border>
      <left/>
      <right style="medium">
        <color theme="0" tint="-0.499984740745262"/>
      </right>
      <top/>
      <bottom style="medium">
        <color theme="0" tint="-0.499984740745262"/>
      </bottom>
      <diagonal/>
    </border>
    <border>
      <left style="medium">
        <color theme="0" tint="-0.499984740745262"/>
      </left>
      <right style="medium">
        <color theme="0" tint="-0.499984740745262"/>
      </right>
      <top style="medium">
        <color theme="0" tint="-0.499984740745262"/>
      </top>
      <bottom/>
      <diagonal/>
    </border>
    <border>
      <left style="medium">
        <color theme="0" tint="-0.499984740745262"/>
      </left>
      <right style="medium">
        <color theme="0" tint="-0.499984740745262"/>
      </right>
      <top/>
      <bottom/>
      <diagonal/>
    </border>
    <border>
      <left style="medium">
        <color theme="0" tint="-0.499984740745262"/>
      </left>
      <right style="medium">
        <color theme="0" tint="-0.499984740745262"/>
      </right>
      <top/>
      <bottom style="medium">
        <color theme="0" tint="-0.499984740745262"/>
      </bottom>
      <diagonal/>
    </border>
    <border>
      <left style="medium">
        <color theme="0" tint="-0.499984740745262"/>
      </left>
      <right/>
      <top style="medium">
        <color theme="0" tint="-0.499984740745262"/>
      </top>
      <bottom/>
      <diagonal/>
    </border>
    <border>
      <left style="medium">
        <color theme="0" tint="-0.499984740745262"/>
      </left>
      <right/>
      <top/>
      <bottom/>
      <diagonal/>
    </border>
    <border>
      <left style="medium">
        <color theme="0" tint="-0.499984740745262"/>
      </left>
      <right/>
      <top/>
      <bottom style="medium">
        <color theme="0" tint="-0.499984740745262"/>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theme="0" tint="-0.499984740745262"/>
      </right>
      <top style="thin">
        <color theme="0" tint="-0.499984740745262"/>
      </top>
      <bottom/>
      <diagonal/>
    </border>
    <border>
      <left/>
      <right/>
      <top style="thin">
        <color theme="0" tint="-0.499984740745262"/>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11">
    <xf numFmtId="0" fontId="0" fillId="0" borderId="0"/>
    <xf numFmtId="0" fontId="5" fillId="0" borderId="0"/>
    <xf numFmtId="43" fontId="7" fillId="0" borderId="0" applyFont="0" applyFill="0" applyBorder="0" applyAlignment="0" applyProtection="0"/>
    <xf numFmtId="43" fontId="7" fillId="0" borderId="0" applyFont="0" applyFill="0" applyBorder="0" applyAlignment="0" applyProtection="0"/>
    <xf numFmtId="0" fontId="61" fillId="0" borderId="0"/>
    <xf numFmtId="44" fontId="61" fillId="0" borderId="0" applyFont="0" applyFill="0" applyBorder="0" applyAlignment="0" applyProtection="0"/>
    <xf numFmtId="9" fontId="61" fillId="0" borderId="0" applyFont="0" applyFill="0" applyBorder="0" applyAlignment="0" applyProtection="0"/>
    <xf numFmtId="44" fontId="7" fillId="0" borderId="0" applyFont="0" applyFill="0" applyBorder="0" applyAlignment="0" applyProtection="0"/>
    <xf numFmtId="9" fontId="7" fillId="0" borderId="0" applyFont="0" applyFill="0" applyBorder="0" applyAlignment="0" applyProtection="0"/>
    <xf numFmtId="43" fontId="7" fillId="0" borderId="0" applyFont="0" applyFill="0" applyBorder="0" applyAlignment="0" applyProtection="0"/>
    <xf numFmtId="165" fontId="67" fillId="0" borderId="0" applyFont="0" applyFill="0" applyBorder="0" applyAlignment="0" applyProtection="0"/>
  </cellStyleXfs>
  <cellXfs count="468">
    <xf numFmtId="0" fontId="0" fillId="0" borderId="0" xfId="0"/>
    <xf numFmtId="0" fontId="2" fillId="0" borderId="0" xfId="0" applyFont="1" applyAlignment="1">
      <alignment horizontal="center" vertical="center"/>
    </xf>
    <xf numFmtId="0" fontId="2" fillId="0" borderId="0" xfId="0" applyFont="1" applyAlignment="1">
      <alignment horizontal="center" vertical="center" wrapText="1"/>
    </xf>
    <xf numFmtId="0" fontId="9" fillId="0" borderId="0" xfId="0" applyFont="1" applyAlignment="1">
      <alignment horizontal="center" vertical="center"/>
    </xf>
    <xf numFmtId="0" fontId="1" fillId="0" borderId="0" xfId="0" applyFont="1" applyAlignment="1">
      <alignment horizontal="center" vertical="center" wrapText="1"/>
    </xf>
    <xf numFmtId="0" fontId="2" fillId="0" borderId="2" xfId="0" applyFont="1" applyBorder="1" applyAlignment="1">
      <alignment horizontal="center" vertical="center"/>
    </xf>
    <xf numFmtId="0" fontId="4" fillId="2" borderId="2" xfId="0" applyFont="1" applyFill="1" applyBorder="1" applyAlignment="1">
      <alignment horizontal="center" vertical="center" wrapText="1"/>
    </xf>
    <xf numFmtId="3" fontId="2" fillId="0" borderId="0" xfId="0" applyNumberFormat="1" applyFont="1" applyAlignment="1">
      <alignment horizontal="center" vertical="center" wrapText="1"/>
    </xf>
    <xf numFmtId="0" fontId="11" fillId="2" borderId="19" xfId="0" applyFont="1" applyFill="1" applyBorder="1" applyAlignment="1">
      <alignment horizontal="center" vertical="center" wrapText="1"/>
    </xf>
    <xf numFmtId="3" fontId="11" fillId="0" borderId="0" xfId="0" applyNumberFormat="1" applyFont="1" applyAlignment="1">
      <alignment horizontal="center" vertical="center" wrapText="1"/>
    </xf>
    <xf numFmtId="0" fontId="11" fillId="2" borderId="0" xfId="0" applyFont="1" applyFill="1" applyAlignment="1">
      <alignment horizontal="center" vertical="center" wrapText="1"/>
    </xf>
    <xf numFmtId="3" fontId="9" fillId="0" borderId="0" xfId="0" applyNumberFormat="1" applyFont="1" applyAlignment="1">
      <alignment horizontal="center" vertical="center" wrapText="1"/>
    </xf>
    <xf numFmtId="3" fontId="13" fillId="0" borderId="0" xfId="0" applyNumberFormat="1" applyFont="1" applyAlignment="1">
      <alignment horizontal="center" vertical="center" wrapText="1"/>
    </xf>
    <xf numFmtId="3" fontId="14" fillId="0" borderId="0" xfId="0" applyNumberFormat="1" applyFont="1" applyAlignment="1">
      <alignment horizontal="center" vertical="center" wrapText="1"/>
    </xf>
    <xf numFmtId="3" fontId="15" fillId="0" borderId="0" xfId="0" applyNumberFormat="1" applyFont="1" applyAlignment="1">
      <alignment horizontal="center" vertical="center" wrapText="1"/>
    </xf>
    <xf numFmtId="0" fontId="11" fillId="0" borderId="0" xfId="0" applyFont="1" applyAlignment="1">
      <alignment horizontal="center" vertical="center"/>
    </xf>
    <xf numFmtId="0" fontId="4" fillId="2" borderId="0" xfId="0" applyFont="1" applyFill="1" applyAlignment="1">
      <alignment horizontal="center" vertical="center" wrapText="1"/>
    </xf>
    <xf numFmtId="0" fontId="11" fillId="0" borderId="0" xfId="0" applyFont="1" applyAlignment="1" applyProtection="1">
      <alignment horizontal="center" vertical="center" wrapText="1"/>
      <protection locked="0"/>
    </xf>
    <xf numFmtId="0" fontId="2" fillId="0" borderId="0" xfId="0" applyFont="1" applyAlignment="1" applyProtection="1">
      <alignment horizontal="center" vertical="center" wrapText="1"/>
      <protection locked="0"/>
    </xf>
    <xf numFmtId="0" fontId="16" fillId="0" borderId="0" xfId="0" applyFont="1" applyAlignment="1" applyProtection="1">
      <alignment horizontal="center" vertical="center"/>
      <protection locked="0"/>
    </xf>
    <xf numFmtId="0" fontId="15" fillId="5" borderId="0" xfId="0" applyFont="1" applyFill="1" applyAlignment="1">
      <alignment horizontal="center" vertical="center"/>
    </xf>
    <xf numFmtId="0" fontId="11" fillId="2" borderId="0" xfId="0" applyFont="1" applyFill="1" applyAlignment="1" applyProtection="1">
      <alignment horizontal="center" vertical="center" wrapText="1"/>
      <protection locked="0"/>
    </xf>
    <xf numFmtId="0" fontId="0" fillId="0" borderId="3" xfId="0" applyBorder="1"/>
    <xf numFmtId="0" fontId="0" fillId="0" borderId="4" xfId="0" applyBorder="1"/>
    <xf numFmtId="0" fontId="0" fillId="0" borderId="5" xfId="0" applyBorder="1"/>
    <xf numFmtId="0" fontId="0" fillId="0" borderId="6" xfId="0" applyBorder="1"/>
    <xf numFmtId="0" fontId="0" fillId="6" borderId="0" xfId="0" applyFill="1"/>
    <xf numFmtId="0" fontId="8" fillId="0" borderId="0" xfId="0" applyFont="1"/>
    <xf numFmtId="0" fontId="0" fillId="0" borderId="7" xfId="0" applyBorder="1"/>
    <xf numFmtId="0" fontId="0" fillId="8" borderId="0" xfId="0" applyFill="1"/>
    <xf numFmtId="0" fontId="0" fillId="9" borderId="0" xfId="0" applyFill="1"/>
    <xf numFmtId="0" fontId="0" fillId="7" borderId="0" xfId="0" applyFill="1"/>
    <xf numFmtId="0" fontId="0" fillId="0" borderId="8" xfId="0" applyBorder="1"/>
    <xf numFmtId="0" fontId="0" fillId="0" borderId="9" xfId="0" applyBorder="1"/>
    <xf numFmtId="0" fontId="0" fillId="0" borderId="10" xfId="0" applyBorder="1"/>
    <xf numFmtId="0" fontId="15" fillId="0" borderId="0" xfId="0" applyFont="1" applyAlignment="1">
      <alignment horizontal="center" vertical="center"/>
    </xf>
    <xf numFmtId="0" fontId="11" fillId="2" borderId="24" xfId="0" applyFont="1" applyFill="1" applyBorder="1" applyAlignment="1">
      <alignment horizontal="center" vertical="center" wrapText="1"/>
    </xf>
    <xf numFmtId="0" fontId="11" fillId="2" borderId="23" xfId="0" applyFont="1" applyFill="1" applyBorder="1" applyAlignment="1" applyProtection="1">
      <alignment horizontal="center" vertical="center" wrapText="1"/>
      <protection locked="0"/>
    </xf>
    <xf numFmtId="0" fontId="11" fillId="2" borderId="23" xfId="0" applyFont="1" applyFill="1" applyBorder="1" applyAlignment="1">
      <alignment horizontal="center" vertical="center" wrapText="1"/>
    </xf>
    <xf numFmtId="0" fontId="10" fillId="0" borderId="23" xfId="0" applyFont="1" applyBorder="1" applyAlignment="1">
      <alignment horizontal="center" vertical="center"/>
    </xf>
    <xf numFmtId="0" fontId="4" fillId="2" borderId="22" xfId="0" applyFont="1" applyFill="1" applyBorder="1" applyAlignment="1" applyProtection="1">
      <alignment vertical="center" wrapText="1"/>
      <protection locked="0"/>
    </xf>
    <xf numFmtId="0" fontId="2" fillId="10" borderId="0" xfId="0" applyFont="1" applyFill="1" applyAlignment="1">
      <alignment horizontal="center" vertical="center"/>
    </xf>
    <xf numFmtId="0" fontId="2" fillId="13" borderId="11" xfId="0" applyFont="1" applyFill="1" applyBorder="1" applyAlignment="1">
      <alignment horizontal="center" vertical="center"/>
    </xf>
    <xf numFmtId="0" fontId="1" fillId="13" borderId="12" xfId="0" applyFont="1" applyFill="1" applyBorder="1" applyAlignment="1">
      <alignment vertical="center"/>
    </xf>
    <xf numFmtId="0" fontId="1" fillId="13" borderId="13" xfId="0" applyFont="1" applyFill="1" applyBorder="1" applyAlignment="1">
      <alignment vertical="center"/>
    </xf>
    <xf numFmtId="0" fontId="17" fillId="2" borderId="22" xfId="0" applyFont="1" applyFill="1" applyBorder="1" applyAlignment="1" applyProtection="1">
      <alignment horizontal="left" vertical="center" wrapText="1"/>
      <protection locked="0"/>
    </xf>
    <xf numFmtId="0" fontId="2" fillId="0" borderId="0" xfId="0" applyFont="1" applyAlignment="1">
      <alignment horizontal="left" vertical="center" wrapText="1"/>
    </xf>
    <xf numFmtId="0" fontId="4" fillId="2" borderId="0" xfId="0" applyFont="1" applyFill="1" applyAlignment="1" applyProtection="1">
      <alignment horizontal="left" vertical="center" wrapText="1"/>
      <protection locked="0"/>
    </xf>
    <xf numFmtId="0" fontId="4" fillId="2" borderId="0" xfId="0" applyFont="1" applyFill="1" applyAlignment="1">
      <alignment horizontal="left" vertical="center" wrapText="1"/>
    </xf>
    <xf numFmtId="0" fontId="17" fillId="16" borderId="22" xfId="0" applyFont="1" applyFill="1" applyBorder="1" applyAlignment="1" applyProtection="1">
      <alignment horizontal="left" vertical="center" wrapText="1"/>
      <protection locked="0"/>
    </xf>
    <xf numFmtId="0" fontId="2" fillId="17" borderId="0" xfId="0" applyFont="1" applyFill="1" applyAlignment="1">
      <alignment horizontal="center" vertical="center"/>
    </xf>
    <xf numFmtId="0" fontId="17" fillId="5" borderId="22" xfId="0" applyFont="1" applyFill="1" applyBorder="1" applyAlignment="1" applyProtection="1">
      <alignment horizontal="left" vertical="center" wrapText="1"/>
      <protection locked="0"/>
    </xf>
    <xf numFmtId="0" fontId="2" fillId="5" borderId="0" xfId="0" applyFont="1" applyFill="1" applyAlignment="1">
      <alignment horizontal="center" vertical="center" wrapText="1"/>
    </xf>
    <xf numFmtId="0" fontId="11" fillId="5" borderId="23" xfId="0" applyFont="1" applyFill="1" applyBorder="1" applyAlignment="1" applyProtection="1">
      <alignment horizontal="center" vertical="center" wrapText="1"/>
      <protection locked="0"/>
    </xf>
    <xf numFmtId="0" fontId="11" fillId="5" borderId="23" xfId="0" applyFont="1" applyFill="1" applyBorder="1" applyAlignment="1">
      <alignment horizontal="center" vertical="center" wrapText="1"/>
    </xf>
    <xf numFmtId="0" fontId="11" fillId="5" borderId="24" xfId="0" applyFont="1" applyFill="1" applyBorder="1" applyAlignment="1">
      <alignment horizontal="center" vertical="center" wrapText="1"/>
    </xf>
    <xf numFmtId="3" fontId="15" fillId="5" borderId="0" xfId="0" applyNumberFormat="1" applyFont="1" applyFill="1" applyAlignment="1">
      <alignment horizontal="center" vertical="center" wrapText="1"/>
    </xf>
    <xf numFmtId="3" fontId="11" fillId="5" borderId="0" xfId="0" applyNumberFormat="1" applyFont="1" applyFill="1" applyAlignment="1">
      <alignment horizontal="center" vertical="center" wrapText="1"/>
    </xf>
    <xf numFmtId="0" fontId="10" fillId="5" borderId="23" xfId="0" applyFont="1" applyFill="1" applyBorder="1" applyAlignment="1">
      <alignment horizontal="center" vertical="center"/>
    </xf>
    <xf numFmtId="0" fontId="2" fillId="5" borderId="0" xfId="0" applyFont="1" applyFill="1" applyAlignment="1">
      <alignment horizontal="center" vertical="center"/>
    </xf>
    <xf numFmtId="0" fontId="9" fillId="5" borderId="0" xfId="0" applyFont="1" applyFill="1" applyAlignment="1">
      <alignment horizontal="center" vertical="center"/>
    </xf>
    <xf numFmtId="0" fontId="0" fillId="0" borderId="27" xfId="0" applyBorder="1" applyAlignment="1">
      <alignment vertical="center" wrapText="1"/>
    </xf>
    <xf numFmtId="0" fontId="4" fillId="2" borderId="27" xfId="0" applyFont="1" applyFill="1" applyBorder="1" applyAlignment="1" applyProtection="1">
      <alignment vertical="center" wrapText="1"/>
      <protection locked="0"/>
    </xf>
    <xf numFmtId="0" fontId="11" fillId="0" borderId="28" xfId="0" applyFont="1" applyBorder="1" applyAlignment="1" applyProtection="1">
      <alignment horizontal="center" vertical="center" wrapText="1"/>
      <protection locked="0"/>
    </xf>
    <xf numFmtId="0" fontId="1" fillId="0" borderId="23" xfId="0" applyFont="1" applyBorder="1" applyAlignment="1">
      <alignment horizontal="center" vertical="center" wrapText="1"/>
    </xf>
    <xf numFmtId="0" fontId="1" fillId="5" borderId="23" xfId="0" applyFont="1" applyFill="1" applyBorder="1" applyAlignment="1">
      <alignment vertical="center" wrapText="1"/>
    </xf>
    <xf numFmtId="0" fontId="18" fillId="0" borderId="0" xfId="0" applyFont="1" applyAlignment="1">
      <alignment vertical="center"/>
    </xf>
    <xf numFmtId="0" fontId="18" fillId="0" borderId="0" xfId="0" applyFont="1" applyAlignment="1">
      <alignment vertical="center" wrapText="1"/>
    </xf>
    <xf numFmtId="0" fontId="20" fillId="18" borderId="34" xfId="0" applyFont="1" applyFill="1" applyBorder="1" applyAlignment="1">
      <alignment vertical="center" wrapText="1"/>
    </xf>
    <xf numFmtId="0" fontId="22" fillId="4" borderId="35" xfId="0" applyFont="1" applyFill="1" applyBorder="1" applyAlignment="1">
      <alignment vertical="center" wrapText="1"/>
    </xf>
    <xf numFmtId="0" fontId="22" fillId="19" borderId="35" xfId="0" applyFont="1" applyFill="1" applyBorder="1" applyAlignment="1">
      <alignment vertical="center" wrapText="1"/>
    </xf>
    <xf numFmtId="0" fontId="23" fillId="0" borderId="0" xfId="0" applyFont="1" applyAlignment="1">
      <alignment horizontal="center"/>
    </xf>
    <xf numFmtId="0" fontId="18" fillId="0" borderId="0" xfId="0" applyFont="1"/>
    <xf numFmtId="0" fontId="18" fillId="0" borderId="0" xfId="0" applyFont="1" applyAlignment="1">
      <alignment horizontal="center"/>
    </xf>
    <xf numFmtId="0" fontId="24" fillId="4" borderId="33" xfId="0" applyFont="1" applyFill="1" applyBorder="1" applyAlignment="1">
      <alignment horizontal="center" vertical="center"/>
    </xf>
    <xf numFmtId="0" fontId="24" fillId="5" borderId="41" xfId="0" applyFont="1" applyFill="1" applyBorder="1" applyAlignment="1">
      <alignment vertical="top"/>
    </xf>
    <xf numFmtId="0" fontId="25" fillId="0" borderId="0" xfId="0" applyFont="1" applyAlignment="1">
      <alignment vertical="top"/>
    </xf>
    <xf numFmtId="0" fontId="8" fillId="3" borderId="35" xfId="0" applyFont="1" applyFill="1" applyBorder="1" applyAlignment="1">
      <alignment horizontal="justify" vertical="center" wrapText="1"/>
    </xf>
    <xf numFmtId="164" fontId="28" fillId="3" borderId="36" xfId="0" applyNumberFormat="1" applyFont="1" applyFill="1" applyBorder="1" applyAlignment="1">
      <alignment horizontal="center" vertical="center" wrapText="1"/>
    </xf>
    <xf numFmtId="0" fontId="24" fillId="5" borderId="42" xfId="0" applyFont="1" applyFill="1" applyBorder="1" applyAlignment="1">
      <alignment vertical="top"/>
    </xf>
    <xf numFmtId="0" fontId="8" fillId="3" borderId="35" xfId="0" applyFont="1" applyFill="1" applyBorder="1" applyAlignment="1">
      <alignment vertical="center"/>
    </xf>
    <xf numFmtId="164" fontId="28" fillId="3" borderId="36" xfId="0" applyNumberFormat="1" applyFont="1" applyFill="1" applyBorder="1" applyAlignment="1">
      <alignment horizontal="center" vertical="center"/>
    </xf>
    <xf numFmtId="0" fontId="26" fillId="19" borderId="37" xfId="0" applyFont="1" applyFill="1" applyBorder="1" applyAlignment="1">
      <alignment horizontal="center"/>
    </xf>
    <xf numFmtId="0" fontId="27" fillId="19" borderId="35" xfId="0" applyFont="1" applyFill="1" applyBorder="1"/>
    <xf numFmtId="164" fontId="28" fillId="19" borderId="36" xfId="0" applyNumberFormat="1" applyFont="1" applyFill="1" applyBorder="1" applyAlignment="1">
      <alignment horizontal="center" vertical="top"/>
    </xf>
    <xf numFmtId="164" fontId="28" fillId="3" borderId="36" xfId="0" applyNumberFormat="1" applyFont="1" applyFill="1" applyBorder="1" applyAlignment="1">
      <alignment horizontal="center" vertical="top"/>
    </xf>
    <xf numFmtId="0" fontId="27" fillId="3" borderId="35" xfId="0" applyFont="1" applyFill="1" applyBorder="1"/>
    <xf numFmtId="164" fontId="29" fillId="5" borderId="0" xfId="0" applyNumberFormat="1" applyFont="1" applyFill="1" applyAlignment="1">
      <alignment horizontal="center" vertical="top"/>
    </xf>
    <xf numFmtId="0" fontId="27" fillId="3" borderId="38" xfId="0" applyFont="1" applyFill="1" applyBorder="1"/>
    <xf numFmtId="164" fontId="28" fillId="3" borderId="39" xfId="0" applyNumberFormat="1" applyFont="1" applyFill="1" applyBorder="1" applyAlignment="1">
      <alignment horizontal="center" vertical="top"/>
    </xf>
    <xf numFmtId="0" fontId="24" fillId="5" borderId="49" xfId="0" applyFont="1" applyFill="1" applyBorder="1" applyAlignment="1">
      <alignment vertical="top"/>
    </xf>
    <xf numFmtId="0" fontId="20" fillId="18" borderId="51" xfId="0" applyFont="1" applyFill="1" applyBorder="1" applyAlignment="1">
      <alignment vertical="center" wrapText="1"/>
    </xf>
    <xf numFmtId="0" fontId="22" fillId="3" borderId="52" xfId="0" applyFont="1" applyFill="1" applyBorder="1" applyAlignment="1">
      <alignment vertical="center" wrapText="1"/>
    </xf>
    <xf numFmtId="0" fontId="22" fillId="4" borderId="52" xfId="0" applyFont="1" applyFill="1" applyBorder="1" applyAlignment="1">
      <alignment vertical="center" wrapText="1"/>
    </xf>
    <xf numFmtId="0" fontId="22" fillId="19" borderId="52" xfId="0" applyFont="1" applyFill="1" applyBorder="1" applyAlignment="1">
      <alignment vertical="center" wrapText="1"/>
    </xf>
    <xf numFmtId="0" fontId="22" fillId="20" borderId="53" xfId="0" applyFont="1" applyFill="1" applyBorder="1" applyAlignment="1">
      <alignment vertical="center" wrapText="1"/>
    </xf>
    <xf numFmtId="0" fontId="22" fillId="4" borderId="54" xfId="0" applyFont="1" applyFill="1" applyBorder="1" applyAlignment="1">
      <alignment vertical="center" wrapText="1"/>
    </xf>
    <xf numFmtId="0" fontId="22" fillId="19" borderId="54" xfId="0" applyFont="1" applyFill="1" applyBorder="1" applyAlignment="1">
      <alignment vertical="center" wrapText="1"/>
    </xf>
    <xf numFmtId="0" fontId="22" fillId="20" borderId="55" xfId="0" applyFont="1" applyFill="1" applyBorder="1" applyAlignment="1">
      <alignment vertical="center" wrapText="1"/>
    </xf>
    <xf numFmtId="0" fontId="21" fillId="18" borderId="35" xfId="0" applyFont="1" applyFill="1" applyBorder="1" applyAlignment="1">
      <alignment horizontal="center" vertical="center" wrapText="1"/>
    </xf>
    <xf numFmtId="0" fontId="22" fillId="20" borderId="35" xfId="0" applyFont="1" applyFill="1" applyBorder="1" applyAlignment="1">
      <alignment vertical="center" wrapText="1"/>
    </xf>
    <xf numFmtId="0" fontId="26" fillId="19" borderId="45" xfId="0" applyFont="1" applyFill="1" applyBorder="1" applyAlignment="1">
      <alignment horizontal="center"/>
    </xf>
    <xf numFmtId="0" fontId="26" fillId="4" borderId="45" xfId="0" applyFont="1" applyFill="1" applyBorder="1" applyAlignment="1">
      <alignment vertical="center"/>
    </xf>
    <xf numFmtId="0" fontId="26" fillId="4" borderId="45" xfId="0" applyFont="1" applyFill="1" applyBorder="1" applyAlignment="1">
      <alignment horizontal="left" vertical="center"/>
    </xf>
    <xf numFmtId="0" fontId="27" fillId="3" borderId="35" xfId="0" applyFont="1" applyFill="1" applyBorder="1" applyAlignment="1">
      <alignment vertical="center"/>
    </xf>
    <xf numFmtId="0" fontId="27" fillId="3" borderId="35" xfId="0" applyFont="1" applyFill="1" applyBorder="1" applyAlignment="1">
      <alignment vertical="center" wrapText="1"/>
    </xf>
    <xf numFmtId="0" fontId="27" fillId="3" borderId="35" xfId="0" applyFont="1" applyFill="1" applyBorder="1" applyAlignment="1">
      <alignment wrapText="1"/>
    </xf>
    <xf numFmtId="0" fontId="21" fillId="18" borderId="51" xfId="0" applyFont="1" applyFill="1" applyBorder="1" applyAlignment="1">
      <alignment horizontal="center" vertical="center" wrapText="1"/>
    </xf>
    <xf numFmtId="0" fontId="8" fillId="3" borderId="35" xfId="0" applyFont="1" applyFill="1" applyBorder="1" applyAlignment="1">
      <alignment vertical="center" wrapText="1"/>
    </xf>
    <xf numFmtId="0" fontId="8" fillId="4" borderId="35" xfId="0" applyFont="1" applyFill="1" applyBorder="1" applyAlignment="1">
      <alignment vertical="center" wrapText="1"/>
    </xf>
    <xf numFmtId="0" fontId="8" fillId="19" borderId="35" xfId="0" applyFont="1" applyFill="1" applyBorder="1" applyAlignment="1">
      <alignment vertical="center" wrapText="1"/>
    </xf>
    <xf numFmtId="0" fontId="31" fillId="3" borderId="35" xfId="0" applyFont="1" applyFill="1" applyBorder="1" applyAlignment="1">
      <alignment horizontal="justify" vertical="center" wrapText="1"/>
    </xf>
    <xf numFmtId="0" fontId="8" fillId="21" borderId="35" xfId="0" applyFont="1" applyFill="1" applyBorder="1" applyAlignment="1">
      <alignment vertical="center" wrapText="1"/>
    </xf>
    <xf numFmtId="0" fontId="25" fillId="21" borderId="35" xfId="0" applyFont="1" applyFill="1" applyBorder="1" applyAlignment="1">
      <alignment vertical="center" wrapText="1"/>
    </xf>
    <xf numFmtId="0" fontId="24" fillId="5" borderId="43" xfId="0" applyFont="1" applyFill="1" applyBorder="1" applyAlignment="1">
      <alignment vertical="top"/>
    </xf>
    <xf numFmtId="0" fontId="24" fillId="5" borderId="43" xfId="0" applyFont="1" applyFill="1" applyBorder="1" applyAlignment="1">
      <alignment vertical="center"/>
    </xf>
    <xf numFmtId="0" fontId="17" fillId="5" borderId="0" xfId="0" applyFont="1" applyFill="1" applyAlignment="1" applyProtection="1">
      <alignment horizontal="left" vertical="center" wrapText="1"/>
      <protection locked="0"/>
    </xf>
    <xf numFmtId="3" fontId="35" fillId="0" borderId="0" xfId="0" applyNumberFormat="1" applyFont="1" applyAlignment="1">
      <alignment horizontal="center" vertical="center" wrapText="1"/>
    </xf>
    <xf numFmtId="3" fontId="36" fillId="0" borderId="0" xfId="0" applyNumberFormat="1" applyFont="1" applyAlignment="1">
      <alignment horizontal="center" vertical="center" wrapText="1"/>
    </xf>
    <xf numFmtId="3" fontId="37" fillId="0" borderId="0" xfId="0" applyNumberFormat="1" applyFont="1" applyAlignment="1">
      <alignment horizontal="center" vertical="center" wrapText="1"/>
    </xf>
    <xf numFmtId="3" fontId="38" fillId="0" borderId="0" xfId="0" applyNumberFormat="1" applyFont="1" applyAlignment="1">
      <alignment horizontal="center" vertical="center" wrapText="1"/>
    </xf>
    <xf numFmtId="0" fontId="36" fillId="0" borderId="0" xfId="0" applyFont="1" applyAlignment="1">
      <alignment horizontal="center" vertical="center" wrapText="1"/>
    </xf>
    <xf numFmtId="0" fontId="37" fillId="5" borderId="0" xfId="0" applyFont="1" applyFill="1" applyAlignment="1">
      <alignment vertical="center"/>
    </xf>
    <xf numFmtId="0" fontId="39" fillId="5" borderId="0" xfId="0" applyFont="1" applyFill="1" applyAlignment="1">
      <alignment horizontal="center" vertical="center" textRotation="90" wrapText="1"/>
    </xf>
    <xf numFmtId="0" fontId="40" fillId="2" borderId="0" xfId="0" applyFont="1" applyFill="1" applyAlignment="1">
      <alignment horizontal="center" vertical="center" wrapText="1"/>
    </xf>
    <xf numFmtId="0" fontId="35" fillId="2" borderId="0" xfId="0" applyFont="1" applyFill="1" applyAlignment="1">
      <alignment horizontal="center" vertical="center" wrapText="1"/>
    </xf>
    <xf numFmtId="164" fontId="28" fillId="21" borderId="36" xfId="0" applyNumberFormat="1" applyFont="1" applyFill="1" applyBorder="1" applyAlignment="1">
      <alignment horizontal="center" vertical="top"/>
    </xf>
    <xf numFmtId="0" fontId="11" fillId="2" borderId="60" xfId="0" applyFont="1" applyFill="1" applyBorder="1" applyAlignment="1" applyProtection="1">
      <alignment horizontal="center" vertical="center" wrapText="1"/>
      <protection locked="0"/>
    </xf>
    <xf numFmtId="0" fontId="2" fillId="0" borderId="23" xfId="0" applyFont="1" applyBorder="1" applyAlignment="1">
      <alignment horizontal="center" vertical="center" wrapText="1"/>
    </xf>
    <xf numFmtId="0" fontId="4" fillId="5" borderId="0" xfId="0" applyFont="1" applyFill="1" applyAlignment="1" applyProtection="1">
      <alignment horizontal="left" vertical="center" wrapText="1"/>
      <protection locked="0"/>
    </xf>
    <xf numFmtId="0" fontId="35" fillId="0" borderId="23" xfId="0" applyFont="1" applyBorder="1" applyAlignment="1">
      <alignment horizontal="center" vertical="center"/>
    </xf>
    <xf numFmtId="0" fontId="36" fillId="0" borderId="23" xfId="0" applyFont="1" applyBorder="1" applyAlignment="1">
      <alignment horizontal="center" vertical="center" wrapText="1"/>
    </xf>
    <xf numFmtId="0" fontId="27" fillId="0" borderId="0" xfId="0" applyFont="1" applyAlignment="1">
      <alignment horizontal="center" vertical="center"/>
    </xf>
    <xf numFmtId="0" fontId="22" fillId="13" borderId="52" xfId="0" applyFont="1" applyFill="1" applyBorder="1" applyAlignment="1">
      <alignment vertical="center" wrapText="1"/>
    </xf>
    <xf numFmtId="0" fontId="5" fillId="7" borderId="59" xfId="0" applyFont="1" applyFill="1" applyBorder="1" applyAlignment="1">
      <alignment horizontal="center" vertical="center"/>
    </xf>
    <xf numFmtId="0" fontId="4" fillId="0" borderId="23" xfId="0" applyFont="1" applyBorder="1" applyAlignment="1">
      <alignment horizontal="center" vertical="center"/>
    </xf>
    <xf numFmtId="0" fontId="5" fillId="8" borderId="59" xfId="0" applyFont="1" applyFill="1" applyBorder="1" applyAlignment="1">
      <alignment horizontal="center" vertical="center"/>
    </xf>
    <xf numFmtId="0" fontId="5" fillId="6" borderId="59" xfId="0" applyFont="1" applyFill="1" applyBorder="1" applyAlignment="1">
      <alignment horizontal="center" vertical="center"/>
    </xf>
    <xf numFmtId="3" fontId="35" fillId="5" borderId="0" xfId="0" applyNumberFormat="1" applyFont="1" applyFill="1" applyAlignment="1">
      <alignment horizontal="center" vertical="center" wrapText="1"/>
    </xf>
    <xf numFmtId="0" fontId="35" fillId="5" borderId="0" xfId="0" applyFont="1" applyFill="1" applyAlignment="1">
      <alignment horizontal="center" vertical="center" wrapText="1"/>
    </xf>
    <xf numFmtId="0" fontId="0" fillId="0" borderId="59" xfId="0" applyBorder="1" applyAlignment="1">
      <alignment horizontal="center" vertical="center"/>
    </xf>
    <xf numFmtId="0" fontId="44" fillId="0" borderId="59" xfId="0" applyFont="1" applyBorder="1" applyAlignment="1">
      <alignment horizontal="center" vertical="center"/>
    </xf>
    <xf numFmtId="0" fontId="0" fillId="8" borderId="59" xfId="0" applyFill="1" applyBorder="1" applyAlignment="1">
      <alignment horizontal="center" vertical="center"/>
    </xf>
    <xf numFmtId="0" fontId="0" fillId="6" borderId="59" xfId="0" applyFill="1" applyBorder="1" applyAlignment="1">
      <alignment horizontal="center" vertical="center"/>
    </xf>
    <xf numFmtId="0" fontId="44" fillId="0" borderId="59" xfId="0" quotePrefix="1" applyFont="1" applyBorder="1" applyAlignment="1">
      <alignment horizontal="center" vertical="center"/>
    </xf>
    <xf numFmtId="0" fontId="0" fillId="7" borderId="59" xfId="0" applyFill="1" applyBorder="1" applyAlignment="1">
      <alignment horizontal="center" vertical="center"/>
    </xf>
    <xf numFmtId="0" fontId="1" fillId="12" borderId="4" xfId="0" applyFont="1" applyFill="1" applyBorder="1" applyAlignment="1">
      <alignment horizontal="center" vertical="center"/>
    </xf>
    <xf numFmtId="0" fontId="11" fillId="2" borderId="27" xfId="0" applyFont="1" applyFill="1" applyBorder="1" applyAlignment="1">
      <alignment horizontal="center" vertical="center" wrapText="1"/>
    </xf>
    <xf numFmtId="0" fontId="11" fillId="2" borderId="28" xfId="0" applyFont="1" applyFill="1" applyBorder="1" applyAlignment="1" applyProtection="1">
      <alignment horizontal="center" vertical="center" wrapText="1"/>
      <protection locked="0"/>
    </xf>
    <xf numFmtId="0" fontId="1" fillId="12" borderId="0" xfId="0" applyFont="1" applyFill="1" applyAlignment="1">
      <alignment horizontal="center" vertical="center"/>
    </xf>
    <xf numFmtId="0" fontId="11" fillId="2" borderId="30" xfId="0" applyFont="1" applyFill="1" applyBorder="1" applyAlignment="1" applyProtection="1">
      <alignment horizontal="center" vertical="center" wrapText="1"/>
      <protection locked="0"/>
    </xf>
    <xf numFmtId="0" fontId="11" fillId="2" borderId="61" xfId="0" applyFont="1" applyFill="1" applyBorder="1" applyAlignment="1">
      <alignment horizontal="center" vertical="center" wrapText="1"/>
    </xf>
    <xf numFmtId="3" fontId="2" fillId="0" borderId="23" xfId="0" applyNumberFormat="1" applyFont="1" applyBorder="1" applyAlignment="1">
      <alignment horizontal="center" vertical="center" wrapText="1"/>
    </xf>
    <xf numFmtId="3" fontId="1" fillId="24" borderId="23" xfId="0" applyNumberFormat="1" applyFont="1" applyFill="1" applyBorder="1" applyAlignment="1">
      <alignment horizontal="center" vertical="center" wrapText="1"/>
    </xf>
    <xf numFmtId="0" fontId="12" fillId="24" borderId="68" xfId="0" applyFont="1" applyFill="1" applyBorder="1" applyAlignment="1">
      <alignment horizontal="center" vertical="center" wrapText="1"/>
    </xf>
    <xf numFmtId="0" fontId="12" fillId="24" borderId="69" xfId="0" applyFont="1" applyFill="1" applyBorder="1" applyAlignment="1">
      <alignment horizontal="center" vertical="center" wrapText="1"/>
    </xf>
    <xf numFmtId="3" fontId="1" fillId="24" borderId="69" xfId="0" applyNumberFormat="1" applyFont="1" applyFill="1" applyBorder="1" applyAlignment="1">
      <alignment horizontal="center" vertical="center" wrapText="1"/>
    </xf>
    <xf numFmtId="0" fontId="12" fillId="24" borderId="70" xfId="0" applyFont="1" applyFill="1" applyBorder="1" applyAlignment="1">
      <alignment horizontal="center" vertical="center" wrapText="1"/>
    </xf>
    <xf numFmtId="0" fontId="45" fillId="23" borderId="0" xfId="0" applyFont="1" applyFill="1" applyAlignment="1">
      <alignment vertical="center"/>
    </xf>
    <xf numFmtId="0" fontId="46" fillId="24" borderId="0" xfId="0" applyFont="1" applyFill="1" applyAlignment="1">
      <alignment vertical="center"/>
    </xf>
    <xf numFmtId="0" fontId="1" fillId="24" borderId="0" xfId="0" applyFont="1" applyFill="1" applyAlignment="1">
      <alignment horizontal="center" vertical="center" wrapText="1"/>
    </xf>
    <xf numFmtId="0" fontId="1" fillId="24" borderId="4" xfId="0" applyFont="1" applyFill="1" applyBorder="1" applyAlignment="1">
      <alignment horizontal="center" vertical="center"/>
    </xf>
    <xf numFmtId="3" fontId="37" fillId="24" borderId="0" xfId="0" applyNumberFormat="1" applyFont="1" applyFill="1" applyAlignment="1">
      <alignment horizontal="center" vertical="center" wrapText="1"/>
    </xf>
    <xf numFmtId="3" fontId="13" fillId="24" borderId="0" xfId="0" applyNumberFormat="1" applyFont="1" applyFill="1" applyAlignment="1">
      <alignment horizontal="center" vertical="center" wrapText="1"/>
    </xf>
    <xf numFmtId="3" fontId="38" fillId="24" borderId="0" xfId="0" applyNumberFormat="1" applyFont="1" applyFill="1" applyAlignment="1">
      <alignment horizontal="center" vertical="center" wrapText="1"/>
    </xf>
    <xf numFmtId="3" fontId="14" fillId="24" borderId="0" xfId="0" applyNumberFormat="1" applyFont="1" applyFill="1" applyAlignment="1">
      <alignment horizontal="center" vertical="center" wrapText="1"/>
    </xf>
    <xf numFmtId="0" fontId="1" fillId="3" borderId="74" xfId="0" applyFont="1" applyFill="1" applyBorder="1" applyAlignment="1">
      <alignment vertical="center"/>
    </xf>
    <xf numFmtId="0" fontId="34" fillId="7" borderId="23" xfId="0" applyFont="1" applyFill="1" applyBorder="1" applyAlignment="1">
      <alignment horizontal="center" vertical="center"/>
    </xf>
    <xf numFmtId="0" fontId="34" fillId="8" borderId="23" xfId="0" applyFont="1" applyFill="1" applyBorder="1" applyAlignment="1">
      <alignment horizontal="center" vertical="center"/>
    </xf>
    <xf numFmtId="0" fontId="34" fillId="6" borderId="23" xfId="0" applyFont="1" applyFill="1" applyBorder="1" applyAlignment="1">
      <alignment horizontal="center" vertical="center"/>
    </xf>
    <xf numFmtId="0" fontId="4" fillId="5" borderId="0" xfId="0" applyFont="1" applyFill="1" applyAlignment="1">
      <alignment horizontal="left" vertical="center" wrapText="1"/>
    </xf>
    <xf numFmtId="0" fontId="30" fillId="21" borderId="35" xfId="0" applyFont="1" applyFill="1" applyBorder="1" applyAlignment="1">
      <alignment vertical="center"/>
    </xf>
    <xf numFmtId="0" fontId="34" fillId="25" borderId="23" xfId="0" applyFont="1" applyFill="1" applyBorder="1" applyAlignment="1">
      <alignment horizontal="center" vertical="center"/>
    </xf>
    <xf numFmtId="0" fontId="53" fillId="0" borderId="23" xfId="0" applyFont="1" applyBorder="1" applyAlignment="1">
      <alignment horizontal="center" vertical="center" wrapText="1"/>
    </xf>
    <xf numFmtId="0" fontId="0" fillId="0" borderId="83" xfId="0" applyBorder="1" applyAlignment="1">
      <alignment horizontal="center" vertical="center"/>
    </xf>
    <xf numFmtId="0" fontId="0" fillId="22" borderId="84" xfId="0" applyFill="1" applyBorder="1" applyAlignment="1">
      <alignment horizontal="center" vertical="center"/>
    </xf>
    <xf numFmtId="0" fontId="0" fillId="0" borderId="85" xfId="0" applyBorder="1" applyAlignment="1">
      <alignment horizontal="center" vertical="center"/>
    </xf>
    <xf numFmtId="0" fontId="0" fillId="0" borderId="86" xfId="0" applyBorder="1" applyAlignment="1">
      <alignment horizontal="center" vertical="center"/>
    </xf>
    <xf numFmtId="0" fontId="0" fillId="22" borderId="87" xfId="0" applyFill="1" applyBorder="1" applyAlignment="1">
      <alignment horizontal="center" vertical="center"/>
    </xf>
    <xf numFmtId="0" fontId="44" fillId="16" borderId="80" xfId="0" applyFont="1" applyFill="1" applyBorder="1" applyAlignment="1">
      <alignment horizontal="center" vertical="center"/>
    </xf>
    <xf numFmtId="0" fontId="44" fillId="16" borderId="81" xfId="0" applyFont="1" applyFill="1" applyBorder="1" applyAlignment="1">
      <alignment horizontal="center" vertical="center"/>
    </xf>
    <xf numFmtId="0" fontId="44" fillId="16" borderId="82" xfId="0" applyFont="1" applyFill="1" applyBorder="1" applyAlignment="1">
      <alignment horizontal="center" vertical="center"/>
    </xf>
    <xf numFmtId="0" fontId="54" fillId="5" borderId="0" xfId="0" applyFont="1" applyFill="1" applyAlignment="1">
      <alignment vertical="center"/>
    </xf>
    <xf numFmtId="0" fontId="36" fillId="5" borderId="0" xfId="0" applyFont="1" applyFill="1" applyAlignment="1">
      <alignment horizontal="center" vertical="center"/>
    </xf>
    <xf numFmtId="0" fontId="36" fillId="0" borderId="0" xfId="0" applyFont="1" applyAlignment="1">
      <alignment horizontal="center" vertical="center"/>
    </xf>
    <xf numFmtId="0" fontId="10" fillId="5" borderId="0" xfId="0" applyFont="1" applyFill="1" applyAlignment="1">
      <alignment horizontal="center" vertical="center"/>
    </xf>
    <xf numFmtId="0" fontId="0" fillId="0" borderId="59" xfId="0" applyBorder="1" applyAlignment="1">
      <alignment horizontal="justify" vertical="center"/>
    </xf>
    <xf numFmtId="0" fontId="44" fillId="27" borderId="59" xfId="0" applyFont="1" applyFill="1" applyBorder="1" applyAlignment="1">
      <alignment horizontal="center" vertical="center"/>
    </xf>
    <xf numFmtId="0" fontId="10" fillId="0" borderId="27" xfId="0" applyFont="1" applyBorder="1" applyAlignment="1">
      <alignment horizontal="center" vertical="center"/>
    </xf>
    <xf numFmtId="0" fontId="51" fillId="5" borderId="0" xfId="0" applyFont="1" applyFill="1" applyAlignment="1">
      <alignment horizontal="center" vertical="center" wrapText="1"/>
    </xf>
    <xf numFmtId="0" fontId="16" fillId="5" borderId="0" xfId="0" applyFont="1" applyFill="1" applyAlignment="1" applyProtection="1">
      <alignment horizontal="center" vertical="center"/>
      <protection locked="0"/>
    </xf>
    <xf numFmtId="0" fontId="2" fillId="0" borderId="23" xfId="0" applyFont="1" applyBorder="1" applyAlignment="1">
      <alignment horizontal="center" vertical="center"/>
    </xf>
    <xf numFmtId="3" fontId="36" fillId="5" borderId="0" xfId="0" applyNumberFormat="1" applyFont="1" applyFill="1" applyAlignment="1">
      <alignment horizontal="center" vertical="center" wrapText="1"/>
    </xf>
    <xf numFmtId="0" fontId="51" fillId="5" borderId="0" xfId="0" applyFont="1" applyFill="1" applyAlignment="1">
      <alignment horizontal="center" vertical="center"/>
    </xf>
    <xf numFmtId="0" fontId="16" fillId="0" borderId="23" xfId="0" applyFont="1" applyBorder="1" applyAlignment="1" applyProtection="1">
      <alignment horizontal="center" vertical="center"/>
      <protection locked="0"/>
    </xf>
    <xf numFmtId="0" fontId="10" fillId="0" borderId="23" xfId="0" applyFont="1" applyBorder="1" applyAlignment="1" applyProtection="1">
      <alignment horizontal="center" vertical="center"/>
      <protection locked="0"/>
    </xf>
    <xf numFmtId="0" fontId="22" fillId="20" borderId="36" xfId="0" applyFont="1" applyFill="1" applyBorder="1" applyAlignment="1">
      <alignment vertical="center" wrapText="1"/>
    </xf>
    <xf numFmtId="0" fontId="17" fillId="2" borderId="0" xfId="0" applyFont="1" applyFill="1" applyAlignment="1" applyProtection="1">
      <alignment horizontal="center" vertical="center" wrapText="1"/>
      <protection locked="0"/>
    </xf>
    <xf numFmtId="0" fontId="4" fillId="2" borderId="0" xfId="0" applyFont="1" applyFill="1" applyAlignment="1" applyProtection="1">
      <alignment horizontal="center" vertical="center" wrapText="1"/>
      <protection locked="0"/>
    </xf>
    <xf numFmtId="0" fontId="2" fillId="0" borderId="89" xfId="0" applyFont="1" applyBorder="1" applyAlignment="1" applyProtection="1">
      <alignment horizontal="center" vertical="center" wrapText="1"/>
      <protection locked="0"/>
    </xf>
    <xf numFmtId="0" fontId="2" fillId="0" borderId="26" xfId="0" applyFont="1" applyBorder="1" applyAlignment="1" applyProtection="1">
      <alignment horizontal="center" vertical="center" wrapText="1"/>
      <protection locked="0"/>
    </xf>
    <xf numFmtId="0" fontId="4" fillId="2" borderId="22" xfId="0" applyFont="1" applyFill="1" applyBorder="1" applyAlignment="1" applyProtection="1">
      <alignment horizontal="center" vertical="center" wrapText="1"/>
      <protection locked="0"/>
    </xf>
    <xf numFmtId="0" fontId="56" fillId="5" borderId="0" xfId="0" applyFont="1" applyFill="1" applyAlignment="1">
      <alignment vertical="center"/>
    </xf>
    <xf numFmtId="0" fontId="57" fillId="5" borderId="22" xfId="0" applyFont="1" applyFill="1" applyBorder="1" applyAlignment="1" applyProtection="1">
      <alignment horizontal="left" vertical="center" wrapText="1"/>
      <protection locked="0"/>
    </xf>
    <xf numFmtId="0" fontId="55" fillId="5" borderId="0" xfId="0" applyFont="1" applyFill="1" applyAlignment="1">
      <alignment horizontal="left" vertical="center" wrapText="1"/>
    </xf>
    <xf numFmtId="0" fontId="55" fillId="5" borderId="0" xfId="0" applyFont="1" applyFill="1" applyAlignment="1" applyProtection="1">
      <alignment horizontal="left" vertical="center" wrapText="1"/>
      <protection locked="0"/>
    </xf>
    <xf numFmtId="0" fontId="11" fillId="5" borderId="60" xfId="0" applyFont="1" applyFill="1" applyBorder="1" applyAlignment="1" applyProtection="1">
      <alignment horizontal="center" vertical="center" wrapText="1"/>
      <protection locked="0"/>
    </xf>
    <xf numFmtId="0" fontId="9" fillId="5" borderId="0" xfId="0" applyFont="1" applyFill="1" applyAlignment="1">
      <alignment horizontal="left" vertical="center" wrapText="1"/>
    </xf>
    <xf numFmtId="0" fontId="9" fillId="0" borderId="0" xfId="0" applyFont="1" applyAlignment="1">
      <alignment horizontal="left" vertical="center" wrapText="1"/>
    </xf>
    <xf numFmtId="0" fontId="0" fillId="0" borderId="27" xfId="0" applyBorder="1" applyAlignment="1">
      <alignment horizontal="center" vertical="center" wrapText="1"/>
    </xf>
    <xf numFmtId="0" fontId="4" fillId="0" borderId="0" xfId="0" applyFont="1" applyAlignment="1" applyProtection="1">
      <alignment horizontal="left" vertical="center" wrapText="1"/>
      <protection locked="0"/>
    </xf>
    <xf numFmtId="0" fontId="4" fillId="0" borderId="0" xfId="0" applyFont="1" applyAlignment="1">
      <alignment horizontal="left" vertical="center" wrapText="1"/>
    </xf>
    <xf numFmtId="0" fontId="17" fillId="0" borderId="0" xfId="0" applyFont="1" applyAlignment="1" applyProtection="1">
      <alignment horizontal="left" vertical="center" wrapText="1"/>
      <protection locked="0"/>
    </xf>
    <xf numFmtId="0" fontId="2" fillId="5" borderId="23" xfId="0" applyFont="1" applyFill="1" applyBorder="1" applyAlignment="1">
      <alignment horizontal="center" vertical="center" wrapText="1"/>
    </xf>
    <xf numFmtId="3" fontId="2" fillId="5" borderId="23" xfId="0" applyNumberFormat="1" applyFont="1" applyFill="1" applyBorder="1" applyAlignment="1">
      <alignment horizontal="center" vertical="center" wrapText="1"/>
    </xf>
    <xf numFmtId="0" fontId="36" fillId="5" borderId="23" xfId="0" applyFont="1" applyFill="1" applyBorder="1" applyAlignment="1">
      <alignment horizontal="center" vertical="center" wrapText="1"/>
    </xf>
    <xf numFmtId="0" fontId="17" fillId="5" borderId="27" xfId="0" applyFont="1" applyFill="1" applyBorder="1" applyAlignment="1" applyProtection="1">
      <alignment horizontal="left" vertical="center" wrapText="1"/>
      <protection locked="0"/>
    </xf>
    <xf numFmtId="0" fontId="4" fillId="2" borderId="25" xfId="0" applyFont="1" applyFill="1" applyBorder="1" applyAlignment="1" applyProtection="1">
      <alignment vertical="center" wrapText="1"/>
      <protection locked="0"/>
    </xf>
    <xf numFmtId="0" fontId="1" fillId="0" borderId="4" xfId="0" applyFont="1" applyBorder="1" applyAlignment="1">
      <alignment horizontal="center" vertical="center" wrapText="1"/>
    </xf>
    <xf numFmtId="0" fontId="4" fillId="5" borderId="0" xfId="0" applyFont="1" applyFill="1" applyAlignment="1">
      <alignment horizontal="center" vertical="center" wrapText="1"/>
    </xf>
    <xf numFmtId="0" fontId="2" fillId="0" borderId="0" xfId="0" applyFont="1" applyAlignment="1">
      <alignment horizontal="center" vertical="top" wrapText="1"/>
    </xf>
    <xf numFmtId="0" fontId="2" fillId="0" borderId="0" xfId="0" applyFont="1" applyAlignment="1">
      <alignment horizontal="left" vertical="center"/>
    </xf>
    <xf numFmtId="0" fontId="17" fillId="8" borderId="22" xfId="0" applyFont="1" applyFill="1" applyBorder="1" applyAlignment="1" applyProtection="1">
      <alignment horizontal="left" vertical="center" wrapText="1"/>
      <protection locked="0"/>
    </xf>
    <xf numFmtId="0" fontId="2" fillId="8" borderId="89" xfId="0" applyFont="1" applyFill="1" applyBorder="1" applyAlignment="1" applyProtection="1">
      <alignment horizontal="center" vertical="center" wrapText="1"/>
      <protection locked="0"/>
    </xf>
    <xf numFmtId="0" fontId="4" fillId="8" borderId="88" xfId="0" applyFont="1" applyFill="1" applyBorder="1" applyAlignment="1" applyProtection="1">
      <alignment horizontal="left" vertical="top" wrapText="1"/>
      <protection locked="0"/>
    </xf>
    <xf numFmtId="0" fontId="2" fillId="8" borderId="0" xfId="0" applyFont="1" applyFill="1" applyAlignment="1" applyProtection="1">
      <alignment horizontal="center" vertical="center" wrapText="1"/>
      <protection locked="0"/>
    </xf>
    <xf numFmtId="0" fontId="4" fillId="8" borderId="25" xfId="0" applyFont="1" applyFill="1" applyBorder="1" applyAlignment="1" applyProtection="1">
      <alignment horizontal="left" vertical="top" wrapText="1"/>
      <protection locked="0"/>
    </xf>
    <xf numFmtId="0" fontId="2" fillId="8" borderId="26" xfId="0" applyFont="1" applyFill="1" applyBorder="1" applyAlignment="1" applyProtection="1">
      <alignment horizontal="center" vertical="center" wrapText="1"/>
      <protection locked="0"/>
    </xf>
    <xf numFmtId="0" fontId="4" fillId="8" borderId="22" xfId="0" applyFont="1" applyFill="1" applyBorder="1" applyAlignment="1" applyProtection="1">
      <alignment horizontal="left" vertical="top" wrapText="1"/>
      <protection locked="0"/>
    </xf>
    <xf numFmtId="0" fontId="4" fillId="8" borderId="27" xfId="0" applyFont="1" applyFill="1" applyBorder="1" applyAlignment="1" applyProtection="1">
      <alignment vertical="top" wrapText="1"/>
      <protection locked="0"/>
    </xf>
    <xf numFmtId="0" fontId="4" fillId="8" borderId="22" xfId="0" applyFont="1" applyFill="1" applyBorder="1" applyAlignment="1" applyProtection="1">
      <alignment vertical="top" wrapText="1"/>
      <protection locked="0"/>
    </xf>
    <xf numFmtId="0" fontId="4" fillId="8" borderId="0" xfId="0" applyFont="1" applyFill="1" applyAlignment="1">
      <alignment horizontal="center" vertical="center" wrapText="1"/>
    </xf>
    <xf numFmtId="0" fontId="2" fillId="8" borderId="0" xfId="0" applyFont="1" applyFill="1" applyAlignment="1">
      <alignment horizontal="center" vertical="center" wrapText="1"/>
    </xf>
    <xf numFmtId="0" fontId="4" fillId="8" borderId="22" xfId="0" applyFont="1" applyFill="1" applyBorder="1" applyAlignment="1" applyProtection="1">
      <alignment vertical="center" wrapText="1"/>
      <protection locked="0"/>
    </xf>
    <xf numFmtId="0" fontId="40" fillId="8" borderId="22" xfId="0" applyFont="1" applyFill="1" applyBorder="1" applyAlignment="1" applyProtection="1">
      <alignment vertical="center" wrapText="1"/>
      <protection locked="0"/>
    </xf>
    <xf numFmtId="0" fontId="58" fillId="8" borderId="22" xfId="0" applyFont="1" applyFill="1" applyBorder="1" applyAlignment="1" applyProtection="1">
      <alignment horizontal="left" vertical="center" wrapText="1"/>
      <protection locked="0"/>
    </xf>
    <xf numFmtId="0" fontId="2" fillId="8" borderId="0" xfId="0" applyFont="1" applyFill="1" applyAlignment="1">
      <alignment horizontal="left" vertical="center" wrapText="1"/>
    </xf>
    <xf numFmtId="0" fontId="11" fillId="8" borderId="0" xfId="0" applyFont="1" applyFill="1" applyAlignment="1" applyProtection="1">
      <alignment horizontal="center" vertical="top" wrapText="1"/>
      <protection locked="0"/>
    </xf>
    <xf numFmtId="0" fontId="2" fillId="8" borderId="0" xfId="0" applyFont="1" applyFill="1" applyAlignment="1">
      <alignment horizontal="center" vertical="top" wrapText="1"/>
    </xf>
    <xf numFmtId="0" fontId="4" fillId="8" borderId="27" xfId="0" applyFont="1" applyFill="1" applyBorder="1" applyAlignment="1" applyProtection="1">
      <alignment horizontal="left" vertical="center" wrapText="1"/>
      <protection locked="0"/>
    </xf>
    <xf numFmtId="0" fontId="4" fillId="8" borderId="27" xfId="0" applyFont="1" applyFill="1" applyBorder="1" applyAlignment="1" applyProtection="1">
      <alignment vertical="center" wrapText="1"/>
      <protection locked="0"/>
    </xf>
    <xf numFmtId="0" fontId="4" fillId="0" borderId="22" xfId="0" applyFont="1" applyBorder="1" applyAlignment="1" applyProtection="1">
      <alignment vertical="center" wrapText="1"/>
      <protection locked="0"/>
    </xf>
    <xf numFmtId="0" fontId="4" fillId="0" borderId="25" xfId="0" applyFont="1" applyBorder="1" applyAlignment="1" applyProtection="1">
      <alignment horizontal="center" vertical="center" wrapText="1"/>
      <protection locked="0"/>
    </xf>
    <xf numFmtId="0" fontId="59" fillId="0" borderId="22" xfId="0" applyFont="1" applyBorder="1" applyAlignment="1" applyProtection="1">
      <alignment vertical="center" wrapText="1"/>
      <protection locked="0"/>
    </xf>
    <xf numFmtId="0" fontId="4" fillId="0" borderId="22" xfId="0" applyFont="1" applyBorder="1" applyAlignment="1" applyProtection="1">
      <alignment horizontal="left" vertical="center" wrapText="1"/>
      <protection locked="0"/>
    </xf>
    <xf numFmtId="0" fontId="60" fillId="0" borderId="0" xfId="0" applyFont="1" applyAlignment="1">
      <alignment vertical="center" wrapText="1"/>
    </xf>
    <xf numFmtId="0" fontId="60" fillId="0" borderId="0" xfId="0" applyFont="1" applyAlignment="1">
      <alignment vertical="center"/>
    </xf>
    <xf numFmtId="0" fontId="39" fillId="0" borderId="23" xfId="0" applyFont="1" applyBorder="1" applyAlignment="1" applyProtection="1">
      <alignment horizontal="center" vertical="center"/>
      <protection locked="0"/>
    </xf>
    <xf numFmtId="0" fontId="62" fillId="5" borderId="0" xfId="0" applyFont="1" applyFill="1" applyAlignment="1" applyProtection="1">
      <alignment horizontal="left" vertical="center" wrapText="1"/>
      <protection locked="0"/>
    </xf>
    <xf numFmtId="0" fontId="40" fillId="5" borderId="0" xfId="0" applyFont="1" applyFill="1" applyAlignment="1" applyProtection="1">
      <alignment horizontal="left" vertical="center" wrapText="1"/>
      <protection locked="0"/>
    </xf>
    <xf numFmtId="0" fontId="62" fillId="0" borderId="0" xfId="0" applyFont="1" applyAlignment="1" applyProtection="1">
      <alignment horizontal="center" vertical="center" wrapText="1"/>
      <protection locked="0"/>
    </xf>
    <xf numFmtId="0" fontId="40" fillId="0" borderId="0" xfId="0" applyFont="1" applyAlignment="1" applyProtection="1">
      <alignment horizontal="center" vertical="center" wrapText="1"/>
      <protection locked="0"/>
    </xf>
    <xf numFmtId="0" fontId="63" fillId="0" borderId="23" xfId="0" applyFont="1" applyBorder="1" applyAlignment="1" applyProtection="1">
      <alignment horizontal="center" vertical="center"/>
      <protection locked="0"/>
    </xf>
    <xf numFmtId="0" fontId="65" fillId="0" borderId="59" xfId="0" applyFont="1" applyBorder="1" applyAlignment="1">
      <alignment vertical="center" wrapText="1"/>
    </xf>
    <xf numFmtId="0" fontId="66" fillId="29" borderId="59" xfId="0" applyFont="1" applyFill="1" applyBorder="1" applyAlignment="1">
      <alignment horizontal="center" vertical="center"/>
    </xf>
    <xf numFmtId="0" fontId="66" fillId="30" borderId="59" xfId="0" applyFont="1" applyFill="1" applyBorder="1" applyAlignment="1">
      <alignment horizontal="center" vertical="center"/>
    </xf>
    <xf numFmtId="0" fontId="62" fillId="0" borderId="59" xfId="0" applyFont="1" applyBorder="1" applyAlignment="1">
      <alignment vertical="center" wrapText="1"/>
    </xf>
    <xf numFmtId="0" fontId="58" fillId="0" borderId="59" xfId="0" applyFont="1" applyBorder="1" applyAlignment="1">
      <alignment vertical="center" wrapText="1"/>
    </xf>
    <xf numFmtId="0" fontId="58" fillId="0" borderId="22" xfId="0" applyFont="1" applyBorder="1" applyAlignment="1" applyProtection="1">
      <alignment horizontal="left" vertical="center" wrapText="1"/>
      <protection locked="0"/>
    </xf>
    <xf numFmtId="0" fontId="58" fillId="0" borderId="27" xfId="0" applyFont="1" applyBorder="1" applyAlignment="1" applyProtection="1">
      <alignment horizontal="left" vertical="center" wrapText="1"/>
      <protection locked="0"/>
    </xf>
    <xf numFmtId="0" fontId="68" fillId="0" borderId="59" xfId="0" applyFont="1" applyBorder="1" applyAlignment="1">
      <alignment horizontal="right" vertical="center"/>
    </xf>
    <xf numFmtId="0" fontId="69" fillId="0" borderId="59" xfId="0" applyFont="1" applyBorder="1" applyAlignment="1">
      <alignment horizontal="right"/>
    </xf>
    <xf numFmtId="0" fontId="70" fillId="0" borderId="59" xfId="0" applyFont="1" applyBorder="1" applyAlignment="1">
      <alignment horizontal="center"/>
    </xf>
    <xf numFmtId="0" fontId="70" fillId="0" borderId="0" xfId="0" applyFont="1"/>
    <xf numFmtId="0" fontId="60" fillId="0" borderId="59" xfId="0" applyFont="1" applyBorder="1" applyAlignment="1">
      <alignment horizontal="center"/>
    </xf>
    <xf numFmtId="0" fontId="60" fillId="0" borderId="0" xfId="0" applyFont="1"/>
    <xf numFmtId="10" fontId="60" fillId="0" borderId="59" xfId="0" applyNumberFormat="1" applyFont="1" applyBorder="1" applyAlignment="1">
      <alignment horizontal="center"/>
    </xf>
    <xf numFmtId="10" fontId="60" fillId="0" borderId="0" xfId="8" applyNumberFormat="1" applyFont="1" applyAlignment="1">
      <alignment horizontal="center" vertical="center"/>
    </xf>
    <xf numFmtId="0" fontId="60" fillId="0" borderId="0" xfId="0" applyFont="1" applyAlignment="1">
      <alignment horizontal="center" vertical="center"/>
    </xf>
    <xf numFmtId="44" fontId="60" fillId="0" borderId="0" xfId="0" applyNumberFormat="1" applyFont="1" applyAlignment="1">
      <alignment horizontal="center" vertical="center"/>
    </xf>
    <xf numFmtId="0" fontId="66" fillId="30" borderId="0" xfId="0" applyFont="1" applyFill="1"/>
    <xf numFmtId="0" fontId="70" fillId="0" borderId="0" xfId="0" applyFont="1" applyAlignment="1">
      <alignment horizontal="center" vertical="center"/>
    </xf>
    <xf numFmtId="0" fontId="60" fillId="24" borderId="59" xfId="0" applyFont="1" applyFill="1" applyBorder="1" applyAlignment="1">
      <alignment horizontal="center"/>
    </xf>
    <xf numFmtId="44" fontId="60" fillId="24" borderId="59" xfId="7" applyFont="1" applyFill="1" applyBorder="1" applyAlignment="1">
      <alignment horizontal="center"/>
    </xf>
    <xf numFmtId="43" fontId="60" fillId="24" borderId="59" xfId="9" applyFont="1" applyFill="1" applyBorder="1" applyAlignment="1">
      <alignment horizontal="center"/>
    </xf>
    <xf numFmtId="14" fontId="60" fillId="24" borderId="59" xfId="0" applyNumberFormat="1" applyFont="1" applyFill="1" applyBorder="1" applyAlignment="1">
      <alignment horizontal="center"/>
    </xf>
    <xf numFmtId="8" fontId="60" fillId="24" borderId="59" xfId="0" applyNumberFormat="1" applyFont="1" applyFill="1" applyBorder="1" applyAlignment="1">
      <alignment horizontal="center"/>
    </xf>
    <xf numFmtId="166" fontId="60" fillId="31" borderId="59" xfId="0" applyNumberFormat="1" applyFont="1" applyFill="1" applyBorder="1" applyAlignment="1">
      <alignment horizontal="center" vertical="center"/>
    </xf>
    <xf numFmtId="0" fontId="60" fillId="0" borderId="59" xfId="0" applyFont="1" applyBorder="1" applyAlignment="1">
      <alignment horizontal="center" vertical="center"/>
    </xf>
    <xf numFmtId="44" fontId="60" fillId="0" borderId="59" xfId="0" applyNumberFormat="1" applyFont="1" applyBorder="1" applyAlignment="1">
      <alignment horizontal="center" vertical="center"/>
    </xf>
    <xf numFmtId="44" fontId="60" fillId="0" borderId="59" xfId="7" applyFont="1" applyBorder="1" applyAlignment="1">
      <alignment horizontal="center" vertical="center"/>
    </xf>
    <xf numFmtId="8" fontId="60" fillId="0" borderId="59" xfId="0" applyNumberFormat="1" applyFont="1" applyBorder="1" applyAlignment="1">
      <alignment horizontal="center" vertical="center"/>
    </xf>
    <xf numFmtId="9" fontId="60" fillId="0" borderId="59" xfId="8" applyFont="1" applyBorder="1" applyAlignment="1">
      <alignment horizontal="center" vertical="center"/>
    </xf>
    <xf numFmtId="0" fontId="60" fillId="0" borderId="59" xfId="0" applyFont="1" applyBorder="1"/>
    <xf numFmtId="44" fontId="60" fillId="0" borderId="59" xfId="0" applyNumberFormat="1" applyFont="1" applyBorder="1"/>
    <xf numFmtId="0" fontId="60" fillId="8" borderId="59" xfId="0" applyFont="1" applyFill="1" applyBorder="1" applyAlignment="1">
      <alignment horizontal="center" vertical="center"/>
    </xf>
    <xf numFmtId="0" fontId="70" fillId="8" borderId="0" xfId="0" applyFont="1" applyFill="1"/>
    <xf numFmtId="0" fontId="60" fillId="31" borderId="59" xfId="0" applyFont="1" applyFill="1" applyBorder="1" applyAlignment="1">
      <alignment horizontal="center" vertical="center"/>
    </xf>
    <xf numFmtId="0" fontId="60" fillId="0" borderId="59" xfId="0" applyFont="1" applyBorder="1" applyAlignment="1">
      <alignment horizontal="left" vertical="center"/>
    </xf>
    <xf numFmtId="10" fontId="60" fillId="0" borderId="59" xfId="8" applyNumberFormat="1" applyFont="1" applyBorder="1" applyAlignment="1">
      <alignment horizontal="center" vertical="center"/>
    </xf>
    <xf numFmtId="0" fontId="60" fillId="32" borderId="59" xfId="0" applyFont="1" applyFill="1" applyBorder="1" applyAlignment="1">
      <alignment horizontal="left" vertical="center"/>
    </xf>
    <xf numFmtId="44" fontId="60" fillId="32" borderId="59" xfId="0" applyNumberFormat="1" applyFont="1" applyFill="1" applyBorder="1" applyAlignment="1">
      <alignment horizontal="center" vertical="center"/>
    </xf>
    <xf numFmtId="10" fontId="60" fillId="32" borderId="59" xfId="8" applyNumberFormat="1" applyFont="1" applyFill="1" applyBorder="1" applyAlignment="1">
      <alignment horizontal="center" vertical="center"/>
    </xf>
    <xf numFmtId="0" fontId="60" fillId="32" borderId="59" xfId="0" applyFont="1" applyFill="1" applyBorder="1" applyAlignment="1">
      <alignment horizontal="center" vertical="center"/>
    </xf>
    <xf numFmtId="0" fontId="60" fillId="32" borderId="0" xfId="0" applyFont="1" applyFill="1"/>
    <xf numFmtId="0" fontId="60" fillId="32" borderId="59" xfId="0" applyFont="1" applyFill="1" applyBorder="1"/>
    <xf numFmtId="0" fontId="60" fillId="32" borderId="59" xfId="0" applyFont="1" applyFill="1" applyBorder="1" applyAlignment="1">
      <alignment horizontal="center"/>
    </xf>
    <xf numFmtId="0" fontId="70" fillId="29" borderId="59" xfId="0" applyFont="1" applyFill="1" applyBorder="1" applyAlignment="1">
      <alignment horizontal="center" vertical="center"/>
    </xf>
    <xf numFmtId="10" fontId="60" fillId="0" borderId="59" xfId="8" applyNumberFormat="1" applyFont="1" applyBorder="1"/>
    <xf numFmtId="10" fontId="60" fillId="0" borderId="0" xfId="8" applyNumberFormat="1" applyFont="1"/>
    <xf numFmtId="44" fontId="60" fillId="0" borderId="0" xfId="7" applyFont="1"/>
    <xf numFmtId="0" fontId="70" fillId="0" borderId="59" xfId="0" applyFont="1" applyBorder="1"/>
    <xf numFmtId="9" fontId="60" fillId="0" borderId="59" xfId="8" applyFont="1" applyBorder="1"/>
    <xf numFmtId="0" fontId="70" fillId="0" borderId="59" xfId="0" applyFont="1" applyBorder="1" applyAlignment="1">
      <alignment horizontal="center" vertical="center"/>
    </xf>
    <xf numFmtId="10" fontId="60" fillId="24" borderId="59" xfId="8" applyNumberFormat="1" applyFont="1" applyFill="1" applyBorder="1"/>
    <xf numFmtId="0" fontId="71" fillId="0" borderId="0" xfId="4" applyFont="1"/>
    <xf numFmtId="167" fontId="71" fillId="0" borderId="0" xfId="8" applyNumberFormat="1" applyFont="1"/>
    <xf numFmtId="10" fontId="71" fillId="0" borderId="0" xfId="4" applyNumberFormat="1" applyFont="1"/>
    <xf numFmtId="8" fontId="60" fillId="0" borderId="59" xfId="8" applyNumberFormat="1" applyFont="1" applyBorder="1"/>
    <xf numFmtId="8" fontId="60" fillId="0" borderId="59" xfId="7" applyNumberFormat="1" applyFont="1" applyBorder="1"/>
    <xf numFmtId="0" fontId="68" fillId="0" borderId="0" xfId="0" applyFont="1"/>
    <xf numFmtId="10" fontId="68" fillId="0" borderId="0" xfId="8" applyNumberFormat="1" applyFont="1"/>
    <xf numFmtId="0" fontId="58" fillId="8" borderId="27" xfId="0" applyFont="1" applyFill="1" applyBorder="1" applyAlignment="1" applyProtection="1">
      <alignment horizontal="left" vertical="center" wrapText="1"/>
      <protection locked="0"/>
    </xf>
    <xf numFmtId="9" fontId="58" fillId="0" borderId="59" xfId="0" applyNumberFormat="1" applyFont="1" applyBorder="1" applyAlignment="1">
      <alignment horizontal="center"/>
    </xf>
    <xf numFmtId="9" fontId="58" fillId="24" borderId="59" xfId="8" applyFont="1" applyFill="1" applyBorder="1" applyAlignment="1">
      <alignment horizontal="center"/>
    </xf>
    <xf numFmtId="44" fontId="60" fillId="24" borderId="59" xfId="0" applyNumberFormat="1" applyFont="1" applyFill="1" applyBorder="1"/>
    <xf numFmtId="0" fontId="68" fillId="24" borderId="59" xfId="0" applyFont="1" applyFill="1" applyBorder="1" applyAlignment="1">
      <alignment horizontal="left"/>
    </xf>
    <xf numFmtId="0" fontId="60" fillId="0" borderId="3" xfId="0" applyFont="1" applyBorder="1"/>
    <xf numFmtId="44" fontId="60" fillId="0" borderId="5" xfId="0" applyNumberFormat="1" applyFont="1" applyBorder="1" applyAlignment="1">
      <alignment horizontal="center" vertical="center"/>
    </xf>
    <xf numFmtId="0" fontId="60" fillId="24" borderId="6" xfId="0" applyFont="1" applyFill="1" applyBorder="1"/>
    <xf numFmtId="44" fontId="60" fillId="0" borderId="7" xfId="0" applyNumberFormat="1" applyFont="1" applyBorder="1" applyAlignment="1">
      <alignment horizontal="center" vertical="center"/>
    </xf>
    <xf numFmtId="0" fontId="60" fillId="8" borderId="8" xfId="0" applyFont="1" applyFill="1" applyBorder="1"/>
    <xf numFmtId="44" fontId="60" fillId="0" borderId="10" xfId="0" applyNumberFormat="1" applyFont="1" applyBorder="1" applyAlignment="1">
      <alignment horizontal="center" vertical="center"/>
    </xf>
    <xf numFmtId="166" fontId="60" fillId="0" borderId="0" xfId="0" applyNumberFormat="1" applyFont="1"/>
    <xf numFmtId="168" fontId="60" fillId="24" borderId="59" xfId="0" applyNumberFormat="1" applyFont="1" applyFill="1" applyBorder="1" applyAlignment="1">
      <alignment horizontal="center"/>
    </xf>
    <xf numFmtId="44" fontId="60" fillId="0" borderId="0" xfId="0" applyNumberFormat="1" applyFont="1"/>
    <xf numFmtId="44" fontId="73" fillId="24" borderId="59" xfId="7" applyFont="1" applyFill="1" applyBorder="1" applyAlignment="1">
      <alignment horizontal="right"/>
    </xf>
    <xf numFmtId="0" fontId="73" fillId="24" borderId="59" xfId="0" applyFont="1" applyFill="1" applyBorder="1" applyAlignment="1">
      <alignment horizontal="right"/>
    </xf>
    <xf numFmtId="49" fontId="68" fillId="24" borderId="59" xfId="0" applyNumberFormat="1" applyFont="1" applyFill="1" applyBorder="1" applyAlignment="1">
      <alignment horizontal="left"/>
    </xf>
    <xf numFmtId="0" fontId="70" fillId="0" borderId="0" xfId="0" applyFont="1" applyAlignment="1">
      <alignment horizontal="left" vertical="center"/>
    </xf>
    <xf numFmtId="0" fontId="58" fillId="0" borderId="1" xfId="0" applyFont="1" applyBorder="1" applyAlignment="1">
      <alignment vertical="center" wrapText="1"/>
    </xf>
    <xf numFmtId="44" fontId="60" fillId="0" borderId="59" xfId="0" applyNumberFormat="1" applyFont="1" applyBorder="1" applyAlignment="1">
      <alignment horizontal="center"/>
    </xf>
    <xf numFmtId="44" fontId="58" fillId="0" borderId="59" xfId="0" applyNumberFormat="1" applyFont="1" applyBorder="1" applyAlignment="1">
      <alignment horizontal="center" vertical="center"/>
    </xf>
    <xf numFmtId="168" fontId="60" fillId="0" borderId="0" xfId="0" applyNumberFormat="1" applyFont="1"/>
    <xf numFmtId="0" fontId="74" fillId="0" borderId="0" xfId="0" applyFont="1"/>
    <xf numFmtId="10" fontId="58" fillId="0" borderId="59" xfId="0" applyNumberFormat="1" applyFont="1" applyBorder="1"/>
    <xf numFmtId="0" fontId="58" fillId="24" borderId="59" xfId="0" applyFont="1" applyFill="1" applyBorder="1" applyAlignment="1">
      <alignment horizontal="center"/>
    </xf>
    <xf numFmtId="8" fontId="60" fillId="24" borderId="59" xfId="7" applyNumberFormat="1" applyFont="1" applyFill="1" applyBorder="1" applyAlignment="1">
      <alignment horizontal="center"/>
    </xf>
    <xf numFmtId="169" fontId="60" fillId="24" borderId="59" xfId="9" applyNumberFormat="1" applyFont="1" applyFill="1" applyBorder="1" applyAlignment="1">
      <alignment horizontal="center"/>
    </xf>
    <xf numFmtId="10" fontId="62" fillId="24" borderId="59" xfId="8" applyNumberFormat="1" applyFont="1" applyFill="1" applyBorder="1" applyAlignment="1">
      <alignment horizontal="center"/>
    </xf>
    <xf numFmtId="0" fontId="10" fillId="24" borderId="23" xfId="0" applyFont="1" applyFill="1" applyBorder="1" applyAlignment="1">
      <alignment horizontal="center" vertical="center" textRotation="90" wrapText="1"/>
    </xf>
    <xf numFmtId="0" fontId="10" fillId="24" borderId="69" xfId="0" applyFont="1" applyFill="1" applyBorder="1" applyAlignment="1">
      <alignment horizontal="center" vertical="center" textRotation="90" wrapText="1"/>
    </xf>
    <xf numFmtId="0" fontId="52" fillId="24" borderId="23" xfId="0" applyFont="1" applyFill="1" applyBorder="1" applyAlignment="1">
      <alignment horizontal="center" vertical="center" wrapText="1"/>
    </xf>
    <xf numFmtId="0" fontId="52" fillId="24" borderId="67" xfId="0" applyFont="1" applyFill="1" applyBorder="1" applyAlignment="1">
      <alignment horizontal="center" vertical="center" wrapText="1"/>
    </xf>
    <xf numFmtId="0" fontId="10" fillId="3" borderId="75" xfId="0" applyFont="1" applyFill="1" applyBorder="1" applyAlignment="1">
      <alignment horizontal="center" vertical="center" textRotation="90" wrapText="1"/>
    </xf>
    <xf numFmtId="0" fontId="10" fillId="3" borderId="76" xfId="0" applyFont="1" applyFill="1" applyBorder="1" applyAlignment="1">
      <alignment horizontal="center" vertical="center" textRotation="90" wrapText="1"/>
    </xf>
    <xf numFmtId="0" fontId="10" fillId="24" borderId="62" xfId="0" applyFont="1" applyFill="1" applyBorder="1" applyAlignment="1">
      <alignment horizontal="center" vertical="center" textRotation="90" wrapText="1"/>
    </xf>
    <xf numFmtId="0" fontId="10" fillId="24" borderId="20" xfId="0" applyFont="1" applyFill="1" applyBorder="1" applyAlignment="1">
      <alignment horizontal="center" vertical="center" textRotation="90" wrapText="1"/>
    </xf>
    <xf numFmtId="0" fontId="10" fillId="24" borderId="1" xfId="0" applyFont="1" applyFill="1" applyBorder="1" applyAlignment="1">
      <alignment horizontal="center" vertical="center" textRotation="90" wrapText="1"/>
    </xf>
    <xf numFmtId="0" fontId="10" fillId="24" borderId="18" xfId="0" applyFont="1" applyFill="1" applyBorder="1" applyAlignment="1">
      <alignment horizontal="center" vertical="center" textRotation="90" wrapText="1"/>
    </xf>
    <xf numFmtId="0" fontId="52" fillId="24" borderId="66" xfId="0" applyFont="1" applyFill="1" applyBorder="1" applyAlignment="1">
      <alignment horizontal="center" vertical="center" wrapText="1"/>
    </xf>
    <xf numFmtId="0" fontId="6" fillId="24" borderId="23" xfId="0" applyFont="1" applyFill="1" applyBorder="1" applyAlignment="1">
      <alignment horizontal="center" vertical="center" wrapText="1"/>
    </xf>
    <xf numFmtId="0" fontId="10" fillId="24" borderId="69" xfId="0" applyFont="1" applyFill="1" applyBorder="1" applyAlignment="1">
      <alignment horizontal="center" vertical="center" wrapText="1"/>
    </xf>
    <xf numFmtId="0" fontId="45" fillId="5" borderId="77" xfId="0" applyFont="1" applyFill="1" applyBorder="1" applyAlignment="1">
      <alignment horizontal="center" vertical="center"/>
    </xf>
    <xf numFmtId="0" fontId="45" fillId="5" borderId="71" xfId="0" applyFont="1" applyFill="1" applyBorder="1" applyAlignment="1">
      <alignment horizontal="center" vertical="center"/>
    </xf>
    <xf numFmtId="0" fontId="45" fillId="5" borderId="78" xfId="0" applyFont="1" applyFill="1" applyBorder="1" applyAlignment="1">
      <alignment horizontal="center" vertical="center"/>
    </xf>
    <xf numFmtId="0" fontId="45" fillId="5" borderId="72" xfId="0" applyFont="1" applyFill="1" applyBorder="1" applyAlignment="1">
      <alignment horizontal="center" vertical="center"/>
    </xf>
    <xf numFmtId="0" fontId="45" fillId="5" borderId="79" xfId="0" applyFont="1" applyFill="1" applyBorder="1" applyAlignment="1">
      <alignment horizontal="center" vertical="center"/>
    </xf>
    <xf numFmtId="0" fontId="45" fillId="5" borderId="73" xfId="0" applyFont="1" applyFill="1" applyBorder="1" applyAlignment="1">
      <alignment horizontal="center" vertical="center"/>
    </xf>
    <xf numFmtId="0" fontId="45" fillId="23" borderId="23" xfId="0" applyFont="1" applyFill="1" applyBorder="1" applyAlignment="1">
      <alignment horizontal="center" vertical="center"/>
    </xf>
    <xf numFmtId="0" fontId="46" fillId="24" borderId="23" xfId="0" applyFont="1" applyFill="1" applyBorder="1" applyAlignment="1" applyProtection="1">
      <alignment horizontal="center" vertical="center"/>
      <protection locked="0"/>
    </xf>
    <xf numFmtId="0" fontId="47" fillId="24" borderId="77" xfId="0" applyFont="1" applyFill="1" applyBorder="1" applyAlignment="1">
      <alignment horizontal="center" vertical="center"/>
    </xf>
    <xf numFmtId="0" fontId="47" fillId="24" borderId="78" xfId="0" applyFont="1" applyFill="1" applyBorder="1" applyAlignment="1">
      <alignment horizontal="center" vertical="center"/>
    </xf>
    <xf numFmtId="0" fontId="47" fillId="24" borderId="79" xfId="0" applyFont="1" applyFill="1" applyBorder="1" applyAlignment="1">
      <alignment horizontal="center" vertical="center"/>
    </xf>
    <xf numFmtId="0" fontId="49" fillId="24" borderId="74" xfId="0" applyFont="1" applyFill="1" applyBorder="1" applyAlignment="1">
      <alignment horizontal="center" vertical="center"/>
    </xf>
    <xf numFmtId="0" fontId="49" fillId="24" borderId="75" xfId="0" applyFont="1" applyFill="1" applyBorder="1" applyAlignment="1">
      <alignment horizontal="center" vertical="center"/>
    </xf>
    <xf numFmtId="0" fontId="49" fillId="24" borderId="76" xfId="0" applyFont="1" applyFill="1" applyBorder="1" applyAlignment="1">
      <alignment horizontal="center" vertical="center"/>
    </xf>
    <xf numFmtId="0" fontId="48" fillId="24" borderId="63" xfId="0" applyFont="1" applyFill="1" applyBorder="1" applyAlignment="1">
      <alignment horizontal="center" vertical="center"/>
    </xf>
    <xf numFmtId="0" fontId="48" fillId="24" borderId="64" xfId="0" applyFont="1" applyFill="1" applyBorder="1" applyAlignment="1">
      <alignment horizontal="center" vertical="center"/>
    </xf>
    <xf numFmtId="0" fontId="48" fillId="24" borderId="65" xfId="0" applyFont="1" applyFill="1" applyBorder="1" applyAlignment="1">
      <alignment horizontal="center" vertical="center"/>
    </xf>
    <xf numFmtId="0" fontId="51" fillId="23" borderId="23" xfId="0" applyFont="1" applyFill="1" applyBorder="1" applyAlignment="1">
      <alignment horizontal="center" vertical="center"/>
    </xf>
    <xf numFmtId="0" fontId="6" fillId="24" borderId="66" xfId="0" applyFont="1" applyFill="1" applyBorder="1" applyAlignment="1">
      <alignment horizontal="center" vertical="center" wrapText="1"/>
    </xf>
    <xf numFmtId="0" fontId="6" fillId="24" borderId="68" xfId="0" applyFont="1" applyFill="1" applyBorder="1" applyAlignment="1">
      <alignment horizontal="center" vertical="center" wrapText="1"/>
    </xf>
    <xf numFmtId="0" fontId="6" fillId="24" borderId="67" xfId="0" applyFont="1" applyFill="1" applyBorder="1" applyAlignment="1">
      <alignment horizontal="center" vertical="center" wrapText="1"/>
    </xf>
    <xf numFmtId="0" fontId="10" fillId="24" borderId="70" xfId="0" applyFont="1" applyFill="1" applyBorder="1" applyAlignment="1">
      <alignment horizontal="center" vertical="center" wrapText="1"/>
    </xf>
    <xf numFmtId="0" fontId="6" fillId="24" borderId="23" xfId="0" applyFont="1" applyFill="1" applyBorder="1" applyAlignment="1">
      <alignment horizontal="center" vertical="center" textRotation="90" wrapText="1"/>
    </xf>
    <xf numFmtId="0" fontId="6" fillId="24" borderId="69" xfId="0" applyFont="1" applyFill="1" applyBorder="1" applyAlignment="1">
      <alignment horizontal="center" vertical="center" textRotation="90" wrapText="1"/>
    </xf>
    <xf numFmtId="0" fontId="6" fillId="24" borderId="69" xfId="0" applyFont="1" applyFill="1" applyBorder="1" applyAlignment="1">
      <alignment horizontal="center" vertical="center" wrapText="1"/>
    </xf>
    <xf numFmtId="0" fontId="2" fillId="10" borderId="0" xfId="0" applyFont="1" applyFill="1" applyAlignment="1">
      <alignment horizontal="center" vertical="center"/>
    </xf>
    <xf numFmtId="0" fontId="4" fillId="2" borderId="25" xfId="0" applyFont="1" applyFill="1" applyBorder="1" applyAlignment="1">
      <alignment horizontal="center" vertical="center" wrapText="1"/>
    </xf>
    <xf numFmtId="0" fontId="4" fillId="2" borderId="22" xfId="0" applyFont="1" applyFill="1" applyBorder="1" applyAlignment="1">
      <alignment horizontal="center" vertical="center" wrapText="1"/>
    </xf>
    <xf numFmtId="0" fontId="6" fillId="0" borderId="21" xfId="0" applyFont="1" applyBorder="1" applyAlignment="1">
      <alignment horizontal="center" vertical="center"/>
    </xf>
    <xf numFmtId="0" fontId="6" fillId="0" borderId="26" xfId="0" applyFont="1" applyBorder="1" applyAlignment="1">
      <alignment horizontal="center" vertical="center"/>
    </xf>
    <xf numFmtId="0" fontId="10" fillId="0" borderId="28" xfId="0" applyFont="1" applyBorder="1" applyAlignment="1">
      <alignment horizontal="center" vertical="center"/>
    </xf>
    <xf numFmtId="0" fontId="0" fillId="0" borderId="29" xfId="0" applyBorder="1" applyAlignment="1">
      <alignment horizontal="center" vertical="center"/>
    </xf>
    <xf numFmtId="0" fontId="0" fillId="0" borderId="30" xfId="0" applyBorder="1" applyAlignment="1">
      <alignment horizontal="center" vertical="center"/>
    </xf>
    <xf numFmtId="0" fontId="3" fillId="14" borderId="0" xfId="0" applyFont="1" applyFill="1" applyAlignment="1">
      <alignment horizontal="center" vertical="center"/>
    </xf>
    <xf numFmtId="0" fontId="1" fillId="13" borderId="11" xfId="0" applyFont="1" applyFill="1" applyBorder="1" applyAlignment="1">
      <alignment horizontal="center" vertical="center"/>
    </xf>
    <xf numFmtId="0" fontId="1" fillId="13" borderId="12" xfId="0" applyFont="1" applyFill="1" applyBorder="1" applyAlignment="1">
      <alignment horizontal="center" vertical="center"/>
    </xf>
    <xf numFmtId="0" fontId="1" fillId="13" borderId="13" xfId="0" applyFont="1" applyFill="1" applyBorder="1" applyAlignment="1">
      <alignment horizontal="center" vertical="center"/>
    </xf>
    <xf numFmtId="0" fontId="6" fillId="11" borderId="11" xfId="0" applyFont="1" applyFill="1" applyBorder="1" applyAlignment="1">
      <alignment horizontal="center" vertical="center" textRotation="90"/>
    </xf>
    <xf numFmtId="0" fontId="6" fillId="11" borderId="12" xfId="0" applyFont="1" applyFill="1" applyBorder="1" applyAlignment="1">
      <alignment horizontal="center" vertical="center" textRotation="90"/>
    </xf>
    <xf numFmtId="0" fontId="6" fillId="11" borderId="13" xfId="0" applyFont="1" applyFill="1" applyBorder="1" applyAlignment="1">
      <alignment horizontal="center" vertical="center" textRotation="90"/>
    </xf>
    <xf numFmtId="0" fontId="1" fillId="12" borderId="3" xfId="0" applyFont="1" applyFill="1" applyBorder="1" applyAlignment="1">
      <alignment horizontal="center" vertical="center" wrapText="1"/>
    </xf>
    <xf numFmtId="0" fontId="1" fillId="12" borderId="4" xfId="0" applyFont="1" applyFill="1" applyBorder="1" applyAlignment="1">
      <alignment horizontal="center" vertical="center" wrapText="1"/>
    </xf>
    <xf numFmtId="0" fontId="1" fillId="12" borderId="5" xfId="0" applyFont="1" applyFill="1" applyBorder="1" applyAlignment="1">
      <alignment horizontal="center" vertical="center" wrapText="1"/>
    </xf>
    <xf numFmtId="0" fontId="1" fillId="12" borderId="16" xfId="0" applyFont="1" applyFill="1" applyBorder="1" applyAlignment="1">
      <alignment horizontal="center" vertical="center" wrapText="1"/>
    </xf>
    <xf numFmtId="0" fontId="1" fillId="12" borderId="14" xfId="0" applyFont="1" applyFill="1" applyBorder="1" applyAlignment="1">
      <alignment horizontal="center" vertical="center" wrapText="1"/>
    </xf>
    <xf numFmtId="0" fontId="1" fillId="12" borderId="17" xfId="0" applyFont="1" applyFill="1" applyBorder="1" applyAlignment="1">
      <alignment horizontal="center" vertical="center" wrapText="1"/>
    </xf>
    <xf numFmtId="0" fontId="1" fillId="12" borderId="15" xfId="0" applyFont="1" applyFill="1" applyBorder="1" applyAlignment="1">
      <alignment horizontal="center" vertical="center" wrapText="1"/>
    </xf>
    <xf numFmtId="0" fontId="43" fillId="0" borderId="59" xfId="0" applyFont="1" applyBorder="1" applyAlignment="1">
      <alignment horizontal="center" vertical="center"/>
    </xf>
    <xf numFmtId="0" fontId="10" fillId="12" borderId="62" xfId="0" applyFont="1" applyFill="1" applyBorder="1" applyAlignment="1">
      <alignment horizontal="center" vertical="center" textRotation="90" wrapText="1"/>
    </xf>
    <xf numFmtId="0" fontId="10" fillId="12" borderId="20" xfId="0" applyFont="1" applyFill="1" applyBorder="1" applyAlignment="1">
      <alignment horizontal="center" vertical="center" textRotation="90" wrapText="1"/>
    </xf>
    <xf numFmtId="0" fontId="10" fillId="12" borderId="1" xfId="0" applyFont="1" applyFill="1" applyBorder="1" applyAlignment="1">
      <alignment horizontal="center" vertical="center" textRotation="90" wrapText="1"/>
    </xf>
    <xf numFmtId="0" fontId="10" fillId="12" borderId="18" xfId="0" applyFont="1" applyFill="1" applyBorder="1" applyAlignment="1">
      <alignment horizontal="center" vertical="center" textRotation="90" wrapText="1"/>
    </xf>
    <xf numFmtId="0" fontId="45" fillId="23" borderId="0" xfId="0" applyFont="1" applyFill="1" applyAlignment="1">
      <alignment horizontal="center" vertical="center"/>
    </xf>
    <xf numFmtId="0" fontId="46" fillId="24" borderId="0" xfId="0" applyFont="1" applyFill="1" applyAlignment="1" applyProtection="1">
      <alignment horizontal="center" vertical="center"/>
      <protection locked="0"/>
    </xf>
    <xf numFmtId="0" fontId="47" fillId="24" borderId="74" xfId="0" applyFont="1" applyFill="1" applyBorder="1" applyAlignment="1">
      <alignment horizontal="center" vertical="center"/>
    </xf>
    <xf numFmtId="0" fontId="47" fillId="24" borderId="75" xfId="0" applyFont="1" applyFill="1" applyBorder="1" applyAlignment="1">
      <alignment horizontal="center" vertical="center"/>
    </xf>
    <xf numFmtId="0" fontId="47" fillId="24" borderId="76" xfId="0" applyFont="1" applyFill="1" applyBorder="1" applyAlignment="1">
      <alignment horizontal="center" vertical="center"/>
    </xf>
    <xf numFmtId="0" fontId="50" fillId="24" borderId="71" xfId="0" applyFont="1" applyFill="1" applyBorder="1" applyAlignment="1">
      <alignment horizontal="center" vertical="center"/>
    </xf>
    <xf numFmtId="0" fontId="50" fillId="24" borderId="72" xfId="0" applyFont="1" applyFill="1" applyBorder="1" applyAlignment="1">
      <alignment horizontal="center" vertical="center"/>
    </xf>
    <xf numFmtId="0" fontId="50" fillId="24" borderId="73" xfId="0" applyFont="1" applyFill="1" applyBorder="1" applyAlignment="1">
      <alignment horizontal="center" vertical="center"/>
    </xf>
    <xf numFmtId="0" fontId="51" fillId="23" borderId="23" xfId="0" applyFont="1" applyFill="1" applyBorder="1" applyAlignment="1">
      <alignment horizontal="center" vertical="center" wrapText="1"/>
    </xf>
    <xf numFmtId="0" fontId="6" fillId="12" borderId="62" xfId="0" applyFont="1" applyFill="1" applyBorder="1" applyAlignment="1">
      <alignment horizontal="center" vertical="center" textRotation="90" wrapText="1"/>
    </xf>
    <xf numFmtId="0" fontId="6" fillId="12" borderId="20" xfId="0" applyFont="1" applyFill="1" applyBorder="1" applyAlignment="1">
      <alignment horizontal="center" vertical="center" textRotation="90" wrapText="1"/>
    </xf>
    <xf numFmtId="0" fontId="4" fillId="2" borderId="25" xfId="0" applyFont="1" applyFill="1" applyBorder="1" applyAlignment="1" applyProtection="1">
      <alignment horizontal="center" vertical="center" wrapText="1"/>
      <protection locked="0"/>
    </xf>
    <xf numFmtId="0" fontId="0" fillId="0" borderId="25" xfId="0" applyBorder="1" applyAlignment="1">
      <alignment horizontal="center" vertical="center" wrapText="1"/>
    </xf>
    <xf numFmtId="0" fontId="0" fillId="0" borderId="22" xfId="0" applyBorder="1" applyAlignment="1">
      <alignment horizontal="center" vertical="center" wrapText="1"/>
    </xf>
    <xf numFmtId="0" fontId="0" fillId="0" borderId="25" xfId="0" applyBorder="1" applyAlignment="1">
      <alignment vertical="center" wrapText="1"/>
    </xf>
    <xf numFmtId="0" fontId="0" fillId="0" borderId="22" xfId="0" applyBorder="1" applyAlignment="1">
      <alignment vertical="center" wrapText="1"/>
    </xf>
    <xf numFmtId="0" fontId="3" fillId="15" borderId="0" xfId="0" applyFont="1" applyFill="1" applyAlignment="1">
      <alignment horizontal="center" vertical="center"/>
    </xf>
    <xf numFmtId="0" fontId="1" fillId="12" borderId="28" xfId="0" applyFont="1" applyFill="1" applyBorder="1" applyAlignment="1">
      <alignment horizontal="center" vertical="center" wrapText="1"/>
    </xf>
    <xf numFmtId="0" fontId="1" fillId="12" borderId="29" xfId="0" applyFont="1" applyFill="1" applyBorder="1" applyAlignment="1">
      <alignment horizontal="center" vertical="center" wrapText="1"/>
    </xf>
    <xf numFmtId="0" fontId="1" fillId="12" borderId="30" xfId="0" applyFont="1" applyFill="1" applyBorder="1" applyAlignment="1">
      <alignment horizontal="center" vertical="center" wrapText="1"/>
    </xf>
    <xf numFmtId="0" fontId="1" fillId="12" borderId="23" xfId="0" applyFont="1" applyFill="1" applyBorder="1" applyAlignment="1">
      <alignment horizontal="center" vertical="center" wrapText="1"/>
    </xf>
    <xf numFmtId="0" fontId="64" fillId="0" borderId="59" xfId="0" applyFont="1" applyBorder="1" applyAlignment="1">
      <alignment horizontal="center"/>
    </xf>
    <xf numFmtId="0" fontId="4" fillId="0" borderId="25" xfId="0" applyFont="1" applyBorder="1" applyAlignment="1" applyProtection="1">
      <alignment horizontal="center" vertical="center" wrapText="1"/>
      <protection locked="0"/>
    </xf>
    <xf numFmtId="0" fontId="4" fillId="0" borderId="22" xfId="0" applyFont="1" applyBorder="1" applyAlignment="1" applyProtection="1">
      <alignment horizontal="center" vertical="center" wrapText="1"/>
      <protection locked="0"/>
    </xf>
    <xf numFmtId="0" fontId="0" fillId="0" borderId="88" xfId="0" applyBorder="1" applyAlignment="1">
      <alignment horizontal="center" vertical="center" wrapText="1"/>
    </xf>
    <xf numFmtId="0" fontId="4" fillId="8" borderId="25" xfId="0" applyFont="1" applyFill="1" applyBorder="1" applyAlignment="1">
      <alignment horizontal="center" vertical="center" wrapText="1"/>
    </xf>
    <xf numFmtId="0" fontId="4" fillId="8" borderId="22" xfId="0" applyFont="1" applyFill="1" applyBorder="1" applyAlignment="1">
      <alignment horizontal="center" vertical="center" wrapText="1"/>
    </xf>
    <xf numFmtId="0" fontId="6" fillId="25" borderId="0" xfId="0" applyFont="1" applyFill="1" applyAlignment="1">
      <alignment horizontal="center" vertical="center"/>
    </xf>
    <xf numFmtId="0" fontId="6" fillId="25" borderId="21" xfId="0" applyFont="1" applyFill="1" applyBorder="1" applyAlignment="1">
      <alignment horizontal="center" vertical="center"/>
    </xf>
    <xf numFmtId="0" fontId="6" fillId="25" borderId="26" xfId="0" applyFont="1" applyFill="1" applyBorder="1" applyAlignment="1">
      <alignment horizontal="center" vertical="center"/>
    </xf>
    <xf numFmtId="0" fontId="10" fillId="0" borderId="29" xfId="0" applyFont="1" applyBorder="1" applyAlignment="1">
      <alignment horizontal="center" vertical="center"/>
    </xf>
    <xf numFmtId="0" fontId="4" fillId="28" borderId="25" xfId="0" applyFont="1" applyFill="1" applyBorder="1" applyAlignment="1">
      <alignment horizontal="center" vertical="center" wrapText="1"/>
    </xf>
    <xf numFmtId="0" fontId="4" fillId="28" borderId="22" xfId="0" applyFont="1" applyFill="1" applyBorder="1" applyAlignment="1">
      <alignment horizontal="center" vertical="center" wrapText="1"/>
    </xf>
    <xf numFmtId="0" fontId="1" fillId="12" borderId="90" xfId="0" applyFont="1" applyFill="1" applyBorder="1" applyAlignment="1">
      <alignment horizontal="center" vertical="center" wrapText="1"/>
    </xf>
    <xf numFmtId="0" fontId="1" fillId="12" borderId="91" xfId="0" applyFont="1" applyFill="1" applyBorder="1" applyAlignment="1">
      <alignment horizontal="center" vertical="center" wrapText="1"/>
    </xf>
    <xf numFmtId="0" fontId="27" fillId="3" borderId="58" xfId="0" applyFont="1" applyFill="1" applyBorder="1" applyAlignment="1">
      <alignment horizontal="center" vertical="center" wrapText="1"/>
    </xf>
    <xf numFmtId="0" fontId="27" fillId="3" borderId="58" xfId="0" applyFont="1" applyFill="1" applyBorder="1" applyAlignment="1">
      <alignment horizontal="center" vertical="center"/>
    </xf>
    <xf numFmtId="0" fontId="26" fillId="4" borderId="46" xfId="0" applyFont="1" applyFill="1" applyBorder="1" applyAlignment="1">
      <alignment horizontal="center" vertical="center" wrapText="1"/>
    </xf>
    <xf numFmtId="0" fontId="26" fillId="4" borderId="47" xfId="0" applyFont="1" applyFill="1" applyBorder="1" applyAlignment="1">
      <alignment horizontal="center" vertical="center" wrapText="1"/>
    </xf>
    <xf numFmtId="0" fontId="26" fillId="4" borderId="34" xfId="0" applyFont="1" applyFill="1" applyBorder="1" applyAlignment="1">
      <alignment horizontal="center" vertical="center" wrapText="1"/>
    </xf>
    <xf numFmtId="0" fontId="26" fillId="4" borderId="48" xfId="0" applyFont="1" applyFill="1" applyBorder="1" applyAlignment="1">
      <alignment horizontal="center" vertical="center" wrapText="1"/>
    </xf>
    <xf numFmtId="164" fontId="28" fillId="3" borderId="58" xfId="0" applyNumberFormat="1" applyFont="1" applyFill="1" applyBorder="1" applyAlignment="1">
      <alignment horizontal="center" vertical="center"/>
    </xf>
    <xf numFmtId="0" fontId="24" fillId="4" borderId="40" xfId="0" applyFont="1" applyFill="1" applyBorder="1" applyAlignment="1">
      <alignment horizontal="center" vertical="center"/>
    </xf>
    <xf numFmtId="0" fontId="24" fillId="4" borderId="32" xfId="0" applyFont="1" applyFill="1" applyBorder="1" applyAlignment="1">
      <alignment horizontal="center" vertical="center"/>
    </xf>
    <xf numFmtId="0" fontId="26" fillId="4" borderId="37" xfId="0" applyFont="1" applyFill="1" applyBorder="1" applyAlignment="1">
      <alignment horizontal="center" vertical="center" wrapText="1"/>
    </xf>
    <xf numFmtId="0" fontId="24" fillId="4" borderId="58" xfId="0" applyFont="1" applyFill="1" applyBorder="1" applyAlignment="1">
      <alignment horizontal="center" vertical="center"/>
    </xf>
    <xf numFmtId="0" fontId="24" fillId="4" borderId="57" xfId="0" applyFont="1" applyFill="1" applyBorder="1" applyAlignment="1">
      <alignment horizontal="center" vertical="center"/>
    </xf>
    <xf numFmtId="0" fontId="21" fillId="18" borderId="46" xfId="0" applyFont="1" applyFill="1" applyBorder="1" applyAlignment="1">
      <alignment horizontal="center" vertical="center" wrapText="1"/>
    </xf>
    <xf numFmtId="0" fontId="21" fillId="18" borderId="34" xfId="0" applyFont="1" applyFill="1" applyBorder="1" applyAlignment="1">
      <alignment horizontal="center" vertical="center" wrapText="1"/>
    </xf>
    <xf numFmtId="0" fontId="19" fillId="18" borderId="31" xfId="0" applyFont="1" applyFill="1" applyBorder="1" applyAlignment="1">
      <alignment horizontal="center" vertical="center" wrapText="1"/>
    </xf>
    <xf numFmtId="0" fontId="19" fillId="18" borderId="50" xfId="0" applyFont="1" applyFill="1" applyBorder="1" applyAlignment="1">
      <alignment horizontal="center" vertical="center" wrapText="1"/>
    </xf>
    <xf numFmtId="0" fontId="19" fillId="18" borderId="32" xfId="0" applyFont="1" applyFill="1" applyBorder="1" applyAlignment="1">
      <alignment horizontal="center" vertical="center" wrapText="1"/>
    </xf>
    <xf numFmtId="0" fontId="19" fillId="18" borderId="33" xfId="0" applyFont="1" applyFill="1" applyBorder="1" applyAlignment="1">
      <alignment horizontal="center" vertical="center" wrapText="1"/>
    </xf>
    <xf numFmtId="0" fontId="21" fillId="18" borderId="35" xfId="0" applyFont="1" applyFill="1" applyBorder="1" applyAlignment="1">
      <alignment horizontal="center" vertical="center" wrapText="1"/>
    </xf>
    <xf numFmtId="0" fontId="21" fillId="18" borderId="56" xfId="0" applyFont="1" applyFill="1" applyBorder="1" applyAlignment="1">
      <alignment horizontal="center" vertical="center" wrapText="1"/>
    </xf>
    <xf numFmtId="0" fontId="21" fillId="18" borderId="44" xfId="0" applyFont="1" applyFill="1" applyBorder="1" applyAlignment="1">
      <alignment horizontal="center" vertical="center" wrapText="1"/>
    </xf>
    <xf numFmtId="0" fontId="44" fillId="26" borderId="59" xfId="0" applyFont="1" applyFill="1" applyBorder="1" applyAlignment="1">
      <alignment horizontal="center" vertical="center"/>
    </xf>
    <xf numFmtId="0" fontId="4" fillId="8" borderId="25" xfId="0" applyFont="1" applyFill="1" applyBorder="1" applyAlignment="1" applyProtection="1">
      <alignment horizontal="center" vertical="center" wrapText="1"/>
      <protection locked="0"/>
    </xf>
    <xf numFmtId="0" fontId="0" fillId="8" borderId="25" xfId="0" applyFill="1" applyBorder="1" applyAlignment="1">
      <alignment horizontal="center" vertical="center" wrapText="1"/>
    </xf>
    <xf numFmtId="0" fontId="0" fillId="8" borderId="22" xfId="0" applyFill="1" applyBorder="1" applyAlignment="1">
      <alignment horizontal="center" vertical="center" wrapText="1"/>
    </xf>
    <xf numFmtId="0" fontId="4" fillId="2" borderId="22" xfId="0" applyFont="1" applyFill="1" applyBorder="1" applyAlignment="1" applyProtection="1">
      <alignment horizontal="center" vertical="center" wrapText="1"/>
      <protection locked="0"/>
    </xf>
    <xf numFmtId="0" fontId="4" fillId="8" borderId="88" xfId="0" applyFont="1" applyFill="1" applyBorder="1" applyAlignment="1" applyProtection="1">
      <alignment horizontal="center" vertical="center" wrapText="1"/>
      <protection locked="0"/>
    </xf>
    <xf numFmtId="0" fontId="0" fillId="0" borderId="0" xfId="0" applyAlignment="1">
      <alignment horizontal="center" vertical="center" wrapText="1"/>
    </xf>
  </cellXfs>
  <cellStyles count="11">
    <cellStyle name="Moeda" xfId="7" builtinId="4"/>
    <cellStyle name="Moeda 2" xfId="5" xr:uid="{81DC1F57-B658-48E2-A6A6-A0FF343A1BE1}"/>
    <cellStyle name="Normal" xfId="0" builtinId="0"/>
    <cellStyle name="Normal 2" xfId="4" xr:uid="{C223D18A-2995-4387-B415-2BC3ED5D6718}"/>
    <cellStyle name="Normal 2 2" xfId="1" xr:uid="{00000000-0005-0000-0000-000001000000}"/>
    <cellStyle name="Porcentagem" xfId="8" builtinId="5"/>
    <cellStyle name="Porcentagem 2" xfId="6" xr:uid="{03EE8D75-17F7-4F9D-8EB0-4AB1BC40A625}"/>
    <cellStyle name="Separador de milhares 2" xfId="2" xr:uid="{00000000-0005-0000-0000-000002000000}"/>
    <cellStyle name="Separador de milhares 2 2" xfId="3" xr:uid="{0793F48D-55AF-4D98-8A6F-50BBA1E4D66B}"/>
    <cellStyle name="Vírgula" xfId="9" builtinId="3"/>
    <cellStyle name="Vírgula 2" xfId="10" xr:uid="{DBA76DCD-1F7C-4918-A743-C8496B1927DA}"/>
  </cellStyles>
  <dxfs count="188">
    <dxf>
      <font>
        <color theme="0"/>
      </font>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theme="9" tint="0.39994506668294322"/>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ont>
        <color theme="0"/>
      </font>
    </dxf>
    <dxf>
      <font>
        <color theme="0"/>
      </font>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ont>
        <color theme="0"/>
      </font>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theme="9" tint="0.39994506668294322"/>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ont>
        <color theme="0"/>
      </font>
    </dxf>
    <dxf>
      <font>
        <color theme="0"/>
      </font>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s>
  <tableStyles count="0" defaultTableStyle="TableStyleMedium9" defaultPivotStyle="PivotStyleLight16"/>
  <colors>
    <mruColors>
      <color rgb="FFFEA0FA"/>
      <color rgb="FF00B871"/>
      <color rgb="FF363636"/>
      <color rgb="FF1A665B"/>
      <color rgb="FFF2D100"/>
      <color rgb="FFF18B00"/>
      <color rgb="FF9DAF94"/>
      <color rgb="FF82BC46"/>
      <color rgb="FF455358"/>
      <color rgb="FFFFFF9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externalLink" Target="externalLinks/externalLink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2596578515326923E-2"/>
          <c:y val="5.9693671064142383E-2"/>
          <c:w val="0.9555555555555556"/>
          <c:h val="0.93758865248226952"/>
        </c:manualLayout>
      </c:layout>
      <c:bubbleChart>
        <c:varyColors val="0"/>
        <c:ser>
          <c:idx val="0"/>
          <c:order val="0"/>
          <c:tx>
            <c:strRef>
              <c:f>'Riscos-PIEMONTE'!$B$10</c:f>
              <c:strCache>
                <c:ptCount val="1"/>
                <c:pt idx="0">
                  <c:v>1.</c:v>
                </c:pt>
              </c:strCache>
            </c:strRef>
          </c:tx>
          <c:spPr>
            <a:solidFill>
              <a:schemeClr val="lt1"/>
            </a:solidFill>
            <a:ln w="25400" cap="flat" cmpd="sng" algn="ctr">
              <a:solidFill>
                <a:schemeClr val="dk1"/>
              </a:solidFill>
              <a:prstDash val="solid"/>
            </a:ln>
            <a:effectLst/>
          </c:spPr>
          <c:invertIfNegative val="0"/>
          <c:dLbls>
            <c:spPr>
              <a:solidFill>
                <a:sysClr val="window" lastClr="FFFFFF"/>
              </a:solidFill>
              <a:ln>
                <a:solidFill>
                  <a:sysClr val="windowText" lastClr="000000">
                    <a:lumMod val="65000"/>
                    <a:lumOff val="35000"/>
                  </a:sysClr>
                </a:solidFill>
              </a:ln>
              <a:effectLst/>
            </c:sp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'Riscos-PIEMONTE'!$AP$10</c:f>
            </c:numRef>
          </c:xVal>
          <c:yVal>
            <c:numRef>
              <c:f>'Riscos-PIEMONTE'!$U$10</c:f>
            </c:numRef>
          </c:yVal>
          <c:bubbleSize>
            <c:numRef>
              <c:f>'Riscos-PIEMONTE'!$AR$10</c:f>
            </c:numRef>
          </c:bubbleSize>
          <c:bubble3D val="0"/>
          <c:extLst>
            <c:ext xmlns:c16="http://schemas.microsoft.com/office/drawing/2014/chart" uri="{C3380CC4-5D6E-409C-BE32-E72D297353CC}">
              <c16:uniqueId val="{00000000-5052-42DF-890D-40C38F6BB1D2}"/>
            </c:ext>
          </c:extLst>
        </c:ser>
        <c:ser>
          <c:idx val="1"/>
          <c:order val="1"/>
          <c:tx>
            <c:strRef>
              <c:f>'Riscos-PIEMONTE'!$B$12</c:f>
              <c:strCache>
                <c:ptCount val="1"/>
                <c:pt idx="0">
                  <c:v>2.</c:v>
                </c:pt>
              </c:strCache>
            </c:strRef>
          </c:tx>
          <c:spPr>
            <a:solidFill>
              <a:schemeClr val="lt1"/>
            </a:solidFill>
            <a:ln w="25400" cap="flat" cmpd="sng" algn="ctr">
              <a:solidFill>
                <a:schemeClr val="dk1"/>
              </a:solidFill>
              <a:prstDash val="solid"/>
            </a:ln>
            <a:effectLst/>
          </c:spPr>
          <c:invertIfNegative val="0"/>
          <c:dLbls>
            <c:spPr>
              <a:solidFill>
                <a:sysClr val="window" lastClr="FFFFFF"/>
              </a:solidFill>
              <a:ln>
                <a:solidFill>
                  <a:sysClr val="windowText" lastClr="000000">
                    <a:lumMod val="65000"/>
                    <a:lumOff val="35000"/>
                  </a:sysClr>
                </a:solidFill>
              </a:ln>
              <a:effectLst/>
            </c:sp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'Riscos-PIEMONTE'!$AP$12</c:f>
            </c:numRef>
          </c:xVal>
          <c:yVal>
            <c:numRef>
              <c:f>'Riscos-PIEMONTE'!$U$12</c:f>
            </c:numRef>
          </c:yVal>
          <c:bubbleSize>
            <c:numRef>
              <c:f>'Riscos-PIEMONTE'!$AR$12</c:f>
            </c:numRef>
          </c:bubbleSize>
          <c:bubble3D val="0"/>
          <c:extLst>
            <c:ext xmlns:c16="http://schemas.microsoft.com/office/drawing/2014/chart" uri="{C3380CC4-5D6E-409C-BE32-E72D297353CC}">
              <c16:uniqueId val="{00000001-5052-42DF-890D-40C38F6BB1D2}"/>
            </c:ext>
          </c:extLst>
        </c:ser>
        <c:ser>
          <c:idx val="2"/>
          <c:order val="2"/>
          <c:tx>
            <c:strRef>
              <c:f>'Riscos-PIEMONTE'!$B$14</c:f>
              <c:strCache>
                <c:ptCount val="1"/>
                <c:pt idx="0">
                  <c:v>3.</c:v>
                </c:pt>
              </c:strCache>
            </c:strRef>
          </c:tx>
          <c:spPr>
            <a:solidFill>
              <a:schemeClr val="lt1"/>
            </a:solidFill>
            <a:ln w="25400" cap="flat" cmpd="sng" algn="ctr">
              <a:solidFill>
                <a:schemeClr val="dk1"/>
              </a:solidFill>
              <a:prstDash val="solid"/>
            </a:ln>
            <a:effectLst/>
          </c:spPr>
          <c:invertIfNegative val="0"/>
          <c:dLbls>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'Riscos-PIEMONTE'!$AP$14</c:f>
            </c:numRef>
          </c:xVal>
          <c:yVal>
            <c:numRef>
              <c:f>'Riscos-PIEMONTE'!$U$14</c:f>
            </c:numRef>
          </c:yVal>
          <c:bubbleSize>
            <c:numRef>
              <c:f>'Riscos-PIEMONTE'!$AR$14</c:f>
            </c:numRef>
          </c:bubbleSize>
          <c:bubble3D val="0"/>
          <c:extLst>
            <c:ext xmlns:c16="http://schemas.microsoft.com/office/drawing/2014/chart" uri="{C3380CC4-5D6E-409C-BE32-E72D297353CC}">
              <c16:uniqueId val="{00000002-5052-42DF-890D-40C38F6BB1D2}"/>
            </c:ext>
          </c:extLst>
        </c:ser>
        <c:ser>
          <c:idx val="3"/>
          <c:order val="3"/>
          <c:tx>
            <c:strRef>
              <c:f>'Riscos-PIEMONTE'!$B$16</c:f>
              <c:strCache>
                <c:ptCount val="1"/>
                <c:pt idx="0">
                  <c:v>4.</c:v>
                </c:pt>
              </c:strCache>
            </c:strRef>
          </c:tx>
          <c:spPr>
            <a:solidFill>
              <a:schemeClr val="lt1"/>
            </a:solidFill>
            <a:ln w="25400" cap="flat" cmpd="sng" algn="ctr">
              <a:solidFill>
                <a:schemeClr val="dk1"/>
              </a:solidFill>
              <a:prstDash val="solid"/>
            </a:ln>
            <a:effectLst/>
          </c:spPr>
          <c:invertIfNegative val="0"/>
          <c:dLbls>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'Riscos-PIEMONTE'!$AP$16</c:f>
            </c:numRef>
          </c:xVal>
          <c:yVal>
            <c:numRef>
              <c:f>'Riscos-PIEMONTE'!$U$16</c:f>
            </c:numRef>
          </c:yVal>
          <c:bubbleSize>
            <c:numRef>
              <c:f>'Riscos-PIEMONTE'!$AR$16</c:f>
            </c:numRef>
          </c:bubbleSize>
          <c:bubble3D val="0"/>
          <c:extLst>
            <c:ext xmlns:c16="http://schemas.microsoft.com/office/drawing/2014/chart" uri="{C3380CC4-5D6E-409C-BE32-E72D297353CC}">
              <c16:uniqueId val="{00000003-5052-42DF-890D-40C38F6BB1D2}"/>
            </c:ext>
          </c:extLst>
        </c:ser>
        <c:ser>
          <c:idx val="4"/>
          <c:order val="4"/>
          <c:tx>
            <c:strRef>
              <c:f>'Riscos-PIEMONTE'!$B$18</c:f>
              <c:strCache>
                <c:ptCount val="1"/>
                <c:pt idx="0">
                  <c:v>5.</c:v>
                </c:pt>
              </c:strCache>
            </c:strRef>
          </c:tx>
          <c:invertIfNegative val="0"/>
          <c:dLbls>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'Riscos-PIEMONTE'!$AP$18</c:f>
            </c:numRef>
          </c:xVal>
          <c:yVal>
            <c:numRef>
              <c:f>'Riscos-PIEMONTE'!$U$18</c:f>
            </c:numRef>
          </c:yVal>
          <c:bubbleSize>
            <c:numRef>
              <c:f>'Riscos-PIEMONTE'!$AR$18</c:f>
            </c:numRef>
          </c:bubbleSize>
          <c:bubble3D val="0"/>
          <c:extLst>
            <c:ext xmlns:c16="http://schemas.microsoft.com/office/drawing/2014/chart" uri="{C3380CC4-5D6E-409C-BE32-E72D297353CC}">
              <c16:uniqueId val="{00000004-5052-42DF-890D-40C38F6BB1D2}"/>
            </c:ext>
          </c:extLst>
        </c:ser>
        <c:ser>
          <c:idx val="5"/>
          <c:order val="5"/>
          <c:tx>
            <c:strRef>
              <c:f>'Riscos-PIEMONTE'!$B$20</c:f>
              <c:strCache>
                <c:ptCount val="1"/>
                <c:pt idx="0">
                  <c:v>6.</c:v>
                </c:pt>
              </c:strCache>
            </c:strRef>
          </c:tx>
          <c:spPr>
            <a:solidFill>
              <a:schemeClr val="lt1"/>
            </a:solidFill>
            <a:ln w="25400" cap="flat" cmpd="sng" algn="ctr">
              <a:solidFill>
                <a:schemeClr val="dk1"/>
              </a:solidFill>
              <a:prstDash val="solid"/>
            </a:ln>
            <a:effectLst/>
          </c:spPr>
          <c:invertIfNegative val="0"/>
          <c:dLbls>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'Riscos-PIEMONTE'!$AP$20</c:f>
            </c:numRef>
          </c:xVal>
          <c:yVal>
            <c:numRef>
              <c:f>'Riscos-PIEMONTE'!$U$20</c:f>
            </c:numRef>
          </c:yVal>
          <c:bubbleSize>
            <c:numRef>
              <c:f>'Riscos-PIEMONTE'!$AR$20</c:f>
            </c:numRef>
          </c:bubbleSize>
          <c:bubble3D val="0"/>
          <c:extLst>
            <c:ext xmlns:c16="http://schemas.microsoft.com/office/drawing/2014/chart" uri="{C3380CC4-5D6E-409C-BE32-E72D297353CC}">
              <c16:uniqueId val="{00000005-5052-42DF-890D-40C38F6BB1D2}"/>
            </c:ext>
          </c:extLst>
        </c:ser>
        <c:ser>
          <c:idx val="6"/>
          <c:order val="6"/>
          <c:tx>
            <c:strRef>
              <c:f>'Riscos-PIEMONTE'!$B$22</c:f>
              <c:strCache>
                <c:ptCount val="1"/>
                <c:pt idx="0">
                  <c:v>7.</c:v>
                </c:pt>
              </c:strCache>
            </c:strRef>
          </c:tx>
          <c:spPr>
            <a:solidFill>
              <a:schemeClr val="lt1"/>
            </a:solidFill>
            <a:ln w="25400" cap="flat" cmpd="sng" algn="ctr">
              <a:solidFill>
                <a:schemeClr val="dk1"/>
              </a:solidFill>
              <a:prstDash val="solid"/>
            </a:ln>
            <a:effectLst/>
          </c:spPr>
          <c:invertIfNegative val="0"/>
          <c:dLbls>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'Riscos-PIEMONTE'!$AP$22</c:f>
            </c:numRef>
          </c:xVal>
          <c:yVal>
            <c:numRef>
              <c:f>'Riscos-PIEMONTE'!$U$22</c:f>
            </c:numRef>
          </c:yVal>
          <c:bubbleSize>
            <c:numRef>
              <c:f>'Riscos-PIEMONTE'!$AR$22</c:f>
            </c:numRef>
          </c:bubbleSize>
          <c:bubble3D val="0"/>
          <c:extLst>
            <c:ext xmlns:c16="http://schemas.microsoft.com/office/drawing/2014/chart" uri="{C3380CC4-5D6E-409C-BE32-E72D297353CC}">
              <c16:uniqueId val="{00000006-5052-42DF-890D-40C38F6BB1D2}"/>
            </c:ext>
          </c:extLst>
        </c:ser>
        <c:ser>
          <c:idx val="7"/>
          <c:order val="7"/>
          <c:tx>
            <c:strRef>
              <c:f>'Riscos-PIEMONTE'!$B$24</c:f>
              <c:strCache>
                <c:ptCount val="1"/>
                <c:pt idx="0">
                  <c:v>8.</c:v>
                </c:pt>
              </c:strCache>
            </c:strRef>
          </c:tx>
          <c:spPr>
            <a:solidFill>
              <a:schemeClr val="lt1"/>
            </a:solidFill>
            <a:ln w="25400" cap="flat" cmpd="sng" algn="ctr">
              <a:solidFill>
                <a:schemeClr val="dk1"/>
              </a:solidFill>
              <a:prstDash val="solid"/>
            </a:ln>
            <a:effectLst/>
          </c:spPr>
          <c:invertIfNegative val="0"/>
          <c:dLbls>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'Riscos-PIEMONTE'!$AP$24</c:f>
            </c:numRef>
          </c:xVal>
          <c:yVal>
            <c:numRef>
              <c:f>'Riscos-PIEMONTE'!$U$24</c:f>
            </c:numRef>
          </c:yVal>
          <c:bubbleSize>
            <c:numRef>
              <c:f>'Riscos-PIEMONTE'!$AR$24</c:f>
            </c:numRef>
          </c:bubbleSize>
          <c:bubble3D val="0"/>
          <c:extLst>
            <c:ext xmlns:c16="http://schemas.microsoft.com/office/drawing/2014/chart" uri="{C3380CC4-5D6E-409C-BE32-E72D297353CC}">
              <c16:uniqueId val="{00000007-5052-42DF-890D-40C38F6BB1D2}"/>
            </c:ext>
          </c:extLst>
        </c:ser>
        <c:ser>
          <c:idx val="8"/>
          <c:order val="8"/>
          <c:tx>
            <c:strRef>
              <c:f>'Riscos-PIEMONTE'!$B$26</c:f>
              <c:strCache>
                <c:ptCount val="1"/>
                <c:pt idx="0">
                  <c:v>9.</c:v>
                </c:pt>
              </c:strCache>
            </c:strRef>
          </c:tx>
          <c:spPr>
            <a:solidFill>
              <a:schemeClr val="lt1"/>
            </a:solidFill>
            <a:ln w="25400" cap="flat" cmpd="sng" algn="ctr">
              <a:solidFill>
                <a:schemeClr val="dk1"/>
              </a:solidFill>
              <a:prstDash val="solid"/>
            </a:ln>
            <a:effectLst/>
          </c:spPr>
          <c:invertIfNegative val="0"/>
          <c:dLbls>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'Riscos-PIEMONTE'!$AP$26</c:f>
            </c:numRef>
          </c:xVal>
          <c:yVal>
            <c:numRef>
              <c:f>'Riscos-PIEMONTE'!$U$26</c:f>
            </c:numRef>
          </c:yVal>
          <c:bubbleSize>
            <c:numRef>
              <c:f>'Riscos-PIEMONTE'!$AR$26</c:f>
            </c:numRef>
          </c:bubbleSize>
          <c:bubble3D val="0"/>
          <c:extLst>
            <c:ext xmlns:c16="http://schemas.microsoft.com/office/drawing/2014/chart" uri="{C3380CC4-5D6E-409C-BE32-E72D297353CC}">
              <c16:uniqueId val="{00000008-5052-42DF-890D-40C38F6BB1D2}"/>
            </c:ext>
          </c:extLst>
        </c:ser>
        <c:ser>
          <c:idx val="9"/>
          <c:order val="9"/>
          <c:tx>
            <c:strRef>
              <c:f>'Riscos-PIEMONTE'!$B$28</c:f>
              <c:strCache>
                <c:ptCount val="1"/>
                <c:pt idx="0">
                  <c:v>10.</c:v>
                </c:pt>
              </c:strCache>
            </c:strRef>
          </c:tx>
          <c:spPr>
            <a:solidFill>
              <a:schemeClr val="lt1"/>
            </a:solidFill>
            <a:ln w="25400" cap="flat" cmpd="sng" algn="ctr">
              <a:solidFill>
                <a:schemeClr val="dk1"/>
              </a:solidFill>
              <a:prstDash val="solid"/>
            </a:ln>
            <a:effectLst/>
          </c:spPr>
          <c:invertIfNegative val="0"/>
          <c:dLbls>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'Riscos-PIEMONTE'!$AP$28</c:f>
            </c:numRef>
          </c:xVal>
          <c:yVal>
            <c:numRef>
              <c:f>'Riscos-PIEMONTE'!$U$28</c:f>
            </c:numRef>
          </c:yVal>
          <c:bubbleSize>
            <c:numRef>
              <c:f>'Riscos-PIEMONTE'!$AR$28</c:f>
            </c:numRef>
          </c:bubbleSize>
          <c:bubble3D val="0"/>
          <c:extLst>
            <c:ext xmlns:c16="http://schemas.microsoft.com/office/drawing/2014/chart" uri="{C3380CC4-5D6E-409C-BE32-E72D297353CC}">
              <c16:uniqueId val="{00000009-5052-42DF-890D-40C38F6BB1D2}"/>
            </c:ext>
          </c:extLst>
        </c:ser>
        <c:ser>
          <c:idx val="10"/>
          <c:order val="10"/>
          <c:tx>
            <c:strRef>
              <c:f>'Riscos-PIEMONTE'!$B$30</c:f>
              <c:strCache>
                <c:ptCount val="1"/>
                <c:pt idx="0">
                  <c:v>11.</c:v>
                </c:pt>
              </c:strCache>
            </c:strRef>
          </c:tx>
          <c:spPr>
            <a:solidFill>
              <a:schemeClr val="lt1"/>
            </a:solidFill>
            <a:ln w="25400" cap="flat" cmpd="sng" algn="ctr">
              <a:solidFill>
                <a:schemeClr val="dk1"/>
              </a:solidFill>
              <a:prstDash val="solid"/>
            </a:ln>
            <a:effectLst/>
          </c:spPr>
          <c:invertIfNegative val="0"/>
          <c:dLbls>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'Riscos-PIEMONTE'!$AP$30</c:f>
            </c:numRef>
          </c:xVal>
          <c:yVal>
            <c:numRef>
              <c:f>'Riscos-PIEMONTE'!$U$30</c:f>
            </c:numRef>
          </c:yVal>
          <c:bubbleSize>
            <c:numRef>
              <c:f>'Riscos-PIEMONTE'!$AR$30</c:f>
            </c:numRef>
          </c:bubbleSize>
          <c:bubble3D val="0"/>
          <c:extLst>
            <c:ext xmlns:c16="http://schemas.microsoft.com/office/drawing/2014/chart" uri="{C3380CC4-5D6E-409C-BE32-E72D297353CC}">
              <c16:uniqueId val="{00000002-BCB3-4646-930A-1BEB2B266CF6}"/>
            </c:ext>
          </c:extLst>
        </c:ser>
        <c:ser>
          <c:idx val="11"/>
          <c:order val="11"/>
          <c:tx>
            <c:strRef>
              <c:f>'Riscos-PIEMONTE'!$B$32</c:f>
              <c:strCache>
                <c:ptCount val="1"/>
                <c:pt idx="0">
                  <c:v>12.</c:v>
                </c:pt>
              </c:strCache>
            </c:strRef>
          </c:tx>
          <c:spPr>
            <a:solidFill>
              <a:schemeClr val="lt1"/>
            </a:solidFill>
            <a:ln w="25400" cap="flat" cmpd="sng" algn="ctr">
              <a:solidFill>
                <a:schemeClr val="dk1"/>
              </a:solidFill>
              <a:prstDash val="solid"/>
            </a:ln>
            <a:effectLst/>
          </c:spPr>
          <c:invertIfNegative val="0"/>
          <c:dLbls>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'Riscos-PIEMONTE'!$AP$32</c:f>
            </c:numRef>
          </c:xVal>
          <c:yVal>
            <c:numRef>
              <c:f>'Riscos-PIEMONTE'!$U$32</c:f>
            </c:numRef>
          </c:yVal>
          <c:bubbleSize>
            <c:numRef>
              <c:f>'Riscos-PIEMONTE'!$AR$32</c:f>
            </c:numRef>
          </c:bubbleSize>
          <c:bubble3D val="0"/>
          <c:extLst>
            <c:ext xmlns:c16="http://schemas.microsoft.com/office/drawing/2014/chart" uri="{C3380CC4-5D6E-409C-BE32-E72D297353CC}">
              <c16:uniqueId val="{00000003-BCB3-4646-930A-1BEB2B266CF6}"/>
            </c:ext>
          </c:extLst>
        </c:ser>
        <c:ser>
          <c:idx val="12"/>
          <c:order val="12"/>
          <c:tx>
            <c:strRef>
              <c:f>'Riscos-PIEMONTE'!$B$34</c:f>
              <c:strCache>
                <c:ptCount val="1"/>
                <c:pt idx="0">
                  <c:v>13.</c:v>
                </c:pt>
              </c:strCache>
            </c:strRef>
          </c:tx>
          <c:spPr>
            <a:solidFill>
              <a:schemeClr val="lt1"/>
            </a:solidFill>
            <a:ln w="25400" cap="flat" cmpd="sng" algn="ctr">
              <a:solidFill>
                <a:schemeClr val="dk1"/>
              </a:solidFill>
              <a:prstDash val="solid"/>
            </a:ln>
            <a:effectLst/>
          </c:spPr>
          <c:invertIfNegative val="0"/>
          <c:dLbls>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'Riscos-PIEMONTE'!$AP$34</c:f>
            </c:numRef>
          </c:xVal>
          <c:yVal>
            <c:numRef>
              <c:f>'Riscos-PIEMONTE'!$U$34</c:f>
            </c:numRef>
          </c:yVal>
          <c:bubbleSize>
            <c:numRef>
              <c:f>'Riscos-PIEMONTE'!$AR$34</c:f>
            </c:numRef>
          </c:bubbleSize>
          <c:bubble3D val="0"/>
          <c:extLst>
            <c:ext xmlns:c16="http://schemas.microsoft.com/office/drawing/2014/chart" uri="{C3380CC4-5D6E-409C-BE32-E72D297353CC}">
              <c16:uniqueId val="{00000004-BCB3-4646-930A-1BEB2B266CF6}"/>
            </c:ext>
          </c:extLst>
        </c:ser>
        <c:ser>
          <c:idx val="13"/>
          <c:order val="13"/>
          <c:tx>
            <c:strRef>
              <c:f>'Riscos-PIEMONTE'!$B$36</c:f>
              <c:strCache>
                <c:ptCount val="1"/>
                <c:pt idx="0">
                  <c:v>14.</c:v>
                </c:pt>
              </c:strCache>
            </c:strRef>
          </c:tx>
          <c:spPr>
            <a:solidFill>
              <a:schemeClr val="lt1"/>
            </a:solidFill>
            <a:ln w="25400" cap="flat" cmpd="sng" algn="ctr">
              <a:solidFill>
                <a:schemeClr val="dk1"/>
              </a:solidFill>
              <a:prstDash val="solid"/>
            </a:ln>
            <a:effectLst/>
          </c:spPr>
          <c:invertIfNegative val="0"/>
          <c:dLbls>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'Riscos-PIEMONTE'!$AP$36</c:f>
            </c:numRef>
          </c:xVal>
          <c:yVal>
            <c:numRef>
              <c:f>'Riscos-PIEMONTE'!$U$36</c:f>
            </c:numRef>
          </c:yVal>
          <c:bubbleSize>
            <c:numRef>
              <c:f>'Riscos-PIEMONTE'!$AR$36</c:f>
            </c:numRef>
          </c:bubbleSize>
          <c:bubble3D val="0"/>
          <c:extLst>
            <c:ext xmlns:c16="http://schemas.microsoft.com/office/drawing/2014/chart" uri="{C3380CC4-5D6E-409C-BE32-E72D297353CC}">
              <c16:uniqueId val="{00000005-BCB3-4646-930A-1BEB2B266CF6}"/>
            </c:ext>
          </c:extLst>
        </c:ser>
        <c:ser>
          <c:idx val="14"/>
          <c:order val="14"/>
          <c:tx>
            <c:strRef>
              <c:f>'Riscos-PIEMONTE'!$B$38</c:f>
              <c:strCache>
                <c:ptCount val="1"/>
                <c:pt idx="0">
                  <c:v>15.</c:v>
                </c:pt>
              </c:strCache>
            </c:strRef>
          </c:tx>
          <c:spPr>
            <a:solidFill>
              <a:schemeClr val="lt1"/>
            </a:solidFill>
            <a:ln w="25400" cap="flat" cmpd="sng" algn="ctr">
              <a:solidFill>
                <a:schemeClr val="dk1"/>
              </a:solidFill>
              <a:prstDash val="solid"/>
            </a:ln>
            <a:effectLst/>
          </c:spPr>
          <c:invertIfNegative val="0"/>
          <c:dLbls>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'Riscos-PIEMONTE'!$AP$38</c:f>
            </c:numRef>
          </c:xVal>
          <c:yVal>
            <c:numRef>
              <c:f>'Riscos-PIEMONTE'!$U$38</c:f>
            </c:numRef>
          </c:yVal>
          <c:bubbleSize>
            <c:numRef>
              <c:f>'Riscos-PIEMONTE'!$AR$38</c:f>
            </c:numRef>
          </c:bubbleSize>
          <c:bubble3D val="0"/>
          <c:extLst>
            <c:ext xmlns:c16="http://schemas.microsoft.com/office/drawing/2014/chart" uri="{C3380CC4-5D6E-409C-BE32-E72D297353CC}">
              <c16:uniqueId val="{00000006-BCB3-4646-930A-1BEB2B266CF6}"/>
            </c:ext>
          </c:extLst>
        </c:ser>
        <c:ser>
          <c:idx val="15"/>
          <c:order val="15"/>
          <c:tx>
            <c:strRef>
              <c:f>'Riscos-PIEMONTE'!$B$40</c:f>
              <c:strCache>
                <c:ptCount val="1"/>
                <c:pt idx="0">
                  <c:v>16.</c:v>
                </c:pt>
              </c:strCache>
            </c:strRef>
          </c:tx>
          <c:invertIfNegative val="0"/>
          <c:dLbls>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'Riscos-PIEMONTE'!$AP$40</c:f>
            </c:numRef>
          </c:xVal>
          <c:yVal>
            <c:numRef>
              <c:f>'Riscos-PIEMONTE'!$U$40</c:f>
            </c:numRef>
          </c:yVal>
          <c:bubbleSize>
            <c:numRef>
              <c:f>'Riscos-PIEMONTE'!$AR$40</c:f>
            </c:numRef>
          </c:bubbleSize>
          <c:bubble3D val="0"/>
          <c:extLst>
            <c:ext xmlns:c16="http://schemas.microsoft.com/office/drawing/2014/chart" uri="{C3380CC4-5D6E-409C-BE32-E72D297353CC}">
              <c16:uniqueId val="{00000001-C2E2-4681-8F45-F6CF4226778C}"/>
            </c:ext>
          </c:extLst>
        </c:ser>
        <c:ser>
          <c:idx val="16"/>
          <c:order val="16"/>
          <c:tx>
            <c:strRef>
              <c:f>'Riscos-PIEMONTE'!$B$42</c:f>
              <c:strCache>
                <c:ptCount val="1"/>
                <c:pt idx="0">
                  <c:v>17.</c:v>
                </c:pt>
              </c:strCache>
            </c:strRef>
          </c:tx>
          <c:invertIfNegative val="0"/>
          <c:dLbls>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'Riscos-PIEMONTE'!$AP$42</c:f>
            </c:numRef>
          </c:xVal>
          <c:yVal>
            <c:numRef>
              <c:f>'Riscos-PIEMONTE'!$U$42</c:f>
            </c:numRef>
          </c:yVal>
          <c:bubbleSize>
            <c:numRef>
              <c:f>'Riscos-PIEMONTE'!$AR$42</c:f>
            </c:numRef>
          </c:bubbleSize>
          <c:bubble3D val="0"/>
          <c:extLst>
            <c:ext xmlns:c16="http://schemas.microsoft.com/office/drawing/2014/chart" uri="{C3380CC4-5D6E-409C-BE32-E72D297353CC}">
              <c16:uniqueId val="{00000002-C2E2-4681-8F45-F6CF4226778C}"/>
            </c:ext>
          </c:extLst>
        </c:ser>
        <c:ser>
          <c:idx val="17"/>
          <c:order val="17"/>
          <c:tx>
            <c:strRef>
              <c:f>'Riscos-PIEMONTE'!$B$44</c:f>
              <c:strCache>
                <c:ptCount val="1"/>
                <c:pt idx="0">
                  <c:v>18.</c:v>
                </c:pt>
              </c:strCache>
            </c:strRef>
          </c:tx>
          <c:invertIfNegative val="0"/>
          <c:dLbls>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'Riscos-PIEMONTE'!$AP$44</c:f>
            </c:numRef>
          </c:xVal>
          <c:yVal>
            <c:numRef>
              <c:f>'Riscos-PIEMONTE'!$U$44</c:f>
            </c:numRef>
          </c:yVal>
          <c:bubbleSize>
            <c:numRef>
              <c:f>'Riscos-PIEMONTE'!$AR$44</c:f>
            </c:numRef>
          </c:bubbleSize>
          <c:bubble3D val="0"/>
          <c:extLst>
            <c:ext xmlns:c16="http://schemas.microsoft.com/office/drawing/2014/chart" uri="{C3380CC4-5D6E-409C-BE32-E72D297353CC}">
              <c16:uniqueId val="{00000003-C2E2-4681-8F45-F6CF4226778C}"/>
            </c:ext>
          </c:extLst>
        </c:ser>
        <c:ser>
          <c:idx val="18"/>
          <c:order val="18"/>
          <c:tx>
            <c:strRef>
              <c:f>'Riscos-PIEMONTE'!$B$46</c:f>
              <c:strCache>
                <c:ptCount val="1"/>
                <c:pt idx="0">
                  <c:v>19.</c:v>
                </c:pt>
              </c:strCache>
            </c:strRef>
          </c:tx>
          <c:invertIfNegative val="0"/>
          <c:dLbls>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'Riscos-PIEMONTE'!$AP$46</c:f>
            </c:numRef>
          </c:xVal>
          <c:yVal>
            <c:numRef>
              <c:f>'Riscos-PIEMONTE'!$U$46</c:f>
            </c:numRef>
          </c:yVal>
          <c:bubbleSize>
            <c:numRef>
              <c:f>'Riscos-PIEMONTE'!$AR$46</c:f>
            </c:numRef>
          </c:bubbleSize>
          <c:bubble3D val="0"/>
          <c:extLst>
            <c:ext xmlns:c16="http://schemas.microsoft.com/office/drawing/2014/chart" uri="{C3380CC4-5D6E-409C-BE32-E72D297353CC}">
              <c16:uniqueId val="{00000004-C2E2-4681-8F45-F6CF4226778C}"/>
            </c:ext>
          </c:extLst>
        </c:ser>
        <c:ser>
          <c:idx val="19"/>
          <c:order val="19"/>
          <c:tx>
            <c:strRef>
              <c:f>'Riscos-PIEMONTE'!$B$48</c:f>
              <c:strCache>
                <c:ptCount val="1"/>
                <c:pt idx="0">
                  <c:v>20.</c:v>
                </c:pt>
              </c:strCache>
            </c:strRef>
          </c:tx>
          <c:invertIfNegative val="0"/>
          <c:dLbls>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'Riscos-PIEMONTE'!$AP$48</c:f>
            </c:numRef>
          </c:xVal>
          <c:yVal>
            <c:numRef>
              <c:f>'Riscos-PIEMONTE'!$U$48</c:f>
            </c:numRef>
          </c:yVal>
          <c:bubbleSize>
            <c:numRef>
              <c:f>'Riscos-PIEMONTE'!$AR$48</c:f>
            </c:numRef>
          </c:bubbleSize>
          <c:bubble3D val="0"/>
          <c:extLst>
            <c:ext xmlns:c16="http://schemas.microsoft.com/office/drawing/2014/chart" uri="{C3380CC4-5D6E-409C-BE32-E72D297353CC}">
              <c16:uniqueId val="{00000005-C2E2-4681-8F45-F6CF4226778C}"/>
            </c:ext>
          </c:extLst>
        </c:ser>
        <c:ser>
          <c:idx val="20"/>
          <c:order val="20"/>
          <c:tx>
            <c:strRef>
              <c:f>'Riscos-PIEMONTE'!$B$50</c:f>
              <c:strCache>
                <c:ptCount val="1"/>
                <c:pt idx="0">
                  <c:v>21.</c:v>
                </c:pt>
              </c:strCache>
            </c:strRef>
          </c:tx>
          <c:invertIfNegative val="0"/>
          <c:dLbls>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'Riscos-PIEMONTE'!$AP$50</c:f>
            </c:numRef>
          </c:xVal>
          <c:yVal>
            <c:numRef>
              <c:f>'Riscos-PIEMONTE'!$U$50</c:f>
            </c:numRef>
          </c:yVal>
          <c:bubbleSize>
            <c:numRef>
              <c:f>'Riscos-PIEMONTE'!$AR$50</c:f>
            </c:numRef>
          </c:bubbleSize>
          <c:bubble3D val="0"/>
          <c:extLst>
            <c:ext xmlns:c16="http://schemas.microsoft.com/office/drawing/2014/chart" uri="{C3380CC4-5D6E-409C-BE32-E72D297353CC}">
              <c16:uniqueId val="{00000006-C2E2-4681-8F45-F6CF4226778C}"/>
            </c:ext>
          </c:extLst>
        </c:ser>
        <c:dLbls>
          <c:showLegendKey val="0"/>
          <c:showVal val="0"/>
          <c:showCatName val="0"/>
          <c:showSerName val="0"/>
          <c:showPercent val="0"/>
          <c:showBubbleSize val="0"/>
        </c:dLbls>
        <c:bubbleScale val="20"/>
        <c:showNegBubbles val="0"/>
        <c:sizeRepresents val="w"/>
        <c:axId val="124339328"/>
        <c:axId val="124340864"/>
      </c:bubbleChart>
      <c:valAx>
        <c:axId val="124339328"/>
        <c:scaling>
          <c:orientation val="minMax"/>
          <c:max val="20"/>
          <c:min val="0"/>
        </c:scaling>
        <c:delete val="1"/>
        <c:axPos val="b"/>
        <c:numFmt formatCode="#,##0" sourceLinked="1"/>
        <c:majorTickMark val="out"/>
        <c:minorTickMark val="none"/>
        <c:tickLblPos val="none"/>
        <c:crossAx val="124340864"/>
        <c:crosses val="autoZero"/>
        <c:crossBetween val="midCat"/>
        <c:majorUnit val="1"/>
      </c:valAx>
      <c:valAx>
        <c:axId val="124340864"/>
        <c:scaling>
          <c:orientation val="minMax"/>
          <c:max val="4"/>
          <c:min val="0"/>
        </c:scaling>
        <c:delete val="1"/>
        <c:axPos val="l"/>
        <c:numFmt formatCode="#,##0" sourceLinked="1"/>
        <c:majorTickMark val="out"/>
        <c:minorTickMark val="none"/>
        <c:tickLblPos val="none"/>
        <c:crossAx val="124339328"/>
        <c:crosses val="autoZero"/>
        <c:crossBetween val="midCat"/>
        <c:majorUnit val="1"/>
      </c:valAx>
      <c:spPr>
        <a:noFill/>
        <a:ln>
          <a:noFill/>
        </a:ln>
        <a:effectLst/>
      </c:spPr>
    </c:plotArea>
    <c:plotVisOnly val="1"/>
    <c:dispBlanksAs val="gap"/>
    <c:showDLblsOverMax val="0"/>
  </c:chart>
  <c:spPr>
    <a:noFill/>
    <a:ln w="9525" cap="flat" cmpd="sng" algn="ctr">
      <a:noFill/>
      <a:round/>
    </a:ln>
    <a:effectLst/>
  </c:spPr>
  <c:txPr>
    <a:bodyPr/>
    <a:lstStyle/>
    <a:p>
      <a:pPr>
        <a:defRPr>
          <a:solidFill>
            <a:sysClr val="windowText" lastClr="000000"/>
          </a:solidFill>
        </a:defRPr>
      </a:pPr>
      <a:endParaRPr lang="pt-BR"/>
    </a:p>
  </c:txPr>
  <c:printSettings>
    <c:headerFooter/>
    <c:pageMargins b="0.78740157499999996" l="0.511811024" r="0.511811024" t="0.78740157499999996" header="0.31496062000000385" footer="0.31496062000000385"/>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emf"/></Relationships>
</file>

<file path=xl/drawings/_rels/drawing5.xml.rels><?xml version="1.0" encoding="UTF-8" standalone="yes"?>
<Relationships xmlns="http://schemas.openxmlformats.org/package/2006/relationships"><Relationship Id="rId1" Type="http://schemas.openxmlformats.org/officeDocument/2006/relationships/image" Target="../media/image2.emf"/></Relationships>
</file>

<file path=xl/drawings/_rels/drawing6.xml.rels><?xml version="1.0" encoding="UTF-8" standalone="yes"?>
<Relationships xmlns="http://schemas.openxmlformats.org/package/2006/relationships"><Relationship Id="rId1" Type="http://schemas.openxmlformats.org/officeDocument/2006/relationships/image" Target="../media/image2.emf"/></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341312</xdr:colOff>
      <xdr:row>0</xdr:row>
      <xdr:rowOff>0</xdr:rowOff>
    </xdr:from>
    <xdr:to>
      <xdr:col>2</xdr:col>
      <xdr:colOff>2260624</xdr:colOff>
      <xdr:row>3</xdr:row>
      <xdr:rowOff>261765</xdr:rowOff>
    </xdr:to>
    <xdr:pic>
      <xdr:nvPicPr>
        <xdr:cNvPr id="2" name="Imagem 1">
          <a:extLst>
            <a:ext uri="{FF2B5EF4-FFF2-40B4-BE49-F238E27FC236}">
              <a16:creationId xmlns:a16="http://schemas.microsoft.com/office/drawing/2014/main" id="{43A50011-E40A-4F93-8397-7EE3ED76CB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5137" y="0"/>
          <a:ext cx="2338412" cy="87136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209550</xdr:colOff>
      <xdr:row>0</xdr:row>
      <xdr:rowOff>0</xdr:rowOff>
    </xdr:from>
    <xdr:to>
      <xdr:col>2</xdr:col>
      <xdr:colOff>2130450</xdr:colOff>
      <xdr:row>3</xdr:row>
      <xdr:rowOff>320503</xdr:rowOff>
    </xdr:to>
    <xdr:pic>
      <xdr:nvPicPr>
        <xdr:cNvPr id="2" name="Imagem 1">
          <a:extLst>
            <a:ext uri="{FF2B5EF4-FFF2-40B4-BE49-F238E27FC236}">
              <a16:creationId xmlns:a16="http://schemas.microsoft.com/office/drawing/2014/main" id="{8F3BF6F6-CBB9-4F4A-9D3E-2E97DE7B2B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33375" y="0"/>
          <a:ext cx="2340000" cy="87295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359834</xdr:colOff>
      <xdr:row>0</xdr:row>
      <xdr:rowOff>0</xdr:rowOff>
    </xdr:from>
    <xdr:to>
      <xdr:col>2</xdr:col>
      <xdr:colOff>2276501</xdr:colOff>
      <xdr:row>3</xdr:row>
      <xdr:rowOff>259120</xdr:rowOff>
    </xdr:to>
    <xdr:pic>
      <xdr:nvPicPr>
        <xdr:cNvPr id="4" name="Imagem 3">
          <a:extLst>
            <a:ext uri="{FF2B5EF4-FFF2-40B4-BE49-F238E27FC236}">
              <a16:creationId xmlns:a16="http://schemas.microsoft.com/office/drawing/2014/main" id="{3A663C49-C3F7-48E5-9A23-B9DCCA07B9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86834" y="0"/>
          <a:ext cx="2340000" cy="87295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939223</xdr:colOff>
      <xdr:row>18</xdr:row>
      <xdr:rowOff>129540</xdr:rowOff>
    </xdr:from>
    <xdr:to>
      <xdr:col>13</xdr:col>
      <xdr:colOff>853440</xdr:colOff>
      <xdr:row>28</xdr:row>
      <xdr:rowOff>135632</xdr:rowOff>
    </xdr:to>
    <xdr:pic>
      <xdr:nvPicPr>
        <xdr:cNvPr id="5" name="Imagem 4">
          <a:extLst>
            <a:ext uri="{FF2B5EF4-FFF2-40B4-BE49-F238E27FC236}">
              <a16:creationId xmlns:a16="http://schemas.microsoft.com/office/drawing/2014/main" id="{DBFDC4FF-66B7-0156-E9EE-0822968239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24683" y="3169920"/>
          <a:ext cx="8265737" cy="15834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939223</xdr:colOff>
      <xdr:row>18</xdr:row>
      <xdr:rowOff>129540</xdr:rowOff>
    </xdr:from>
    <xdr:to>
      <xdr:col>13</xdr:col>
      <xdr:colOff>853440</xdr:colOff>
      <xdr:row>28</xdr:row>
      <xdr:rowOff>135632</xdr:rowOff>
    </xdr:to>
    <xdr:pic>
      <xdr:nvPicPr>
        <xdr:cNvPr id="2" name="Imagem 1">
          <a:extLst>
            <a:ext uri="{FF2B5EF4-FFF2-40B4-BE49-F238E27FC236}">
              <a16:creationId xmlns:a16="http://schemas.microsoft.com/office/drawing/2014/main" id="{BA0CECB8-C455-4D56-93E0-5B373101B8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24683" y="3169920"/>
          <a:ext cx="8265737" cy="15834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939223</xdr:colOff>
      <xdr:row>18</xdr:row>
      <xdr:rowOff>129540</xdr:rowOff>
    </xdr:from>
    <xdr:to>
      <xdr:col>13</xdr:col>
      <xdr:colOff>853440</xdr:colOff>
      <xdr:row>28</xdr:row>
      <xdr:rowOff>135632</xdr:rowOff>
    </xdr:to>
    <xdr:pic>
      <xdr:nvPicPr>
        <xdr:cNvPr id="2" name="Imagem 1">
          <a:extLst>
            <a:ext uri="{FF2B5EF4-FFF2-40B4-BE49-F238E27FC236}">
              <a16:creationId xmlns:a16="http://schemas.microsoft.com/office/drawing/2014/main" id="{8B8F006D-8987-4CBA-B48B-227A5E21E8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24683" y="3169920"/>
          <a:ext cx="8265737" cy="15834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304800</xdr:colOff>
      <xdr:row>0</xdr:row>
      <xdr:rowOff>1</xdr:rowOff>
    </xdr:from>
    <xdr:to>
      <xdr:col>2</xdr:col>
      <xdr:colOff>2225700</xdr:colOff>
      <xdr:row>3</xdr:row>
      <xdr:rowOff>209551</xdr:rowOff>
    </xdr:to>
    <xdr:pic>
      <xdr:nvPicPr>
        <xdr:cNvPr id="4" name="Imagem 3">
          <a:extLst>
            <a:ext uri="{FF2B5EF4-FFF2-40B4-BE49-F238E27FC236}">
              <a16:creationId xmlns:a16="http://schemas.microsoft.com/office/drawing/2014/main" id="{D98B45AC-D99C-40B9-B3D5-8DCC29B6705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12710"/>
        <a:stretch/>
      </xdr:blipFill>
      <xdr:spPr>
        <a:xfrm>
          <a:off x="428625" y="1"/>
          <a:ext cx="2340000" cy="7620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9</xdr:col>
      <xdr:colOff>590550</xdr:colOff>
      <xdr:row>16</xdr:row>
      <xdr:rowOff>133350</xdr:rowOff>
    </xdr:from>
    <xdr:to>
      <xdr:col>11</xdr:col>
      <xdr:colOff>276225</xdr:colOff>
      <xdr:row>21</xdr:row>
      <xdr:rowOff>180975</xdr:rowOff>
    </xdr:to>
    <xdr:sp macro="" textlink="">
      <xdr:nvSpPr>
        <xdr:cNvPr id="2" name="Retângulo 1">
          <a:extLst>
            <a:ext uri="{FF2B5EF4-FFF2-40B4-BE49-F238E27FC236}">
              <a16:creationId xmlns:a16="http://schemas.microsoft.com/office/drawing/2014/main" id="{00000000-0008-0000-0200-000002000000}"/>
            </a:ext>
          </a:extLst>
        </xdr:cNvPr>
        <xdr:cNvSpPr/>
      </xdr:nvSpPr>
      <xdr:spPr>
        <a:xfrm>
          <a:off x="4857750" y="3267075"/>
          <a:ext cx="904875" cy="1000125"/>
        </a:xfrm>
        <a:prstGeom prst="rect">
          <a:avLst/>
        </a:prstGeom>
        <a:solidFill>
          <a:srgbClr val="00B05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6</xdr:col>
      <xdr:colOff>371474</xdr:colOff>
      <xdr:row>16</xdr:row>
      <xdr:rowOff>142875</xdr:rowOff>
    </xdr:from>
    <xdr:to>
      <xdr:col>9</xdr:col>
      <xdr:colOff>590549</xdr:colOff>
      <xdr:row>21</xdr:row>
      <xdr:rowOff>180975</xdr:rowOff>
    </xdr:to>
    <xdr:sp macro="" textlink="">
      <xdr:nvSpPr>
        <xdr:cNvPr id="3" name="Retângulo 2">
          <a:extLst>
            <a:ext uri="{FF2B5EF4-FFF2-40B4-BE49-F238E27FC236}">
              <a16:creationId xmlns:a16="http://schemas.microsoft.com/office/drawing/2014/main" id="{00000000-0008-0000-0200-000003000000}"/>
            </a:ext>
          </a:extLst>
        </xdr:cNvPr>
        <xdr:cNvSpPr/>
      </xdr:nvSpPr>
      <xdr:spPr>
        <a:xfrm>
          <a:off x="2809874" y="3276600"/>
          <a:ext cx="2047875" cy="990600"/>
        </a:xfrm>
        <a:prstGeom prst="rect">
          <a:avLst/>
        </a:prstGeom>
        <a:solidFill>
          <a:srgbClr val="00B05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6</xdr:col>
      <xdr:colOff>371475</xdr:colOff>
      <xdr:row>11</xdr:row>
      <xdr:rowOff>76200</xdr:rowOff>
    </xdr:from>
    <xdr:to>
      <xdr:col>9</xdr:col>
      <xdr:colOff>590550</xdr:colOff>
      <xdr:row>16</xdr:row>
      <xdr:rowOff>142875</xdr:rowOff>
    </xdr:to>
    <xdr:sp macro="" textlink="">
      <xdr:nvSpPr>
        <xdr:cNvPr id="4" name="Retângulo 3">
          <a:extLst>
            <a:ext uri="{FF2B5EF4-FFF2-40B4-BE49-F238E27FC236}">
              <a16:creationId xmlns:a16="http://schemas.microsoft.com/office/drawing/2014/main" id="{00000000-0008-0000-0200-000004000000}"/>
            </a:ext>
          </a:extLst>
        </xdr:cNvPr>
        <xdr:cNvSpPr/>
      </xdr:nvSpPr>
      <xdr:spPr>
        <a:xfrm>
          <a:off x="2809875" y="2228850"/>
          <a:ext cx="2047875" cy="1047750"/>
        </a:xfrm>
        <a:prstGeom prst="rect">
          <a:avLst/>
        </a:prstGeom>
        <a:solidFill>
          <a:srgbClr val="00B05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11</xdr:col>
      <xdr:colOff>257175</xdr:colOff>
      <xdr:row>6</xdr:row>
      <xdr:rowOff>76200</xdr:rowOff>
    </xdr:from>
    <xdr:to>
      <xdr:col>12</xdr:col>
      <xdr:colOff>533400</xdr:colOff>
      <xdr:row>11</xdr:row>
      <xdr:rowOff>95250</xdr:rowOff>
    </xdr:to>
    <xdr:sp macro="" textlink="">
      <xdr:nvSpPr>
        <xdr:cNvPr id="5" name="Retângulo 4">
          <a:extLst>
            <a:ext uri="{FF2B5EF4-FFF2-40B4-BE49-F238E27FC236}">
              <a16:creationId xmlns:a16="http://schemas.microsoft.com/office/drawing/2014/main" id="{00000000-0008-0000-0200-000005000000}"/>
            </a:ext>
          </a:extLst>
        </xdr:cNvPr>
        <xdr:cNvSpPr/>
      </xdr:nvSpPr>
      <xdr:spPr>
        <a:xfrm>
          <a:off x="5743575" y="1228725"/>
          <a:ext cx="885825" cy="1019175"/>
        </a:xfrm>
        <a:prstGeom prst="rect">
          <a:avLst/>
        </a:prstGeom>
        <a:solidFill>
          <a:srgbClr val="FF8C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6</xdr:col>
      <xdr:colOff>371474</xdr:colOff>
      <xdr:row>0</xdr:row>
      <xdr:rowOff>180975</xdr:rowOff>
    </xdr:from>
    <xdr:to>
      <xdr:col>11</xdr:col>
      <xdr:colOff>276225</xdr:colOff>
      <xdr:row>6</xdr:row>
      <xdr:rowOff>85725</xdr:rowOff>
    </xdr:to>
    <xdr:sp macro="" textlink="">
      <xdr:nvSpPr>
        <xdr:cNvPr id="6" name="Retângulo 5">
          <a:extLst>
            <a:ext uri="{FF2B5EF4-FFF2-40B4-BE49-F238E27FC236}">
              <a16:creationId xmlns:a16="http://schemas.microsoft.com/office/drawing/2014/main" id="{00000000-0008-0000-0200-000006000000}"/>
            </a:ext>
          </a:extLst>
        </xdr:cNvPr>
        <xdr:cNvSpPr/>
      </xdr:nvSpPr>
      <xdr:spPr>
        <a:xfrm>
          <a:off x="2809874" y="180975"/>
          <a:ext cx="2952751" cy="1057275"/>
        </a:xfrm>
        <a:prstGeom prst="rect">
          <a:avLst/>
        </a:prstGeom>
        <a:solidFill>
          <a:srgbClr val="FF8C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6</xdr:col>
      <xdr:colOff>371474</xdr:colOff>
      <xdr:row>6</xdr:row>
      <xdr:rowOff>76199</xdr:rowOff>
    </xdr:from>
    <xdr:to>
      <xdr:col>9</xdr:col>
      <xdr:colOff>590549</xdr:colOff>
      <xdr:row>11</xdr:row>
      <xdr:rowOff>95250</xdr:rowOff>
    </xdr:to>
    <xdr:sp macro="" textlink="">
      <xdr:nvSpPr>
        <xdr:cNvPr id="7" name="Retângulo 6">
          <a:extLst>
            <a:ext uri="{FF2B5EF4-FFF2-40B4-BE49-F238E27FC236}">
              <a16:creationId xmlns:a16="http://schemas.microsoft.com/office/drawing/2014/main" id="{00000000-0008-0000-0200-000007000000}"/>
            </a:ext>
          </a:extLst>
        </xdr:cNvPr>
        <xdr:cNvSpPr/>
      </xdr:nvSpPr>
      <xdr:spPr>
        <a:xfrm>
          <a:off x="2809874" y="1228724"/>
          <a:ext cx="2047875" cy="1019176"/>
        </a:xfrm>
        <a:prstGeom prst="rect">
          <a:avLst/>
        </a:prstGeom>
        <a:solidFill>
          <a:srgbClr val="FFFF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9</xdr:col>
      <xdr:colOff>561975</xdr:colOff>
      <xdr:row>6</xdr:row>
      <xdr:rowOff>76200</xdr:rowOff>
    </xdr:from>
    <xdr:to>
      <xdr:col>11</xdr:col>
      <xdr:colOff>257175</xdr:colOff>
      <xdr:row>11</xdr:row>
      <xdr:rowOff>95250</xdr:rowOff>
    </xdr:to>
    <xdr:sp macro="" textlink="">
      <xdr:nvSpPr>
        <xdr:cNvPr id="8" name="Retângulo 7">
          <a:extLst>
            <a:ext uri="{FF2B5EF4-FFF2-40B4-BE49-F238E27FC236}">
              <a16:creationId xmlns:a16="http://schemas.microsoft.com/office/drawing/2014/main" id="{00000000-0008-0000-0200-000008000000}"/>
            </a:ext>
          </a:extLst>
        </xdr:cNvPr>
        <xdr:cNvSpPr/>
      </xdr:nvSpPr>
      <xdr:spPr>
        <a:xfrm>
          <a:off x="4829175" y="1228725"/>
          <a:ext cx="914400" cy="1019175"/>
        </a:xfrm>
        <a:prstGeom prst="rect">
          <a:avLst/>
        </a:prstGeom>
        <a:solidFill>
          <a:srgbClr val="FFFF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11</xdr:col>
      <xdr:colOff>276225</xdr:colOff>
      <xdr:row>11</xdr:row>
      <xdr:rowOff>95250</xdr:rowOff>
    </xdr:from>
    <xdr:to>
      <xdr:col>12</xdr:col>
      <xdr:colOff>533400</xdr:colOff>
      <xdr:row>16</xdr:row>
      <xdr:rowOff>133350</xdr:rowOff>
    </xdr:to>
    <xdr:sp macro="" textlink="">
      <xdr:nvSpPr>
        <xdr:cNvPr id="9" name="Retângulo 8">
          <a:extLst>
            <a:ext uri="{FF2B5EF4-FFF2-40B4-BE49-F238E27FC236}">
              <a16:creationId xmlns:a16="http://schemas.microsoft.com/office/drawing/2014/main" id="{00000000-0008-0000-0200-000009000000}"/>
            </a:ext>
          </a:extLst>
        </xdr:cNvPr>
        <xdr:cNvSpPr/>
      </xdr:nvSpPr>
      <xdr:spPr>
        <a:xfrm>
          <a:off x="5762625" y="2247900"/>
          <a:ext cx="866775" cy="1019175"/>
        </a:xfrm>
        <a:prstGeom prst="rect">
          <a:avLst/>
        </a:prstGeom>
        <a:solidFill>
          <a:srgbClr val="FFFF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9</xdr:col>
      <xdr:colOff>590550</xdr:colOff>
      <xdr:row>11</xdr:row>
      <xdr:rowOff>95250</xdr:rowOff>
    </xdr:from>
    <xdr:to>
      <xdr:col>11</xdr:col>
      <xdr:colOff>333375</xdr:colOff>
      <xdr:row>16</xdr:row>
      <xdr:rowOff>133350</xdr:rowOff>
    </xdr:to>
    <xdr:sp macro="" textlink="">
      <xdr:nvSpPr>
        <xdr:cNvPr id="10" name="Retângulo 9">
          <a:extLst>
            <a:ext uri="{FF2B5EF4-FFF2-40B4-BE49-F238E27FC236}">
              <a16:creationId xmlns:a16="http://schemas.microsoft.com/office/drawing/2014/main" id="{00000000-0008-0000-0200-00000A000000}"/>
            </a:ext>
          </a:extLst>
        </xdr:cNvPr>
        <xdr:cNvSpPr/>
      </xdr:nvSpPr>
      <xdr:spPr>
        <a:xfrm>
          <a:off x="4857750" y="2247900"/>
          <a:ext cx="962025" cy="1019175"/>
        </a:xfrm>
        <a:prstGeom prst="rect">
          <a:avLst/>
        </a:prstGeom>
        <a:solidFill>
          <a:srgbClr val="FFFF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11</xdr:col>
      <xdr:colOff>266700</xdr:colOff>
      <xdr:row>16</xdr:row>
      <xdr:rowOff>95250</xdr:rowOff>
    </xdr:from>
    <xdr:to>
      <xdr:col>12</xdr:col>
      <xdr:colOff>523875</xdr:colOff>
      <xdr:row>21</xdr:row>
      <xdr:rowOff>180975</xdr:rowOff>
    </xdr:to>
    <xdr:sp macro="" textlink="">
      <xdr:nvSpPr>
        <xdr:cNvPr id="11" name="Retângulo 10">
          <a:extLst>
            <a:ext uri="{FF2B5EF4-FFF2-40B4-BE49-F238E27FC236}">
              <a16:creationId xmlns:a16="http://schemas.microsoft.com/office/drawing/2014/main" id="{00000000-0008-0000-0200-00000B000000}"/>
            </a:ext>
          </a:extLst>
        </xdr:cNvPr>
        <xdr:cNvSpPr/>
      </xdr:nvSpPr>
      <xdr:spPr>
        <a:xfrm>
          <a:off x="5753100" y="3228975"/>
          <a:ext cx="866775" cy="1038225"/>
        </a:xfrm>
        <a:prstGeom prst="rect">
          <a:avLst/>
        </a:prstGeom>
        <a:solidFill>
          <a:srgbClr val="FFFF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12</xdr:col>
      <xdr:colOff>523875</xdr:colOff>
      <xdr:row>16</xdr:row>
      <xdr:rowOff>114300</xdr:rowOff>
    </xdr:from>
    <xdr:to>
      <xdr:col>16</xdr:col>
      <xdr:colOff>104775</xdr:colOff>
      <xdr:row>21</xdr:row>
      <xdr:rowOff>180975</xdr:rowOff>
    </xdr:to>
    <xdr:sp macro="" textlink="">
      <xdr:nvSpPr>
        <xdr:cNvPr id="12" name="Retângulo 11">
          <a:extLst>
            <a:ext uri="{FF2B5EF4-FFF2-40B4-BE49-F238E27FC236}">
              <a16:creationId xmlns:a16="http://schemas.microsoft.com/office/drawing/2014/main" id="{00000000-0008-0000-0200-00000C000000}"/>
            </a:ext>
          </a:extLst>
        </xdr:cNvPr>
        <xdr:cNvSpPr/>
      </xdr:nvSpPr>
      <xdr:spPr>
        <a:xfrm>
          <a:off x="6619875" y="3248025"/>
          <a:ext cx="2019300" cy="1019175"/>
        </a:xfrm>
        <a:prstGeom prst="rect">
          <a:avLst/>
        </a:prstGeom>
        <a:solidFill>
          <a:srgbClr val="FF8C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12</xdr:col>
      <xdr:colOff>523875</xdr:colOff>
      <xdr:row>11</xdr:row>
      <xdr:rowOff>95250</xdr:rowOff>
    </xdr:from>
    <xdr:to>
      <xdr:col>16</xdr:col>
      <xdr:colOff>85725</xdr:colOff>
      <xdr:row>16</xdr:row>
      <xdr:rowOff>133350</xdr:rowOff>
    </xdr:to>
    <xdr:sp macro="" textlink="">
      <xdr:nvSpPr>
        <xdr:cNvPr id="13" name="Retângulo 12">
          <a:extLst>
            <a:ext uri="{FF2B5EF4-FFF2-40B4-BE49-F238E27FC236}">
              <a16:creationId xmlns:a16="http://schemas.microsoft.com/office/drawing/2014/main" id="{00000000-0008-0000-0200-00000D000000}"/>
            </a:ext>
          </a:extLst>
        </xdr:cNvPr>
        <xdr:cNvSpPr/>
      </xdr:nvSpPr>
      <xdr:spPr>
        <a:xfrm>
          <a:off x="6619875" y="2247900"/>
          <a:ext cx="2000250" cy="1019175"/>
        </a:xfrm>
        <a:prstGeom prst="rect">
          <a:avLst/>
        </a:prstGeom>
        <a:solidFill>
          <a:srgbClr val="FF8C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11</xdr:col>
      <xdr:colOff>257175</xdr:colOff>
      <xdr:row>0</xdr:row>
      <xdr:rowOff>171450</xdr:rowOff>
    </xdr:from>
    <xdr:to>
      <xdr:col>16</xdr:col>
      <xdr:colOff>95250</xdr:colOff>
      <xdr:row>6</xdr:row>
      <xdr:rowOff>76200</xdr:rowOff>
    </xdr:to>
    <xdr:sp macro="" textlink="">
      <xdr:nvSpPr>
        <xdr:cNvPr id="14" name="Retângulo 13">
          <a:extLst>
            <a:ext uri="{FF2B5EF4-FFF2-40B4-BE49-F238E27FC236}">
              <a16:creationId xmlns:a16="http://schemas.microsoft.com/office/drawing/2014/main" id="{00000000-0008-0000-0200-00000E000000}"/>
            </a:ext>
          </a:extLst>
        </xdr:cNvPr>
        <xdr:cNvSpPr/>
      </xdr:nvSpPr>
      <xdr:spPr>
        <a:xfrm>
          <a:off x="5743575" y="171450"/>
          <a:ext cx="2886075" cy="1057275"/>
        </a:xfrm>
        <a:prstGeom prst="rect">
          <a:avLst/>
        </a:prstGeom>
        <a:solidFill>
          <a:srgbClr val="FF00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solidFill>
              <a:srgbClr val="FF3300"/>
            </a:solidFill>
          </a:endParaRPr>
        </a:p>
      </xdr:txBody>
    </xdr:sp>
    <xdr:clientData/>
  </xdr:twoCellAnchor>
  <xdr:twoCellAnchor>
    <xdr:from>
      <xdr:col>12</xdr:col>
      <xdr:colOff>523875</xdr:colOff>
      <xdr:row>6</xdr:row>
      <xdr:rowOff>76200</xdr:rowOff>
    </xdr:from>
    <xdr:to>
      <xdr:col>16</xdr:col>
      <xdr:colOff>95250</xdr:colOff>
      <xdr:row>11</xdr:row>
      <xdr:rowOff>95250</xdr:rowOff>
    </xdr:to>
    <xdr:sp macro="" textlink="">
      <xdr:nvSpPr>
        <xdr:cNvPr id="15" name="Retângulo 14">
          <a:extLst>
            <a:ext uri="{FF2B5EF4-FFF2-40B4-BE49-F238E27FC236}">
              <a16:creationId xmlns:a16="http://schemas.microsoft.com/office/drawing/2014/main" id="{00000000-0008-0000-0200-00000F000000}"/>
            </a:ext>
          </a:extLst>
        </xdr:cNvPr>
        <xdr:cNvSpPr/>
      </xdr:nvSpPr>
      <xdr:spPr>
        <a:xfrm>
          <a:off x="6619875" y="1228725"/>
          <a:ext cx="2009775" cy="1019175"/>
        </a:xfrm>
        <a:prstGeom prst="rect">
          <a:avLst/>
        </a:prstGeom>
        <a:solidFill>
          <a:srgbClr val="FF00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6</xdr:col>
      <xdr:colOff>371475</xdr:colOff>
      <xdr:row>0</xdr:row>
      <xdr:rowOff>171450</xdr:rowOff>
    </xdr:from>
    <xdr:to>
      <xdr:col>16</xdr:col>
      <xdr:colOff>95250</xdr:colOff>
      <xdr:row>21</xdr:row>
      <xdr:rowOff>180975</xdr:rowOff>
    </xdr:to>
    <xdr:sp macro="" textlink="">
      <xdr:nvSpPr>
        <xdr:cNvPr id="16" name="Retângulo 15">
          <a:extLst>
            <a:ext uri="{FF2B5EF4-FFF2-40B4-BE49-F238E27FC236}">
              <a16:creationId xmlns:a16="http://schemas.microsoft.com/office/drawing/2014/main" id="{00000000-0008-0000-0200-000010000000}"/>
            </a:ext>
          </a:extLst>
        </xdr:cNvPr>
        <xdr:cNvSpPr/>
      </xdr:nvSpPr>
      <xdr:spPr>
        <a:xfrm>
          <a:off x="2809875" y="171450"/>
          <a:ext cx="5819775" cy="4095750"/>
        </a:xfrm>
        <a:prstGeom prst="rect">
          <a:avLst/>
        </a:prstGeom>
        <a:noFill/>
        <a:ln w="254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6</xdr:col>
      <xdr:colOff>361950</xdr:colOff>
      <xdr:row>22</xdr:row>
      <xdr:rowOff>9525</xdr:rowOff>
    </xdr:from>
    <xdr:to>
      <xdr:col>16</xdr:col>
      <xdr:colOff>114300</xdr:colOff>
      <xdr:row>23</xdr:row>
      <xdr:rowOff>95250</xdr:rowOff>
    </xdr:to>
    <xdr:sp macro="" textlink="">
      <xdr:nvSpPr>
        <xdr:cNvPr id="17" name="CaixaDeTexto 16">
          <a:extLst>
            <a:ext uri="{FF2B5EF4-FFF2-40B4-BE49-F238E27FC236}">
              <a16:creationId xmlns:a16="http://schemas.microsoft.com/office/drawing/2014/main" id="{00000000-0008-0000-0200-000011000000}"/>
            </a:ext>
          </a:extLst>
        </xdr:cNvPr>
        <xdr:cNvSpPr txBox="1"/>
      </xdr:nvSpPr>
      <xdr:spPr>
        <a:xfrm>
          <a:off x="2800350" y="4286250"/>
          <a:ext cx="584835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b="0">
              <a:latin typeface="Century Gothic" panose="020B0502020202020204" pitchFamily="34" charset="0"/>
            </a:rPr>
            <a:t>Remota	                     Improvável	      Possível	                                Provável	</a:t>
          </a:r>
        </a:p>
      </xdr:txBody>
    </xdr:sp>
    <xdr:clientData/>
  </xdr:twoCellAnchor>
  <xdr:twoCellAnchor>
    <xdr:from>
      <xdr:col>5</xdr:col>
      <xdr:colOff>180975</xdr:colOff>
      <xdr:row>2</xdr:row>
      <xdr:rowOff>47626</xdr:rowOff>
    </xdr:from>
    <xdr:to>
      <xdr:col>6</xdr:col>
      <xdr:colOff>152400</xdr:colOff>
      <xdr:row>3</xdr:row>
      <xdr:rowOff>180976</xdr:rowOff>
    </xdr:to>
    <xdr:sp macro="" textlink="">
      <xdr:nvSpPr>
        <xdr:cNvPr id="18" name="CaixaDeTexto 17">
          <a:extLst>
            <a:ext uri="{FF2B5EF4-FFF2-40B4-BE49-F238E27FC236}">
              <a16:creationId xmlns:a16="http://schemas.microsoft.com/office/drawing/2014/main" id="{00000000-0008-0000-0200-000012000000}"/>
            </a:ext>
          </a:extLst>
        </xdr:cNvPr>
        <xdr:cNvSpPr txBox="1"/>
      </xdr:nvSpPr>
      <xdr:spPr>
        <a:xfrm>
          <a:off x="2009775" y="428626"/>
          <a:ext cx="581025"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b="0">
              <a:latin typeface="Century Gothic" panose="020B0502020202020204" pitchFamily="34" charset="0"/>
            </a:rPr>
            <a:t>Alto</a:t>
          </a:r>
        </a:p>
      </xdr:txBody>
    </xdr:sp>
    <xdr:clientData/>
  </xdr:twoCellAnchor>
  <xdr:twoCellAnchor>
    <xdr:from>
      <xdr:col>4</xdr:col>
      <xdr:colOff>466725</xdr:colOff>
      <xdr:row>8</xdr:row>
      <xdr:rowOff>1</xdr:rowOff>
    </xdr:from>
    <xdr:to>
      <xdr:col>6</xdr:col>
      <xdr:colOff>285750</xdr:colOff>
      <xdr:row>9</xdr:row>
      <xdr:rowOff>133351</xdr:rowOff>
    </xdr:to>
    <xdr:sp macro="" textlink="">
      <xdr:nvSpPr>
        <xdr:cNvPr id="19" name="CaixaDeTexto 18">
          <a:extLst>
            <a:ext uri="{FF2B5EF4-FFF2-40B4-BE49-F238E27FC236}">
              <a16:creationId xmlns:a16="http://schemas.microsoft.com/office/drawing/2014/main" id="{00000000-0008-0000-0200-000013000000}"/>
            </a:ext>
          </a:extLst>
        </xdr:cNvPr>
        <xdr:cNvSpPr txBox="1"/>
      </xdr:nvSpPr>
      <xdr:spPr>
        <a:xfrm>
          <a:off x="1685925" y="1552576"/>
          <a:ext cx="1038225" cy="333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b="0">
              <a:latin typeface="Century Gothic" panose="020B0502020202020204" pitchFamily="34" charset="0"/>
            </a:rPr>
            <a:t>Sifnificativo</a:t>
          </a:r>
        </a:p>
      </xdr:txBody>
    </xdr:sp>
    <xdr:clientData/>
  </xdr:twoCellAnchor>
  <xdr:twoCellAnchor>
    <xdr:from>
      <xdr:col>4</xdr:col>
      <xdr:colOff>409575</xdr:colOff>
      <xdr:row>13</xdr:row>
      <xdr:rowOff>95251</xdr:rowOff>
    </xdr:from>
    <xdr:to>
      <xdr:col>6</xdr:col>
      <xdr:colOff>228600</xdr:colOff>
      <xdr:row>15</xdr:row>
      <xdr:rowOff>38101</xdr:rowOff>
    </xdr:to>
    <xdr:sp macro="" textlink="">
      <xdr:nvSpPr>
        <xdr:cNvPr id="20" name="CaixaDeTexto 19">
          <a:extLst>
            <a:ext uri="{FF2B5EF4-FFF2-40B4-BE49-F238E27FC236}">
              <a16:creationId xmlns:a16="http://schemas.microsoft.com/office/drawing/2014/main" id="{00000000-0008-0000-0200-000014000000}"/>
            </a:ext>
          </a:extLst>
        </xdr:cNvPr>
        <xdr:cNvSpPr txBox="1"/>
      </xdr:nvSpPr>
      <xdr:spPr>
        <a:xfrm>
          <a:off x="1628775" y="2647951"/>
          <a:ext cx="1038225" cy="333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b="0">
              <a:latin typeface="Century Gothic" panose="020B0502020202020204" pitchFamily="34" charset="0"/>
            </a:rPr>
            <a:t>Moderado</a:t>
          </a:r>
        </a:p>
      </xdr:txBody>
    </xdr:sp>
    <xdr:clientData/>
  </xdr:twoCellAnchor>
  <xdr:twoCellAnchor>
    <xdr:from>
      <xdr:col>5</xdr:col>
      <xdr:colOff>38101</xdr:colOff>
      <xdr:row>17</xdr:row>
      <xdr:rowOff>152401</xdr:rowOff>
    </xdr:from>
    <xdr:to>
      <xdr:col>6</xdr:col>
      <xdr:colOff>57151</xdr:colOff>
      <xdr:row>19</xdr:row>
      <xdr:rowOff>95251</xdr:rowOff>
    </xdr:to>
    <xdr:sp macro="" textlink="">
      <xdr:nvSpPr>
        <xdr:cNvPr id="21" name="CaixaDeTexto 20">
          <a:extLst>
            <a:ext uri="{FF2B5EF4-FFF2-40B4-BE49-F238E27FC236}">
              <a16:creationId xmlns:a16="http://schemas.microsoft.com/office/drawing/2014/main" id="{00000000-0008-0000-0200-000015000000}"/>
            </a:ext>
          </a:extLst>
        </xdr:cNvPr>
        <xdr:cNvSpPr txBox="1"/>
      </xdr:nvSpPr>
      <xdr:spPr>
        <a:xfrm>
          <a:off x="1866901" y="3476626"/>
          <a:ext cx="628650"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b="0">
              <a:latin typeface="Century Gothic" panose="020B0502020202020204" pitchFamily="34" charset="0"/>
            </a:rPr>
            <a:t>Baixo</a:t>
          </a:r>
        </a:p>
      </xdr:txBody>
    </xdr:sp>
    <xdr:clientData/>
  </xdr:twoCellAnchor>
  <xdr:twoCellAnchor>
    <xdr:from>
      <xdr:col>10</xdr:col>
      <xdr:colOff>38101</xdr:colOff>
      <xdr:row>24</xdr:row>
      <xdr:rowOff>104776</xdr:rowOff>
    </xdr:from>
    <xdr:to>
      <xdr:col>13</xdr:col>
      <xdr:colOff>133351</xdr:colOff>
      <xdr:row>26</xdr:row>
      <xdr:rowOff>47626</xdr:rowOff>
    </xdr:to>
    <xdr:sp macro="" textlink="">
      <xdr:nvSpPr>
        <xdr:cNvPr id="22" name="CaixaDeTexto 21">
          <a:extLst>
            <a:ext uri="{FF2B5EF4-FFF2-40B4-BE49-F238E27FC236}">
              <a16:creationId xmlns:a16="http://schemas.microsoft.com/office/drawing/2014/main" id="{00000000-0008-0000-0200-000016000000}"/>
            </a:ext>
          </a:extLst>
        </xdr:cNvPr>
        <xdr:cNvSpPr txBox="1"/>
      </xdr:nvSpPr>
      <xdr:spPr>
        <a:xfrm>
          <a:off x="4914901" y="4762501"/>
          <a:ext cx="19240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t-BR" sz="1800" b="1">
              <a:latin typeface="Century Gothic" panose="020B0502020202020204" pitchFamily="34" charset="0"/>
            </a:rPr>
            <a:t>PROBABILIDADE</a:t>
          </a:r>
        </a:p>
      </xdr:txBody>
    </xdr:sp>
    <xdr:clientData/>
  </xdr:twoCellAnchor>
  <xdr:twoCellAnchor>
    <xdr:from>
      <xdr:col>3</xdr:col>
      <xdr:colOff>581026</xdr:colOff>
      <xdr:row>5</xdr:row>
      <xdr:rowOff>114301</xdr:rowOff>
    </xdr:from>
    <xdr:to>
      <xdr:col>4</xdr:col>
      <xdr:colOff>295276</xdr:colOff>
      <xdr:row>15</xdr:row>
      <xdr:rowOff>133351</xdr:rowOff>
    </xdr:to>
    <xdr:sp macro="" textlink="">
      <xdr:nvSpPr>
        <xdr:cNvPr id="23" name="CaixaDeTexto 22">
          <a:extLst>
            <a:ext uri="{FF2B5EF4-FFF2-40B4-BE49-F238E27FC236}">
              <a16:creationId xmlns:a16="http://schemas.microsoft.com/office/drawing/2014/main" id="{00000000-0008-0000-0200-000017000000}"/>
            </a:ext>
          </a:extLst>
        </xdr:cNvPr>
        <xdr:cNvSpPr txBox="1"/>
      </xdr:nvSpPr>
      <xdr:spPr>
        <a:xfrm rot="16200000">
          <a:off x="352426" y="1914526"/>
          <a:ext cx="20002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t-BR" sz="1800" b="1">
              <a:latin typeface="Century Gothic" panose="020B0502020202020204" pitchFamily="34" charset="0"/>
            </a:rPr>
            <a:t>IMPACTO</a:t>
          </a:r>
        </a:p>
      </xdr:txBody>
    </xdr:sp>
    <xdr:clientData/>
  </xdr:twoCellAnchor>
  <xdr:twoCellAnchor>
    <xdr:from>
      <xdr:col>6</xdr:col>
      <xdr:colOff>133349</xdr:colOff>
      <xdr:row>0</xdr:row>
      <xdr:rowOff>76200</xdr:rowOff>
    </xdr:from>
    <xdr:to>
      <xdr:col>16</xdr:col>
      <xdr:colOff>323849</xdr:colOff>
      <xdr:row>23</xdr:row>
      <xdr:rowOff>85725</xdr:rowOff>
    </xdr:to>
    <xdr:graphicFrame macro="">
      <xdr:nvGraphicFramePr>
        <xdr:cNvPr id="27" name="Gráfico 26">
          <a:extLst>
            <a:ext uri="{FF2B5EF4-FFF2-40B4-BE49-F238E27FC236}">
              <a16:creationId xmlns:a16="http://schemas.microsoft.com/office/drawing/2014/main" id="{00000000-0008-0000-02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201083</xdr:colOff>
      <xdr:row>1</xdr:row>
      <xdr:rowOff>0</xdr:rowOff>
    </xdr:from>
    <xdr:to>
      <xdr:col>3</xdr:col>
      <xdr:colOff>158749</xdr:colOff>
      <xdr:row>4</xdr:row>
      <xdr:rowOff>148166</xdr:rowOff>
    </xdr:to>
    <xdr:sp macro="" textlink="">
      <xdr:nvSpPr>
        <xdr:cNvPr id="25" name="Retângulo 24">
          <a:extLst>
            <a:ext uri="{FF2B5EF4-FFF2-40B4-BE49-F238E27FC236}">
              <a16:creationId xmlns:a16="http://schemas.microsoft.com/office/drawing/2014/main" id="{00000000-0008-0000-0200-000019000000}"/>
            </a:ext>
          </a:extLst>
        </xdr:cNvPr>
        <xdr:cNvSpPr/>
      </xdr:nvSpPr>
      <xdr:spPr>
        <a:xfrm>
          <a:off x="201083" y="190500"/>
          <a:ext cx="1799166" cy="719666"/>
        </a:xfrm>
        <a:prstGeom prst="rect">
          <a:avLst/>
        </a:prstGeom>
        <a:solidFill>
          <a:schemeClr val="bg1"/>
        </a:solidFill>
      </xdr:spPr>
      <xdr:style>
        <a:lnRef idx="1">
          <a:schemeClr val="dk1"/>
        </a:lnRef>
        <a:fillRef idx="3">
          <a:schemeClr val="dk1"/>
        </a:fillRef>
        <a:effectRef idx="2">
          <a:schemeClr val="dk1"/>
        </a:effectRef>
        <a:fontRef idx="minor">
          <a:schemeClr val="lt1"/>
        </a:fontRef>
      </xdr:style>
      <xdr:txBody>
        <a:bodyPr vertOverflow="clip" rtlCol="0" anchor="ctr"/>
        <a:lstStyle/>
        <a:p>
          <a:pPr algn="ctr"/>
          <a:r>
            <a:rPr lang="pt-BR" sz="1000" b="1">
              <a:solidFill>
                <a:sysClr val="windowText" lastClr="000000"/>
              </a:solidFill>
              <a:latin typeface="Arial" pitchFamily="34" charset="0"/>
              <a:cs typeface="Arial" pitchFamily="34" charset="0"/>
            </a:rPr>
            <a:t>Observação:</a:t>
          </a:r>
          <a:r>
            <a:rPr lang="pt-BR" sz="1000" b="1" baseline="0">
              <a:solidFill>
                <a:sysClr val="windowText" lastClr="000000"/>
              </a:solidFill>
              <a:latin typeface="Arial" pitchFamily="34" charset="0"/>
              <a:cs typeface="Arial" pitchFamily="34" charset="0"/>
            </a:rPr>
            <a:t> </a:t>
          </a:r>
          <a:r>
            <a:rPr lang="pt-BR" sz="1000" b="0" baseline="0">
              <a:solidFill>
                <a:sysClr val="windowText" lastClr="000000"/>
              </a:solidFill>
              <a:latin typeface="Arial" pitchFamily="34" charset="0"/>
              <a:cs typeface="Arial" pitchFamily="34" charset="0"/>
            </a:rPr>
            <a:t>Este gráfico será exibido corretamente quando a versão do Officce for 2007 ou posterior.</a:t>
          </a:r>
          <a:endParaRPr lang="pt-BR" sz="1000" b="0">
            <a:solidFill>
              <a:sysClr val="windowText" lastClr="000000"/>
            </a:solidFill>
            <a:latin typeface="Arial" pitchFamily="34" charset="0"/>
            <a:cs typeface="Arial" pitchFamily="34" charset="0"/>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claudionor.pedroso/AppData/Local/Microsoft/Windows/INetCache/Content.Outlook/DXPAF6JO/Gest&#227;o%20de%20Risco%20e%20Oportunidades%20-%20CANTU.xlsx" TargetMode="External"/><Relationship Id="rId1" Type="http://schemas.openxmlformats.org/officeDocument/2006/relationships/externalLinkPath" Target="/Users/claudionor.pedroso/AppData/Local/Microsoft/Windows/INetCache/Content.Outlook/DXPAF6JO/Gest&#227;o%20de%20Risco%20e%20Oportunidades%20-%20CANTU.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4%20-%20Comercial%20de%20Engenharia/04%20-%20Or&#231;amentos/1_Obras/TE0068_GLB_Partilha_2025/03_Or&#231;amentos/02_Preliminar/Planilha%20Or&#231;amentaria%20Preliminar_GLB_Partilha_R10_PMG_Cliente.xlsx" TargetMode="External"/><Relationship Id="rId2" Type="http://schemas.openxmlformats.org/officeDocument/2006/relationships/externalLinkPath" Target="file:///N:\4%20-%20Comercial%20de%20Engenharia\04%20-%20Or&#231;amentos\1_Obras\TE0068_GLB_Partilha_2025\03_Or&#231;amentos\02_Preliminar\Planilha%20Or&#231;amentaria%20Preliminar_GLB_Partilha_R10_PMG_Cliente.xlsx" TargetMode="External"/><Relationship Id="rId1" Type="http://schemas.openxmlformats.org/officeDocument/2006/relationships/externalLinkPath" Target="/4%20-%20Comercial%20de%20Engenharia/04%20-%20Or&#231;amentos/1_Obras/TE0068_GLB_Partilha_2025/03_Or&#231;amentos/02_Preliminar/Planilha%20Or&#231;amentaria%20Preliminar_GLB_Partilha_R10_PMG_Cliente.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piemonteconstrutora-my.sharepoint.com/personal/kamilla_assumpcao_piemonte_com_br/Documents/&#193;rea%20de%20Trabalho/DRE%20Eng%202026%20-%20R02_ANALISES.xlsx" TargetMode="External"/><Relationship Id="rId1" Type="http://schemas.openxmlformats.org/officeDocument/2006/relationships/externalLinkPath" Target="https://piemonteconstrutora-my.sharepoint.com/personal/kamilla_assumpcao_piemonte_com_br/Documents/&#193;rea%20de%20Trabalho/DRE%20Eng%202026%20-%20R02_ANALIS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iscos-CANTU"/>
      <sheetName val="Impacto (legenda)"/>
      <sheetName val="Probabilidade (legenda)"/>
      <sheetName val="Ações-Riscos-CANTU"/>
      <sheetName val=" Aval.Oportunidades-CANTU"/>
      <sheetName val="Condição de Exequibilidade"/>
      <sheetName val="Ações - Oportunidades-CANTU"/>
      <sheetName val="Estratégias"/>
      <sheetName val="Classificação"/>
      <sheetName val="Gráfico"/>
    </sheetNames>
    <sheetDataSet>
      <sheetData sheetId="0">
        <row r="10">
          <cell r="B10" t="str">
            <v>1.</v>
          </cell>
          <cell r="C10" t="str">
            <v>Comercial - Vacância</v>
          </cell>
          <cell r="AS10" t="str">
            <v>Administrável</v>
          </cell>
        </row>
        <row r="12">
          <cell r="B12" t="str">
            <v>2.</v>
          </cell>
          <cell r="C12" t="str">
            <v xml:space="preserve">Eventos de Sinistros em Imóveis </v>
          </cell>
          <cell r="AS12" t="str">
            <v>Administrável</v>
          </cell>
        </row>
        <row r="14">
          <cell r="B14" t="str">
            <v>3.</v>
          </cell>
          <cell r="C14" t="str">
            <v>Novos Negócios - Aquisição de Imóveis</v>
          </cell>
          <cell r="AS14" t="str">
            <v>Administrável</v>
          </cell>
        </row>
        <row r="16">
          <cell r="B16" t="str">
            <v>4.</v>
          </cell>
          <cell r="C16" t="str">
            <v>Novos Negócios - Definição do Produto</v>
          </cell>
          <cell r="AS16" t="str">
            <v>Administrável</v>
          </cell>
        </row>
        <row r="18">
          <cell r="B18" t="str">
            <v>5.</v>
          </cell>
          <cell r="C18" t="str">
            <v>Assistência Técnica - Conservação dos Imóveis</v>
          </cell>
          <cell r="AS18" t="str">
            <v>Administrável</v>
          </cell>
        </row>
        <row r="20">
          <cell r="B20" t="str">
            <v>6.</v>
          </cell>
          <cell r="C20" t="str">
            <v>Administrativo - Inadimplência</v>
          </cell>
          <cell r="AS20" t="str">
            <v>Administrável</v>
          </cell>
        </row>
        <row r="22">
          <cell r="B22" t="str">
            <v>7.</v>
          </cell>
          <cell r="C22" t="str">
            <v>Redução de faturamento em decorrência de Pandemias "Covid-19"</v>
          </cell>
          <cell r="AS22" t="str">
            <v>Administrável</v>
          </cell>
        </row>
        <row r="24">
          <cell r="B24" t="str">
            <v>8.</v>
          </cell>
          <cell r="AS24" t="str">
            <v/>
          </cell>
        </row>
        <row r="26">
          <cell r="B26" t="str">
            <v>9.</v>
          </cell>
          <cell r="AS26" t="str">
            <v/>
          </cell>
        </row>
        <row r="28">
          <cell r="B28" t="str">
            <v>10.</v>
          </cell>
          <cell r="AS28" t="str">
            <v/>
          </cell>
        </row>
        <row r="30">
          <cell r="B30" t="str">
            <v>11.</v>
          </cell>
          <cell r="AS30" t="str">
            <v/>
          </cell>
        </row>
        <row r="32">
          <cell r="B32" t="str">
            <v>12.</v>
          </cell>
          <cell r="AS32" t="str">
            <v/>
          </cell>
        </row>
        <row r="34">
          <cell r="B34" t="str">
            <v>13.</v>
          </cell>
          <cell r="AS34" t="str">
            <v/>
          </cell>
        </row>
        <row r="36">
          <cell r="B36" t="str">
            <v>14.</v>
          </cell>
          <cell r="AS36" t="str">
            <v/>
          </cell>
        </row>
        <row r="38">
          <cell r="B38" t="str">
            <v>15.</v>
          </cell>
          <cell r="AS38" t="str">
            <v/>
          </cell>
        </row>
        <row r="40">
          <cell r="B40" t="str">
            <v>16.</v>
          </cell>
          <cell r="AS40" t="str">
            <v/>
          </cell>
        </row>
        <row r="42">
          <cell r="B42" t="str">
            <v>17.</v>
          </cell>
          <cell r="AS42" t="str">
            <v/>
          </cell>
        </row>
        <row r="44">
          <cell r="B44" t="str">
            <v>18.</v>
          </cell>
          <cell r="AS44" t="str">
            <v/>
          </cell>
        </row>
        <row r="46">
          <cell r="B46" t="str">
            <v>19.</v>
          </cell>
          <cell r="AS46" t="str">
            <v/>
          </cell>
        </row>
        <row r="48">
          <cell r="B48" t="str">
            <v>20.</v>
          </cell>
          <cell r="AS48" t="str">
            <v/>
          </cell>
        </row>
      </sheetData>
      <sheetData sheetId="1"/>
      <sheetData sheetId="2"/>
      <sheetData sheetId="3"/>
      <sheetData sheetId="4">
        <row r="10">
          <cell r="C10" t="str">
            <v>Expansão/aumento de faturamento na captação de  Novos Negocios</v>
          </cell>
        </row>
      </sheetData>
      <sheetData sheetId="5"/>
      <sheetData sheetId="6"/>
      <sheetData sheetId="7">
        <row r="2">
          <cell r="A2" t="str">
            <v>Prevenir</v>
          </cell>
          <cell r="D2" t="str">
            <v>Explorar</v>
          </cell>
        </row>
        <row r="3">
          <cell r="A3" t="str">
            <v>Transferir</v>
          </cell>
          <cell r="D3" t="str">
            <v>Melhorar</v>
          </cell>
        </row>
        <row r="4">
          <cell r="A4" t="str">
            <v>Mitigar</v>
          </cell>
          <cell r="D4" t="str">
            <v>Compartilhar</v>
          </cell>
        </row>
        <row r="5">
          <cell r="A5" t="str">
            <v>Aceitar</v>
          </cell>
          <cell r="D5" t="str">
            <v>Aceitar</v>
          </cell>
        </row>
      </sheetData>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RELIMINAR"/>
      <sheetName val="LUMINOTÉCNICO"/>
      <sheetName val="PORCELANATO"/>
      <sheetName val="LOUÇAS E METAIS"/>
      <sheetName val="LISTA PROJETOS"/>
      <sheetName val="PLANEJAMENTO"/>
      <sheetName val="Relat Dúvidas"/>
      <sheetName val="Relat Dúvidas-IMAGEM"/>
      <sheetName val="Relat Dúvidas-Imagem Partilha"/>
    </sheetNames>
    <sheetDataSet>
      <sheetData sheetId="0">
        <row r="180">
          <cell r="I180">
            <v>14132.39</v>
          </cell>
        </row>
        <row r="181">
          <cell r="I181">
            <v>20618.419999999998</v>
          </cell>
        </row>
        <row r="182">
          <cell r="I182">
            <v>5279.04</v>
          </cell>
        </row>
        <row r="183">
          <cell r="I183">
            <v>22221.88</v>
          </cell>
        </row>
        <row r="185">
          <cell r="I185">
            <v>11328.8</v>
          </cell>
        </row>
        <row r="187">
          <cell r="I187">
            <v>10633.68</v>
          </cell>
        </row>
        <row r="189">
          <cell r="I189">
            <v>8425.1299999999992</v>
          </cell>
        </row>
        <row r="203">
          <cell r="I203">
            <v>39303.51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RE Geral"/>
      <sheetName val="DRE Eng"/>
      <sheetName val="DRE Loc"/>
      <sheetName val="DRE Arq"/>
      <sheetName val="DRE Serr"/>
      <sheetName val="FC Geral"/>
      <sheetName val="FC Eng + Ass Téc"/>
      <sheetName val="FC Loc"/>
      <sheetName val="Base Desp folha"/>
      <sheetName val="Ass Tec Receita"/>
      <sheetName val="Ass Tec"/>
      <sheetName val="MO"/>
      <sheetName val="Taxa Adm"/>
    </sheetNames>
    <sheetDataSet>
      <sheetData sheetId="0">
        <row r="23">
          <cell r="U23">
            <v>0.34650530570409194</v>
          </cell>
          <cell r="W23">
            <v>0.23819261790760327</v>
          </cell>
        </row>
      </sheetData>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H5" dT="2025-07-17T12:24:16.68" personId="{00000000-0000-0000-0000-000000000000}" id="{015411E4-D186-43CB-8EAC-92BC700392D8}">
    <text>Sem dividir por 0,8</text>
  </threadedComment>
</ThreadedComments>
</file>

<file path=xl/threadedComments/threadedComment2.xml><?xml version="1.0" encoding="utf-8"?>
<ThreadedComments xmlns="http://schemas.microsoft.com/office/spreadsheetml/2018/threadedcomments" xmlns:x="http://schemas.openxmlformats.org/spreadsheetml/2006/main">
  <threadedComment ref="H5" dT="2025-07-17T12:24:16.68" personId="{00000000-0000-0000-0000-000000000000}" id="{613C73D3-3EAA-4FF0-9805-C95BC353D179}">
    <text>Sem dividir por 0,8</text>
  </threadedComment>
</ThreadedComments>
</file>

<file path=xl/threadedComments/threadedComment3.xml><?xml version="1.0" encoding="utf-8"?>
<ThreadedComments xmlns="http://schemas.microsoft.com/office/spreadsheetml/2018/threadedcomments" xmlns:x="http://schemas.openxmlformats.org/spreadsheetml/2006/main">
  <threadedComment ref="H5" dT="2025-07-17T12:24:16.68" personId="{00000000-0000-0000-0000-000000000000}" id="{BDF5BCC8-91FE-4887-92B4-A0F79F31DBDB}">
    <text>Sem dividir por 0,8</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4.xml"/><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5.xml"/><Relationship Id="rId4" Type="http://schemas.microsoft.com/office/2017/10/relationships/threadedComment" Target="../threadedComments/threadedComment2.xml"/></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6.xml"/><Relationship Id="rId4" Type="http://schemas.microsoft.com/office/2017/10/relationships/threadedComment" Target="../threadedComments/threadedComment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7.xml"/><Relationship Id="rId1" Type="http://schemas.openxmlformats.org/officeDocument/2006/relationships/printerSettings" Target="../printerSettings/printerSettings11.bin"/><Relationship Id="rId4" Type="http://schemas.openxmlformats.org/officeDocument/2006/relationships/comments" Target="../comments5.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BC763-818E-4FD9-9FEF-50454DC0A655}">
  <sheetPr>
    <pageSetUpPr fitToPage="1"/>
  </sheetPr>
  <dimension ref="B1:BD52"/>
  <sheetViews>
    <sheetView showGridLines="0" zoomScale="120" zoomScaleNormal="120" workbookViewId="0">
      <pane xSplit="4" ySplit="9" topLeftCell="Y10" activePane="bottomRight" state="frozen"/>
      <selection pane="topRight" activeCell="G1" sqref="G1"/>
      <selection pane="bottomLeft" activeCell="A8" sqref="A8"/>
      <selection pane="bottomRight" activeCell="AM10" sqref="AM10"/>
    </sheetView>
  </sheetViews>
  <sheetFormatPr defaultColWidth="9.109375" defaultRowHeight="13.8" x14ac:dyDescent="0.3"/>
  <cols>
    <col min="1" max="1" width="1.88671875" style="1" customWidth="1"/>
    <col min="2" max="2" width="6.33203125" style="1" customWidth="1"/>
    <col min="3" max="3" width="42.5546875" style="46" bestFit="1" customWidth="1"/>
    <col min="4" max="4" width="0.109375" style="2" customWidth="1"/>
    <col min="5" max="5" width="11.6640625" style="2" customWidth="1"/>
    <col min="6" max="6" width="2.33203125" style="2" hidden="1" customWidth="1"/>
    <col min="7" max="7" width="2" style="2" hidden="1" customWidth="1"/>
    <col min="8" max="8" width="10.33203125" style="2" customWidth="1"/>
    <col min="9" max="10" width="3" style="2" hidden="1" customWidth="1"/>
    <col min="11" max="11" width="10.109375" style="2" customWidth="1"/>
    <col min="12" max="12" width="3" style="2" hidden="1" customWidth="1"/>
    <col min="13" max="13" width="2.44140625" style="2" hidden="1" customWidth="1"/>
    <col min="14" max="14" width="15.5546875" style="2" customWidth="1"/>
    <col min="15" max="15" width="3.88671875" style="2" hidden="1" customWidth="1"/>
    <col min="16" max="16" width="2" style="2" hidden="1" customWidth="1"/>
    <col min="17" max="17" width="10" style="2" customWidth="1"/>
    <col min="18" max="18" width="2" style="2" hidden="1" customWidth="1"/>
    <col min="19" max="19" width="3.33203125" style="2" hidden="1" customWidth="1"/>
    <col min="20" max="20" width="1.44140625" style="118" hidden="1" customWidth="1"/>
    <col min="21" max="21" width="2.6640625" style="118" hidden="1" customWidth="1"/>
    <col min="22" max="22" width="2.109375" style="11" customWidth="1"/>
    <col min="23" max="24" width="10.6640625" style="2" customWidth="1"/>
    <col min="25" max="25" width="11.6640625" style="2" customWidth="1"/>
    <col min="26" max="26" width="10.5546875" style="2" customWidth="1"/>
    <col min="27" max="27" width="3.33203125" style="2" hidden="1" customWidth="1"/>
    <col min="28" max="28" width="2.5546875" style="7" customWidth="1"/>
    <col min="29" max="30" width="9.6640625" style="2" customWidth="1"/>
    <col min="31" max="31" width="9.5546875" style="2" customWidth="1"/>
    <col min="32" max="32" width="3.5546875" style="2" hidden="1" customWidth="1"/>
    <col min="33" max="33" width="3.33203125" style="7" customWidth="1"/>
    <col min="34" max="37" width="7" style="2" customWidth="1"/>
    <col min="38" max="38" width="7.33203125" style="2" customWidth="1"/>
    <col min="39" max="39" width="9.109375" style="2" customWidth="1"/>
    <col min="40" max="40" width="3" style="2" hidden="1" customWidth="1"/>
    <col min="41" max="41" width="2.33203125" style="121" customWidth="1"/>
    <col min="42" max="42" width="2" style="118" hidden="1" customWidth="1"/>
    <col min="43" max="43" width="2.44140625" style="118" hidden="1" customWidth="1"/>
    <col min="44" max="44" width="3.88671875" style="118" hidden="1" customWidth="1"/>
    <col min="45" max="45" width="17.6640625" style="1" customWidth="1"/>
    <col min="46" max="46" width="1" style="59" customWidth="1"/>
    <col min="47" max="47" width="17.6640625" style="1" customWidth="1"/>
    <col min="48" max="48" width="5.109375" style="184" customWidth="1"/>
    <col min="49" max="49" width="0.88671875" style="3" customWidth="1"/>
    <col min="50" max="51" width="12.109375" style="35" hidden="1" customWidth="1"/>
    <col min="52" max="52" width="11.5546875" style="35" hidden="1" customWidth="1"/>
    <col min="53" max="53" width="11.33203125" style="35" hidden="1" customWidth="1"/>
    <col min="54" max="54" width="9.109375" style="1"/>
    <col min="55" max="55" width="9.109375" style="3"/>
    <col min="56" max="16384" width="9.109375" style="1"/>
  </cols>
  <sheetData>
    <row r="1" spans="2:56" ht="21.75" customHeight="1" x14ac:dyDescent="0.3">
      <c r="B1" s="353"/>
      <c r="C1" s="354"/>
      <c r="D1" s="158"/>
      <c r="E1" s="359" t="s">
        <v>209</v>
      </c>
      <c r="F1" s="359"/>
      <c r="G1" s="359"/>
      <c r="H1" s="359"/>
      <c r="I1" s="359"/>
      <c r="J1" s="359"/>
      <c r="K1" s="359"/>
      <c r="L1" s="359"/>
      <c r="M1" s="359"/>
      <c r="N1" s="359"/>
      <c r="O1" s="359"/>
      <c r="P1" s="359"/>
      <c r="Q1" s="359"/>
      <c r="R1" s="359"/>
      <c r="S1" s="359"/>
      <c r="T1" s="359"/>
      <c r="U1" s="359"/>
      <c r="V1" s="359"/>
      <c r="W1" s="359"/>
      <c r="X1" s="359"/>
      <c r="Y1" s="359"/>
      <c r="Z1" s="359"/>
      <c r="AA1" s="359"/>
      <c r="AB1" s="359"/>
      <c r="AC1" s="359"/>
      <c r="AD1" s="359"/>
      <c r="AE1" s="359"/>
      <c r="AF1" s="359"/>
      <c r="AG1" s="359"/>
      <c r="AH1" s="359"/>
      <c r="AI1" s="359"/>
      <c r="AJ1" s="359"/>
      <c r="AK1" s="359"/>
      <c r="AL1" s="359"/>
      <c r="AM1" s="359"/>
      <c r="AN1" s="359"/>
      <c r="AO1" s="359"/>
      <c r="AP1" s="359"/>
      <c r="AQ1" s="359"/>
      <c r="AR1" s="359"/>
      <c r="AS1" s="359"/>
      <c r="AT1" s="359"/>
      <c r="AU1" s="359"/>
      <c r="AV1" s="182"/>
    </row>
    <row r="2" spans="2:56" ht="23.25" customHeight="1" x14ac:dyDescent="0.3">
      <c r="B2" s="355"/>
      <c r="C2" s="356"/>
      <c r="D2" s="158"/>
      <c r="E2" s="359"/>
      <c r="F2" s="359"/>
      <c r="G2" s="359"/>
      <c r="H2" s="359"/>
      <c r="I2" s="359"/>
      <c r="J2" s="359"/>
      <c r="K2" s="359"/>
      <c r="L2" s="359"/>
      <c r="M2" s="359"/>
      <c r="N2" s="359"/>
      <c r="O2" s="359"/>
      <c r="P2" s="359"/>
      <c r="Q2" s="359"/>
      <c r="R2" s="359"/>
      <c r="S2" s="359"/>
      <c r="T2" s="359"/>
      <c r="U2" s="359"/>
      <c r="V2" s="359"/>
      <c r="W2" s="359"/>
      <c r="X2" s="359"/>
      <c r="Y2" s="359"/>
      <c r="Z2" s="359"/>
      <c r="AA2" s="359"/>
      <c r="AB2" s="359"/>
      <c r="AC2" s="359"/>
      <c r="AD2" s="359"/>
      <c r="AE2" s="359"/>
      <c r="AF2" s="359"/>
      <c r="AG2" s="359"/>
      <c r="AH2" s="359"/>
      <c r="AI2" s="359"/>
      <c r="AJ2" s="359"/>
      <c r="AK2" s="359"/>
      <c r="AL2" s="359"/>
      <c r="AM2" s="359"/>
      <c r="AN2" s="359"/>
      <c r="AO2" s="359"/>
      <c r="AP2" s="359"/>
      <c r="AQ2" s="359"/>
      <c r="AR2" s="359"/>
      <c r="AS2" s="359"/>
      <c r="AT2" s="359"/>
      <c r="AU2" s="359"/>
      <c r="AV2" s="182"/>
    </row>
    <row r="3" spans="2:56" ht="3" customHeight="1" x14ac:dyDescent="0.3">
      <c r="B3" s="355"/>
      <c r="C3" s="356"/>
      <c r="AP3" s="2"/>
      <c r="AS3" s="118"/>
      <c r="AT3" s="192"/>
      <c r="AU3" s="118"/>
      <c r="AV3" s="183"/>
    </row>
    <row r="4" spans="2:56" ht="21" thickBot="1" x14ac:dyDescent="0.35">
      <c r="B4" s="357"/>
      <c r="C4" s="358"/>
      <c r="D4" s="159"/>
      <c r="E4" s="360" t="s">
        <v>237</v>
      </c>
      <c r="F4" s="360"/>
      <c r="G4" s="360"/>
      <c r="H4" s="360"/>
      <c r="I4" s="360"/>
      <c r="J4" s="360"/>
      <c r="K4" s="360"/>
      <c r="L4" s="360"/>
      <c r="M4" s="360"/>
      <c r="N4" s="360"/>
      <c r="O4" s="360"/>
      <c r="P4" s="360"/>
      <c r="Q4" s="360"/>
      <c r="R4" s="360"/>
      <c r="S4" s="360"/>
      <c r="T4" s="360"/>
      <c r="U4" s="360"/>
      <c r="V4" s="360"/>
      <c r="W4" s="360"/>
      <c r="X4" s="360"/>
      <c r="Y4" s="360"/>
      <c r="Z4" s="360"/>
      <c r="AA4" s="360"/>
      <c r="AB4" s="360"/>
      <c r="AC4" s="360"/>
      <c r="AD4" s="360"/>
      <c r="AE4" s="360"/>
      <c r="AF4" s="360"/>
      <c r="AG4" s="360"/>
      <c r="AH4" s="360"/>
      <c r="AI4" s="360"/>
      <c r="AJ4" s="360"/>
      <c r="AK4" s="360"/>
      <c r="AL4" s="360"/>
      <c r="AM4" s="360"/>
      <c r="AN4" s="360"/>
      <c r="AO4" s="360"/>
      <c r="AP4" s="360"/>
      <c r="AQ4" s="360"/>
      <c r="AR4" s="360"/>
      <c r="AS4" s="360"/>
      <c r="AT4" s="360"/>
      <c r="AU4" s="360"/>
      <c r="AV4" s="202"/>
    </row>
    <row r="5" spans="2:56" ht="3" customHeight="1" thickBot="1" x14ac:dyDescent="0.35"/>
    <row r="6" spans="2:56" ht="27" customHeight="1" x14ac:dyDescent="0.3">
      <c r="B6" s="361" t="s">
        <v>0</v>
      </c>
      <c r="C6" s="364" t="s">
        <v>160</v>
      </c>
      <c r="D6" s="160"/>
      <c r="E6" s="367" t="s">
        <v>21</v>
      </c>
      <c r="F6" s="368"/>
      <c r="G6" s="368"/>
      <c r="H6" s="368"/>
      <c r="I6" s="368"/>
      <c r="J6" s="368"/>
      <c r="K6" s="368"/>
      <c r="L6" s="368"/>
      <c r="M6" s="368"/>
      <c r="N6" s="368"/>
      <c r="O6" s="368"/>
      <c r="P6" s="368"/>
      <c r="Q6" s="369"/>
      <c r="R6" s="161"/>
      <c r="S6" s="161"/>
      <c r="T6" s="162"/>
      <c r="U6" s="162"/>
      <c r="V6" s="163"/>
      <c r="W6" s="367" t="s">
        <v>25</v>
      </c>
      <c r="X6" s="368"/>
      <c r="Y6" s="368"/>
      <c r="Z6" s="368"/>
      <c r="AA6" s="368"/>
      <c r="AB6" s="368"/>
      <c r="AC6" s="368"/>
      <c r="AD6" s="368"/>
      <c r="AE6" s="368"/>
      <c r="AF6" s="368"/>
      <c r="AG6" s="368"/>
      <c r="AH6" s="368"/>
      <c r="AI6" s="368"/>
      <c r="AJ6" s="368"/>
      <c r="AK6" s="368"/>
      <c r="AL6" s="368"/>
      <c r="AM6" s="369"/>
      <c r="AN6" s="166"/>
      <c r="AO6" s="122"/>
      <c r="AP6" s="119"/>
      <c r="AQ6" s="119"/>
      <c r="AR6" s="119"/>
      <c r="AS6" s="370" t="s">
        <v>1</v>
      </c>
      <c r="AT6" s="193"/>
      <c r="AU6" s="370" t="s">
        <v>180</v>
      </c>
    </row>
    <row r="7" spans="2:56" ht="16.5" customHeight="1" x14ac:dyDescent="0.3">
      <c r="B7" s="362" t="s">
        <v>0</v>
      </c>
      <c r="C7" s="365"/>
      <c r="D7" s="160"/>
      <c r="E7" s="371" t="s">
        <v>2</v>
      </c>
      <c r="F7" s="375" t="s">
        <v>22</v>
      </c>
      <c r="G7" s="375" t="s">
        <v>23</v>
      </c>
      <c r="H7" s="351" t="s">
        <v>3</v>
      </c>
      <c r="I7" s="340" t="s">
        <v>22</v>
      </c>
      <c r="J7" s="340" t="s">
        <v>23</v>
      </c>
      <c r="K7" s="351" t="s">
        <v>87</v>
      </c>
      <c r="L7" s="340" t="s">
        <v>22</v>
      </c>
      <c r="M7" s="340" t="s">
        <v>23</v>
      </c>
      <c r="N7" s="351" t="s">
        <v>115</v>
      </c>
      <c r="O7" s="340" t="s">
        <v>22</v>
      </c>
      <c r="P7" s="340" t="s">
        <v>23</v>
      </c>
      <c r="Q7" s="373" t="s">
        <v>133</v>
      </c>
      <c r="R7" s="346" t="s">
        <v>22</v>
      </c>
      <c r="S7" s="348" t="s">
        <v>23</v>
      </c>
      <c r="T7" s="162"/>
      <c r="U7" s="162"/>
      <c r="V7" s="163"/>
      <c r="W7" s="350" t="s">
        <v>4</v>
      </c>
      <c r="X7" s="342"/>
      <c r="Y7" s="342"/>
      <c r="Z7" s="342"/>
      <c r="AA7" s="340" t="s">
        <v>22</v>
      </c>
      <c r="AB7" s="153"/>
      <c r="AC7" s="342" t="s">
        <v>6</v>
      </c>
      <c r="AD7" s="342"/>
      <c r="AE7" s="342"/>
      <c r="AF7" s="340" t="s">
        <v>22</v>
      </c>
      <c r="AG7" s="153"/>
      <c r="AH7" s="342" t="s">
        <v>138</v>
      </c>
      <c r="AI7" s="342"/>
      <c r="AJ7" s="342"/>
      <c r="AK7" s="342"/>
      <c r="AL7" s="342"/>
      <c r="AM7" s="343"/>
      <c r="AN7" s="344" t="s">
        <v>22</v>
      </c>
      <c r="AO7" s="123"/>
      <c r="AP7" s="119"/>
      <c r="AQ7" s="119"/>
      <c r="AR7" s="119"/>
      <c r="AS7" s="370"/>
      <c r="AT7" s="193"/>
      <c r="AU7" s="370"/>
    </row>
    <row r="8" spans="2:56" ht="27.9" customHeight="1" thickBot="1" x14ac:dyDescent="0.35">
      <c r="B8" s="363"/>
      <c r="C8" s="366"/>
      <c r="D8" s="160"/>
      <c r="E8" s="372"/>
      <c r="F8" s="376"/>
      <c r="G8" s="376"/>
      <c r="H8" s="377"/>
      <c r="I8" s="341"/>
      <c r="J8" s="341"/>
      <c r="K8" s="352"/>
      <c r="L8" s="341"/>
      <c r="M8" s="341"/>
      <c r="N8" s="352"/>
      <c r="O8" s="341"/>
      <c r="P8" s="341"/>
      <c r="Q8" s="374"/>
      <c r="R8" s="347"/>
      <c r="S8" s="349"/>
      <c r="T8" s="162"/>
      <c r="U8" s="164" t="s">
        <v>32</v>
      </c>
      <c r="V8" s="165"/>
      <c r="W8" s="154" t="s">
        <v>14</v>
      </c>
      <c r="X8" s="155" t="s">
        <v>26</v>
      </c>
      <c r="Y8" s="155" t="s">
        <v>159</v>
      </c>
      <c r="Z8" s="155" t="s">
        <v>5</v>
      </c>
      <c r="AA8" s="341"/>
      <c r="AB8" s="156"/>
      <c r="AC8" s="155" t="s">
        <v>15</v>
      </c>
      <c r="AD8" s="155" t="s">
        <v>16</v>
      </c>
      <c r="AE8" s="155" t="s">
        <v>143</v>
      </c>
      <c r="AF8" s="341"/>
      <c r="AG8" s="156"/>
      <c r="AH8" s="155" t="s">
        <v>7</v>
      </c>
      <c r="AI8" s="155" t="s">
        <v>8</v>
      </c>
      <c r="AJ8" s="155" t="s">
        <v>9</v>
      </c>
      <c r="AK8" s="155" t="s">
        <v>10</v>
      </c>
      <c r="AL8" s="155" t="s">
        <v>11</v>
      </c>
      <c r="AM8" s="157" t="s">
        <v>139</v>
      </c>
      <c r="AN8" s="345"/>
      <c r="AO8" s="123"/>
      <c r="AP8" s="120" t="s">
        <v>27</v>
      </c>
      <c r="AQ8" s="120" t="s">
        <v>13</v>
      </c>
      <c r="AR8" s="120"/>
      <c r="AS8" s="370"/>
      <c r="AT8" s="193"/>
      <c r="AU8" s="370"/>
      <c r="AX8" s="169" t="s">
        <v>20</v>
      </c>
      <c r="AY8" s="168" t="s">
        <v>17</v>
      </c>
      <c r="AZ8" s="172" t="s">
        <v>18</v>
      </c>
      <c r="BA8" s="167" t="s">
        <v>19</v>
      </c>
    </row>
    <row r="9" spans="2:56" ht="3" customHeight="1" x14ac:dyDescent="0.3">
      <c r="C9" s="48"/>
      <c r="E9" s="16"/>
      <c r="F9" s="16"/>
      <c r="G9" s="16"/>
      <c r="H9" s="16"/>
      <c r="I9" s="16"/>
      <c r="J9" s="16"/>
      <c r="K9" s="16"/>
      <c r="L9" s="16"/>
      <c r="M9" s="16"/>
      <c r="N9" s="16"/>
      <c r="O9" s="16"/>
      <c r="P9" s="16"/>
      <c r="Q9" s="16"/>
      <c r="R9" s="16"/>
      <c r="S9" s="16"/>
      <c r="W9" s="16"/>
      <c r="X9" s="16"/>
      <c r="Y9" s="16"/>
      <c r="Z9" s="16"/>
      <c r="AA9" s="16"/>
      <c r="AC9" s="16"/>
      <c r="AD9" s="16"/>
      <c r="AE9" s="16"/>
      <c r="AF9" s="16"/>
      <c r="AH9" s="16"/>
      <c r="AI9" s="16"/>
      <c r="AJ9" s="16"/>
      <c r="AK9" s="16"/>
      <c r="AL9" s="16"/>
      <c r="AM9" s="16"/>
      <c r="AN9" s="16"/>
      <c r="AO9" s="124"/>
      <c r="AS9" s="191"/>
      <c r="AU9" s="191"/>
      <c r="AX9" s="130"/>
      <c r="AY9" s="130"/>
      <c r="AZ9" s="130"/>
      <c r="BA9" s="130"/>
    </row>
    <row r="10" spans="2:56" ht="15.75" customHeight="1" x14ac:dyDescent="0.3">
      <c r="B10" s="41" t="s">
        <v>35</v>
      </c>
      <c r="C10" s="45" t="s">
        <v>210</v>
      </c>
      <c r="E10" s="37" t="s">
        <v>31</v>
      </c>
      <c r="F10" s="38">
        <f t="shared" ref="F10" si="0">IF(E10="N.A.",0)+IF(E10="Baixo",1)+IF(E10="Moderado",2)+IF(E10="Significativo",4)+IF(E10="Alto",6)</f>
        <v>6</v>
      </c>
      <c r="G10" s="38">
        <f t="shared" ref="G10:G49" si="1">IF(F10&gt;0,1,0)</f>
        <v>1</v>
      </c>
      <c r="H10" s="37" t="s">
        <v>28</v>
      </c>
      <c r="I10" s="38">
        <f t="shared" ref="I10:I11" si="2">IF(H10="N.A.",0)+IF(H10="Baixo",1)+IF(H10="Moderado",2)+IF(H10="Significativo",4)+IF(H10="Alto",6)</f>
        <v>1</v>
      </c>
      <c r="J10" s="38">
        <f t="shared" ref="J10:J49" si="3">IF(I10&gt;0,1,0)</f>
        <v>1</v>
      </c>
      <c r="K10" s="37" t="s">
        <v>28</v>
      </c>
      <c r="L10" s="38">
        <f>IF(K10="N.A.",0)+IF(K10="Baixo",1)+IF(K10="Moderado",2)+IF(K10="Significativo",4)+IF(K10="Alto",6)</f>
        <v>1</v>
      </c>
      <c r="M10" s="8">
        <f>IF(L10&gt;0,1,0)</f>
        <v>1</v>
      </c>
      <c r="N10" s="37" t="s">
        <v>30</v>
      </c>
      <c r="O10" s="38">
        <f t="shared" ref="O10" si="4">IF(N10="N.A.",0)+IF(N10="Baixo",1)+IF(N10="Moderado",2)+IF(N10="Significativo",4)+IF(N10="Alto",6)</f>
        <v>4</v>
      </c>
      <c r="P10" s="38">
        <f t="shared" ref="P10:P49" si="5">IF(O10&gt;0,1,0)</f>
        <v>1</v>
      </c>
      <c r="Q10" s="37" t="s">
        <v>29</v>
      </c>
      <c r="R10" s="38">
        <f t="shared" ref="R10:R49" si="6">IF(Q10="N.A.",0)+IF(Q10="Baixo",1)+IF(Q10="Moderado",2)+IF(Q10="Significativo",4)+IF(Q10="Alto",6)</f>
        <v>2</v>
      </c>
      <c r="S10" s="38">
        <f t="shared" ref="S10:S15" si="7">IF(R10&gt;0,1,0)</f>
        <v>1</v>
      </c>
      <c r="T10" s="117">
        <f>SUM(G10,J10,M10,P10,S10)</f>
        <v>5</v>
      </c>
      <c r="U10" s="117">
        <f>IFERROR(SUM(F10,I10,L10,O10,R10)/T10,0)</f>
        <v>2.8</v>
      </c>
      <c r="V10" s="14"/>
      <c r="W10" s="37"/>
      <c r="X10" s="37"/>
      <c r="Y10" s="37" t="s">
        <v>24</v>
      </c>
      <c r="Z10" s="37"/>
      <c r="AA10" s="36">
        <f>IF(W10="X",-1)+IF(X10="X",2)+IF(Y10="X",4)+IF(Z10="X",9)</f>
        <v>4</v>
      </c>
      <c r="AB10" s="9"/>
      <c r="AC10" s="37"/>
      <c r="AD10" s="127" t="s">
        <v>24</v>
      </c>
      <c r="AE10" s="37"/>
      <c r="AF10" s="36">
        <f>IF(AC10="X",1)+IF(AD10="X",2)+IF(AE10="X",5)</f>
        <v>2</v>
      </c>
      <c r="AG10" s="9"/>
      <c r="AH10" s="37"/>
      <c r="AI10" s="37"/>
      <c r="AJ10" s="37" t="s">
        <v>24</v>
      </c>
      <c r="AK10" s="37"/>
      <c r="AL10" s="37"/>
      <c r="AM10" s="37"/>
      <c r="AN10" s="36">
        <f>IF(AH10="X",1)+IF(AI10="X",2)+IF(AJ10="X",3)+IF(AK10="X",4)+IF(AL10="X",5)+IF(AM10="X",6)</f>
        <v>3</v>
      </c>
      <c r="AO10" s="125"/>
      <c r="AP10" s="117">
        <f>AA10+AF10+AN10</f>
        <v>9</v>
      </c>
      <c r="AQ10" s="117">
        <f>(AP10+U10)/2</f>
        <v>5.9</v>
      </c>
      <c r="AR10" s="117">
        <f>IF(AS10="",0,10)</f>
        <v>10</v>
      </c>
      <c r="AS10" s="39" t="str">
        <f>IF(AX10=TRUE,"Desprezível",IF(AY10=TRUE,"Administrável",IF(AZ10=TRUE,"Indesejável",IF(BA10=TRUE,"Intolerável",""))))</f>
        <v>Administrável</v>
      </c>
      <c r="AT10" s="185"/>
      <c r="AU10" s="195" t="s">
        <v>189</v>
      </c>
      <c r="AW10" s="20" t="s">
        <v>12</v>
      </c>
      <c r="AX10" s="130" t="b">
        <f>AND(U10&gt;0,U10&lt;=2,AP10&gt;0,AP10&lt;=7)</f>
        <v>0</v>
      </c>
      <c r="AY10" s="130" t="b">
        <f>OR(AND(U10&gt;0,U10&lt;=2,AP10&gt;0,AP10&gt;7,AP10&lt;=13),AND(U10&gt;0,U10&gt;2,U10&lt;=3,AP10&gt;0,AP10&lt;=10))</f>
        <v>1</v>
      </c>
      <c r="AZ10" s="130" t="b">
        <f>OR(AND(U10&gt;0,U10&lt;=2,AP10&gt;0,AP10&gt;12,AP10&lt;=17),AND(U10&gt;0,U10&gt;2,U10&lt;=3,AP10&gt;0,AP10&gt;10,AP10&lt;=13),AND(U10&gt;0,U10&gt;3,U10&lt;=5,AP10&gt;0,AP10&lt;=10),AND(U10&gt;0,U10&gt;4,U10&lt;=6,AP10&gt;0,AP10&lt;=7))</f>
        <v>0</v>
      </c>
      <c r="BA10" s="130" t="b">
        <f>OR(AND(U10&gt;0,U10&gt;2,U10&lt;=3,AP10&gt;0,AP10&gt;14,AP10&lt;=20),AND(U10&gt;0,U10&gt;3,U10&lt;=5,AP10&gt;0,AP10&gt;10),AND(U10&gt;0,U10&gt;5,U10&lt;=6,AP10&gt;0,AP10&gt;7,AP10&lt;=20))</f>
        <v>0</v>
      </c>
      <c r="BC10" s="20" t="s">
        <v>12</v>
      </c>
    </row>
    <row r="11" spans="2:56" ht="3.75" customHeight="1" x14ac:dyDescent="0.3">
      <c r="C11" s="197"/>
      <c r="E11" s="21"/>
      <c r="F11" s="38"/>
      <c r="G11" s="38"/>
      <c r="H11" s="21"/>
      <c r="I11" s="38">
        <f t="shared" si="2"/>
        <v>0</v>
      </c>
      <c r="J11" s="38">
        <f t="shared" si="3"/>
        <v>0</v>
      </c>
      <c r="K11" s="21"/>
      <c r="L11" s="38">
        <f>IF(K11="N.A.",0)+IF(K11="Baixo",1)+IF(K11="Moderado",2)+IF(K11="Significativo",4)+IF(K11="Alto",6)</f>
        <v>0</v>
      </c>
      <c r="M11" s="10"/>
      <c r="N11" s="37"/>
      <c r="O11" s="38"/>
      <c r="P11" s="38"/>
      <c r="Q11" s="37"/>
      <c r="R11" s="38">
        <f t="shared" si="6"/>
        <v>0</v>
      </c>
      <c r="S11" s="38">
        <f t="shared" si="7"/>
        <v>0</v>
      </c>
      <c r="T11" s="117">
        <f t="shared" ref="T11:T49" si="8">SUM(G11,J11,M11,P11,S11)</f>
        <v>0</v>
      </c>
      <c r="U11" s="117">
        <f t="shared" ref="U11:U49" si="9">IFERROR(SUM(F11,I11,L11,O11,R11)/T11,0)</f>
        <v>0</v>
      </c>
      <c r="V11" s="14"/>
      <c r="W11" s="21"/>
      <c r="X11" s="21"/>
      <c r="Y11" s="21"/>
      <c r="Z11" s="21"/>
      <c r="AA11" s="10"/>
      <c r="AB11" s="9"/>
      <c r="AC11" s="21"/>
      <c r="AD11" s="21"/>
      <c r="AE11" s="37"/>
      <c r="AF11" s="36">
        <f t="shared" ref="AF11:AF49" si="10">IF(AC11="X",1)+IF(AD11="X",2)+IF(AE11="X",5)</f>
        <v>0</v>
      </c>
      <c r="AG11" s="9"/>
      <c r="AH11" s="21"/>
      <c r="AI11" s="21"/>
      <c r="AJ11" s="21"/>
      <c r="AK11" s="21"/>
      <c r="AL11" s="21"/>
      <c r="AM11" s="21"/>
      <c r="AN11" s="10"/>
      <c r="AO11" s="125"/>
      <c r="AP11" s="117"/>
      <c r="AQ11" s="117"/>
      <c r="AR11" s="117"/>
      <c r="AS11" s="194"/>
      <c r="AT11" s="190"/>
      <c r="AU11" s="195"/>
      <c r="AW11" s="20" t="s">
        <v>28</v>
      </c>
      <c r="AX11" s="130"/>
      <c r="AY11" s="130"/>
      <c r="AZ11" s="130" t="b">
        <f t="shared" ref="AZ11:AZ49" si="11">OR(AND(U11&gt;0,U11&lt;=2,AP11&gt;0,AP11&gt;12,AP11&lt;=17),AND(U11&gt;0,U11&gt;2,U11&lt;=3,AP11&gt;0,AP11&gt;10,AP11&lt;=13),AND(U11&gt;0,U11&gt;3,U11&lt;=5,AP11&gt;0,AP11&lt;=10),AND(U11&gt;0,U11&gt;4,U11&lt;=6,AP11&gt;0,AP11&lt;=7))</f>
        <v>0</v>
      </c>
      <c r="BA11" s="130" t="b">
        <f t="shared" ref="BA11:BA49" si="12">OR(AND(U11&gt;0,U11&gt;2,U11&lt;=3,AP11&gt;0,AP11&gt;14,AP11&lt;=20),AND(U11&gt;0,U11&gt;3,U11&lt;=5,AP11&gt;0,AP11&gt;10),AND(U11&gt;0,U11&gt;5,U11&lt;=6,AP11&gt;0,AP11&gt;7,AP11&lt;=20))</f>
        <v>0</v>
      </c>
      <c r="BC11" s="20" t="s">
        <v>28</v>
      </c>
    </row>
    <row r="12" spans="2:56" ht="15" customHeight="1" x14ac:dyDescent="0.3">
      <c r="B12" s="41" t="s">
        <v>36</v>
      </c>
      <c r="C12" s="45" t="s">
        <v>211</v>
      </c>
      <c r="E12" s="37" t="s">
        <v>30</v>
      </c>
      <c r="F12" s="38">
        <f>IF(E12="N.A.",0)+IF(E12="Baixo",1)+IF(E12="Moderado",2)+IF(E12="Significativo",4)+IF(E12="Alto",6)</f>
        <v>4</v>
      </c>
      <c r="G12" s="38">
        <f t="shared" si="1"/>
        <v>1</v>
      </c>
      <c r="H12" s="37" t="s">
        <v>29</v>
      </c>
      <c r="I12" s="38">
        <f>IF(H12="N.A.",0)+IF(H12="Baixo",1)+IF(H12="Moderado",2)+IF(H12="Significativo",4)+IF(H12="Alto",6)</f>
        <v>2</v>
      </c>
      <c r="J12" s="38">
        <f t="shared" si="3"/>
        <v>1</v>
      </c>
      <c r="K12" s="37" t="s">
        <v>28</v>
      </c>
      <c r="L12" s="38">
        <f>IF(K12="N.A.",0)+IF(K12="Baixo",1)+IF(K12="Moderado",2)+IF(K12="Significativo",4)+IF(K12="Alto",6)</f>
        <v>1</v>
      </c>
      <c r="M12" s="8">
        <f>IF(L12&gt;0,1,0)</f>
        <v>1</v>
      </c>
      <c r="N12" s="37" t="s">
        <v>30</v>
      </c>
      <c r="O12" s="38">
        <f>IF(N12="N.A.",0)+IF(N12="Baixo",1)+IF(N12="Moderado",2)+IF(N12="Significativo",4)+IF(N12="Alto",6)</f>
        <v>4</v>
      </c>
      <c r="P12" s="38">
        <f t="shared" si="5"/>
        <v>1</v>
      </c>
      <c r="Q12" s="37" t="s">
        <v>30</v>
      </c>
      <c r="R12" s="38">
        <f>IF(Q12="N.A.",0)+IF(Q12="Baixo",1)+IF(Q12="Moderado",2)+IF(Q12="Significativo",4)+IF(Q12="Alto",6)</f>
        <v>4</v>
      </c>
      <c r="S12" s="38">
        <f t="shared" si="7"/>
        <v>1</v>
      </c>
      <c r="T12" s="117">
        <f t="shared" si="8"/>
        <v>5</v>
      </c>
      <c r="U12" s="117">
        <f t="shared" si="9"/>
        <v>3</v>
      </c>
      <c r="V12" s="14"/>
      <c r="W12" s="37"/>
      <c r="X12" s="37" t="s">
        <v>24</v>
      </c>
      <c r="Y12" s="37"/>
      <c r="Z12" s="37"/>
      <c r="AA12" s="36">
        <f>IF(W12="X",0)+IF(X12="X",2)+IF(Y12="X",4)+IF(Z12="X",9)</f>
        <v>2</v>
      </c>
      <c r="AB12" s="9"/>
      <c r="AC12" s="37"/>
      <c r="AD12" s="127" t="s">
        <v>24</v>
      </c>
      <c r="AE12" s="37"/>
      <c r="AF12" s="36">
        <f t="shared" si="10"/>
        <v>2</v>
      </c>
      <c r="AG12" s="9"/>
      <c r="AH12" s="37"/>
      <c r="AI12" s="37"/>
      <c r="AJ12" s="37" t="s">
        <v>24</v>
      </c>
      <c r="AK12" s="37"/>
      <c r="AL12" s="37"/>
      <c r="AM12" s="37"/>
      <c r="AN12" s="36">
        <f>IF(AH12="X",1)+IF(AI12="X",2)+IF(AJ12="X",3)+IF(AK12="X",4)+IF(AL12="X",5)+IF(AM12="X",6)</f>
        <v>3</v>
      </c>
      <c r="AO12" s="125"/>
      <c r="AP12" s="117">
        <f>AA12+AF12+AN12</f>
        <v>7</v>
      </c>
      <c r="AQ12" s="117">
        <f>(AP12+U12)/2</f>
        <v>5</v>
      </c>
      <c r="AR12" s="117">
        <f>IF(AS12="",0,10)</f>
        <v>10</v>
      </c>
      <c r="AS12" s="39" t="str">
        <f>IF(AX12=TRUE,"Desprezível",IF(AY12=TRUE,"Administrável",IF(AZ12=TRUE,"Indesejável",IF(BA12=TRUE,"Intolerável",""))))</f>
        <v>Administrável</v>
      </c>
      <c r="AT12" s="185"/>
      <c r="AU12" s="195" t="s">
        <v>188</v>
      </c>
      <c r="AW12" s="20" t="s">
        <v>31</v>
      </c>
      <c r="AX12" s="130" t="b">
        <f t="shared" ref="AX12:AX48" si="13">AND(U12&gt;0,U12&lt;=2,AP12&gt;0,AP12&lt;=7)</f>
        <v>0</v>
      </c>
      <c r="AY12" s="130" t="b">
        <f t="shared" ref="AY12:AY48" si="14">OR(AND(U12&gt;0,U12&lt;=2,AP12&gt;0,AP12&gt;7,AP12&lt;=13),AND(U12&gt;0,U12&gt;2,U12&lt;=3,AP12&gt;0,AP12&lt;=10))</f>
        <v>1</v>
      </c>
      <c r="AZ12" s="130" t="b">
        <f t="shared" si="11"/>
        <v>0</v>
      </c>
      <c r="BA12" s="130" t="b">
        <f t="shared" si="12"/>
        <v>0</v>
      </c>
      <c r="BC12" s="20" t="s">
        <v>31</v>
      </c>
      <c r="BD12" s="3"/>
    </row>
    <row r="13" spans="2:56" ht="4.5" customHeight="1" x14ac:dyDescent="0.3">
      <c r="C13" s="197"/>
      <c r="E13" s="21"/>
      <c r="F13" s="38">
        <f t="shared" ref="F13:F49" si="15">IF(E13="N.A.",0)+IF(E13="Baixo",1)+IF(E13="Moderado",2)+IF(E13="Significativo",4)+IF(E13="Alto",6)</f>
        <v>0</v>
      </c>
      <c r="G13" s="38">
        <f t="shared" si="1"/>
        <v>0</v>
      </c>
      <c r="H13" s="21"/>
      <c r="I13" s="38">
        <f t="shared" ref="I13:I49" si="16">IF(H13="N.A.",0)+IF(H13="Baixo",1)+IF(H13="Moderado",2)+IF(H13="Significativo",4)+IF(H13="Alto",6)</f>
        <v>0</v>
      </c>
      <c r="J13" s="38">
        <f t="shared" si="3"/>
        <v>0</v>
      </c>
      <c r="K13" s="21"/>
      <c r="L13" s="38">
        <f t="shared" ref="L13:L49" si="17">IF(K13="N.A.",0)+IF(K13="Baixo",1)+IF(K13="Moderado",2)+IF(K13="Significativo",4)+IF(K13="Alto",6)</f>
        <v>0</v>
      </c>
      <c r="M13" s="8">
        <f t="shared" ref="M13:M49" si="18">IF(L13&gt;0,1,0)</f>
        <v>0</v>
      </c>
      <c r="N13" s="37"/>
      <c r="O13" s="38">
        <f t="shared" ref="O13:O49" si="19">IF(N13="N.A.",0)+IF(N13="Baixo",1)+IF(N13="Moderado",2)+IF(N13="Significativo",4)+IF(N13="Alto",6)</f>
        <v>0</v>
      </c>
      <c r="P13" s="38">
        <f t="shared" si="5"/>
        <v>0</v>
      </c>
      <c r="Q13" s="37"/>
      <c r="R13" s="38">
        <f t="shared" si="6"/>
        <v>0</v>
      </c>
      <c r="S13" s="38">
        <f t="shared" si="7"/>
        <v>0</v>
      </c>
      <c r="T13" s="117">
        <f t="shared" si="8"/>
        <v>0</v>
      </c>
      <c r="U13" s="117">
        <f t="shared" si="9"/>
        <v>0</v>
      </c>
      <c r="V13" s="14"/>
      <c r="W13" s="21"/>
      <c r="X13" s="21"/>
      <c r="Y13" s="21"/>
      <c r="Z13" s="21"/>
      <c r="AA13" s="36">
        <f t="shared" ref="AA13:AA48" si="20">IF(W13="X",0)+IF(X13="X",2)+IF(Y13="X",4)+IF(Z13="X",9)</f>
        <v>0</v>
      </c>
      <c r="AB13" s="9"/>
      <c r="AC13" s="21"/>
      <c r="AD13" s="21"/>
      <c r="AE13" s="37"/>
      <c r="AF13" s="36">
        <f t="shared" si="10"/>
        <v>0</v>
      </c>
      <c r="AG13" s="9"/>
      <c r="AH13" s="21"/>
      <c r="AI13" s="21"/>
      <c r="AJ13" s="21"/>
      <c r="AK13" s="21"/>
      <c r="AL13" s="21"/>
      <c r="AM13" s="21"/>
      <c r="AN13" s="10"/>
      <c r="AO13" s="125"/>
      <c r="AP13" s="117"/>
      <c r="AQ13" s="117"/>
      <c r="AR13" s="117"/>
      <c r="AS13" s="194"/>
      <c r="AT13" s="190"/>
      <c r="AU13" s="195"/>
      <c r="AX13" s="130"/>
      <c r="AY13" s="130"/>
      <c r="AZ13" s="130" t="b">
        <f t="shared" si="11"/>
        <v>0</v>
      </c>
      <c r="BA13" s="130" t="b">
        <f t="shared" si="12"/>
        <v>0</v>
      </c>
    </row>
    <row r="14" spans="2:56" ht="15" customHeight="1" x14ac:dyDescent="0.3">
      <c r="B14" s="41" t="s">
        <v>37</v>
      </c>
      <c r="C14" s="45" t="s">
        <v>212</v>
      </c>
      <c r="E14" s="37" t="s">
        <v>31</v>
      </c>
      <c r="F14" s="38">
        <f t="shared" si="15"/>
        <v>6</v>
      </c>
      <c r="G14" s="38">
        <f t="shared" si="1"/>
        <v>1</v>
      </c>
      <c r="H14" s="37" t="s">
        <v>28</v>
      </c>
      <c r="I14" s="38">
        <f t="shared" si="16"/>
        <v>1</v>
      </c>
      <c r="J14" s="38">
        <f t="shared" si="3"/>
        <v>1</v>
      </c>
      <c r="K14" s="37" t="s">
        <v>28</v>
      </c>
      <c r="L14" s="38">
        <f t="shared" si="17"/>
        <v>1</v>
      </c>
      <c r="M14" s="8">
        <f t="shared" si="18"/>
        <v>1</v>
      </c>
      <c r="N14" s="37" t="s">
        <v>30</v>
      </c>
      <c r="O14" s="38">
        <f t="shared" si="19"/>
        <v>4</v>
      </c>
      <c r="P14" s="38">
        <f t="shared" si="5"/>
        <v>1</v>
      </c>
      <c r="Q14" s="37" t="s">
        <v>29</v>
      </c>
      <c r="R14" s="38">
        <f t="shared" si="6"/>
        <v>2</v>
      </c>
      <c r="S14" s="38">
        <f t="shared" si="7"/>
        <v>1</v>
      </c>
      <c r="T14" s="117">
        <f t="shared" si="8"/>
        <v>5</v>
      </c>
      <c r="U14" s="117">
        <f t="shared" si="9"/>
        <v>2.8</v>
      </c>
      <c r="V14" s="14"/>
      <c r="W14" s="37"/>
      <c r="X14" s="37" t="s">
        <v>24</v>
      </c>
      <c r="Y14" s="37"/>
      <c r="Z14" s="37"/>
      <c r="AA14" s="36">
        <f t="shared" si="20"/>
        <v>2</v>
      </c>
      <c r="AB14" s="9"/>
      <c r="AC14" s="37"/>
      <c r="AD14" s="127" t="s">
        <v>24</v>
      </c>
      <c r="AE14" s="37"/>
      <c r="AF14" s="36">
        <f t="shared" si="10"/>
        <v>2</v>
      </c>
      <c r="AG14" s="9"/>
      <c r="AH14" s="37"/>
      <c r="AI14" s="37"/>
      <c r="AJ14" s="37" t="s">
        <v>24</v>
      </c>
      <c r="AK14" s="37"/>
      <c r="AL14" s="37"/>
      <c r="AM14" s="37"/>
      <c r="AN14" s="36">
        <f>IF(AH14="X",1)+IF(AI14="X",2)+IF(AJ14="X",3)+IF(AK14="X",4)+IF(AL14="X",5)+IF(AM14="X",6)</f>
        <v>3</v>
      </c>
      <c r="AO14" s="125"/>
      <c r="AP14" s="117">
        <f>AA14+AF14+AN14</f>
        <v>7</v>
      </c>
      <c r="AQ14" s="117">
        <f>(AP14+U14)/2</f>
        <v>4.9000000000000004</v>
      </c>
      <c r="AR14" s="117">
        <f>IF(AS14="",0,10)</f>
        <v>10</v>
      </c>
      <c r="AS14" s="39" t="str">
        <f>IF(AX14=TRUE,"Desprezível",IF(AY14=TRUE,"Administrável",IF(AZ14=TRUE,"Indesejável",IF(BA14=TRUE,"Intolerável",""))))</f>
        <v>Administrável</v>
      </c>
      <c r="AT14" s="185"/>
      <c r="AU14" s="195" t="s">
        <v>189</v>
      </c>
      <c r="AX14" s="130" t="b">
        <f t="shared" si="13"/>
        <v>0</v>
      </c>
      <c r="AY14" s="130" t="b">
        <f t="shared" si="14"/>
        <v>1</v>
      </c>
      <c r="AZ14" s="130" t="b">
        <f t="shared" si="11"/>
        <v>0</v>
      </c>
      <c r="BA14" s="130" t="b">
        <f t="shared" si="12"/>
        <v>0</v>
      </c>
      <c r="BD14" s="3"/>
    </row>
    <row r="15" spans="2:56" ht="5.25" customHeight="1" x14ac:dyDescent="0.3">
      <c r="C15" s="197"/>
      <c r="E15" s="21"/>
      <c r="F15" s="38">
        <f t="shared" si="15"/>
        <v>0</v>
      </c>
      <c r="G15" s="38">
        <f t="shared" si="1"/>
        <v>0</v>
      </c>
      <c r="H15" s="21"/>
      <c r="I15" s="38">
        <f t="shared" si="16"/>
        <v>0</v>
      </c>
      <c r="J15" s="38">
        <f t="shared" si="3"/>
        <v>0</v>
      </c>
      <c r="K15" s="21"/>
      <c r="L15" s="38">
        <f t="shared" si="17"/>
        <v>0</v>
      </c>
      <c r="M15" s="8">
        <f t="shared" si="18"/>
        <v>0</v>
      </c>
      <c r="N15" s="37"/>
      <c r="O15" s="38">
        <f t="shared" si="19"/>
        <v>0</v>
      </c>
      <c r="P15" s="38">
        <f t="shared" si="5"/>
        <v>0</v>
      </c>
      <c r="Q15" s="37"/>
      <c r="R15" s="38">
        <f t="shared" si="6"/>
        <v>0</v>
      </c>
      <c r="S15" s="38">
        <f t="shared" si="7"/>
        <v>0</v>
      </c>
      <c r="T15" s="117">
        <f t="shared" si="8"/>
        <v>0</v>
      </c>
      <c r="U15" s="117">
        <f t="shared" si="9"/>
        <v>0</v>
      </c>
      <c r="V15" s="14"/>
      <c r="W15" s="21"/>
      <c r="X15" s="21"/>
      <c r="Y15" s="21"/>
      <c r="Z15" s="21"/>
      <c r="AA15" s="36">
        <f t="shared" si="20"/>
        <v>0</v>
      </c>
      <c r="AB15" s="9"/>
      <c r="AC15" s="21"/>
      <c r="AD15" s="21"/>
      <c r="AE15" s="37"/>
      <c r="AF15" s="36">
        <f t="shared" si="10"/>
        <v>0</v>
      </c>
      <c r="AG15" s="9"/>
      <c r="AH15" s="21"/>
      <c r="AI15" s="21"/>
      <c r="AJ15" s="21"/>
      <c r="AK15" s="21"/>
      <c r="AL15" s="21"/>
      <c r="AM15" s="21"/>
      <c r="AN15" s="10"/>
      <c r="AO15" s="125"/>
      <c r="AP15" s="117"/>
      <c r="AQ15" s="117"/>
      <c r="AR15" s="117"/>
      <c r="AS15" s="194"/>
      <c r="AT15" s="190"/>
      <c r="AU15" s="195"/>
      <c r="AX15" s="130"/>
      <c r="AY15" s="130"/>
      <c r="AZ15" s="130" t="b">
        <f t="shared" si="11"/>
        <v>0</v>
      </c>
      <c r="BA15" s="130" t="b">
        <f t="shared" si="12"/>
        <v>0</v>
      </c>
    </row>
    <row r="16" spans="2:56" x14ac:dyDescent="0.3">
      <c r="B16" s="41" t="s">
        <v>38</v>
      </c>
      <c r="C16" s="45" t="s">
        <v>213</v>
      </c>
      <c r="E16" s="37" t="s">
        <v>31</v>
      </c>
      <c r="F16" s="38">
        <f t="shared" si="15"/>
        <v>6</v>
      </c>
      <c r="G16" s="38">
        <f t="shared" si="1"/>
        <v>1</v>
      </c>
      <c r="H16" s="37" t="s">
        <v>28</v>
      </c>
      <c r="I16" s="38">
        <f t="shared" si="16"/>
        <v>1</v>
      </c>
      <c r="J16" s="38">
        <f t="shared" si="3"/>
        <v>1</v>
      </c>
      <c r="K16" s="37" t="s">
        <v>28</v>
      </c>
      <c r="L16" s="38">
        <f t="shared" si="17"/>
        <v>1</v>
      </c>
      <c r="M16" s="8">
        <f t="shared" si="18"/>
        <v>1</v>
      </c>
      <c r="N16" s="37" t="s">
        <v>30</v>
      </c>
      <c r="O16" s="38">
        <f t="shared" si="19"/>
        <v>4</v>
      </c>
      <c r="P16" s="38">
        <f t="shared" si="5"/>
        <v>1</v>
      </c>
      <c r="Q16" s="37" t="s">
        <v>28</v>
      </c>
      <c r="R16" s="38">
        <f t="shared" si="6"/>
        <v>1</v>
      </c>
      <c r="S16" s="38">
        <f>IF(R16&gt;0,1,0)</f>
        <v>1</v>
      </c>
      <c r="T16" s="117">
        <f t="shared" si="8"/>
        <v>5</v>
      </c>
      <c r="U16" s="117">
        <f t="shared" si="9"/>
        <v>2.6</v>
      </c>
      <c r="V16" s="14"/>
      <c r="W16" s="37"/>
      <c r="X16" s="37" t="s">
        <v>24</v>
      </c>
      <c r="Y16" s="37"/>
      <c r="Z16" s="37"/>
      <c r="AA16" s="36">
        <f t="shared" si="20"/>
        <v>2</v>
      </c>
      <c r="AB16" s="9"/>
      <c r="AC16" s="37"/>
      <c r="AD16" s="127" t="s">
        <v>24</v>
      </c>
      <c r="AE16" s="37"/>
      <c r="AF16" s="36">
        <f t="shared" si="10"/>
        <v>2</v>
      </c>
      <c r="AG16" s="9"/>
      <c r="AH16" s="37"/>
      <c r="AI16" s="37"/>
      <c r="AJ16" s="37" t="s">
        <v>24</v>
      </c>
      <c r="AK16" s="37"/>
      <c r="AL16" s="37"/>
      <c r="AM16" s="37"/>
      <c r="AN16" s="36">
        <f>IF(AH16="X",1)+IF(AI16="X",2)+IF(AJ16="X",3)+IF(AK16="X",4)+IF(AL16="X",5)+IF(AM16="X",6)</f>
        <v>3</v>
      </c>
      <c r="AO16" s="125"/>
      <c r="AP16" s="117">
        <f>AA16+AF16+AN16</f>
        <v>7</v>
      </c>
      <c r="AQ16" s="117">
        <f>(AP16+U16)/2</f>
        <v>4.8</v>
      </c>
      <c r="AR16" s="117">
        <f>IF(AS16="",0,10)</f>
        <v>10</v>
      </c>
      <c r="AS16" s="39" t="str">
        <f>IF(AX16=TRUE,"Desprezível",IF(AY16=TRUE,"Administrável",IF(AZ16=TRUE,"Indesejável",IF(BA16=TRUE,"Intolerável",""))))</f>
        <v>Administrável</v>
      </c>
      <c r="AT16" s="185"/>
      <c r="AU16" s="195" t="s">
        <v>189</v>
      </c>
      <c r="AW16" s="3" t="s">
        <v>24</v>
      </c>
      <c r="AX16" s="130" t="b">
        <f t="shared" si="13"/>
        <v>0</v>
      </c>
      <c r="AY16" s="130" t="b">
        <f t="shared" si="14"/>
        <v>1</v>
      </c>
      <c r="AZ16" s="130" t="b">
        <f t="shared" si="11"/>
        <v>0</v>
      </c>
      <c r="BA16" s="130" t="b">
        <f t="shared" si="12"/>
        <v>0</v>
      </c>
      <c r="BC16" s="3" t="s">
        <v>24</v>
      </c>
      <c r="BD16" s="3"/>
    </row>
    <row r="17" spans="2:56" ht="4.5" customHeight="1" x14ac:dyDescent="0.3">
      <c r="C17" s="197"/>
      <c r="E17" s="21"/>
      <c r="F17" s="38">
        <f t="shared" si="15"/>
        <v>0</v>
      </c>
      <c r="G17" s="38">
        <f t="shared" si="1"/>
        <v>0</v>
      </c>
      <c r="H17" s="21"/>
      <c r="I17" s="38">
        <f t="shared" si="16"/>
        <v>0</v>
      </c>
      <c r="J17" s="38">
        <f t="shared" si="3"/>
        <v>0</v>
      </c>
      <c r="K17" s="21"/>
      <c r="L17" s="38">
        <f t="shared" si="17"/>
        <v>0</v>
      </c>
      <c r="M17" s="8">
        <f t="shared" si="18"/>
        <v>0</v>
      </c>
      <c r="N17" s="37"/>
      <c r="O17" s="38">
        <f t="shared" si="19"/>
        <v>0</v>
      </c>
      <c r="P17" s="38">
        <f t="shared" si="5"/>
        <v>0</v>
      </c>
      <c r="Q17" s="37"/>
      <c r="R17" s="38">
        <f t="shared" si="6"/>
        <v>0</v>
      </c>
      <c r="S17" s="10"/>
      <c r="T17" s="117">
        <f t="shared" si="8"/>
        <v>0</v>
      </c>
      <c r="U17" s="117">
        <f t="shared" si="9"/>
        <v>0</v>
      </c>
      <c r="V17" s="14"/>
      <c r="W17" s="21"/>
      <c r="X17" s="21"/>
      <c r="Y17" s="21"/>
      <c r="Z17" s="21"/>
      <c r="AA17" s="36">
        <f t="shared" si="20"/>
        <v>0</v>
      </c>
      <c r="AB17" s="9"/>
      <c r="AC17" s="21"/>
      <c r="AD17" s="21"/>
      <c r="AE17" s="37"/>
      <c r="AF17" s="36">
        <f t="shared" si="10"/>
        <v>0</v>
      </c>
      <c r="AG17" s="9"/>
      <c r="AH17" s="21"/>
      <c r="AI17" s="21"/>
      <c r="AJ17" s="21"/>
      <c r="AK17" s="21"/>
      <c r="AL17" s="21"/>
      <c r="AM17" s="21"/>
      <c r="AN17" s="10"/>
      <c r="AO17" s="125"/>
      <c r="AP17" s="117"/>
      <c r="AQ17" s="117"/>
      <c r="AR17" s="117"/>
      <c r="AS17" s="194"/>
      <c r="AT17" s="190"/>
      <c r="AU17" s="195"/>
      <c r="AX17" s="130"/>
      <c r="AY17" s="130"/>
      <c r="AZ17" s="130" t="b">
        <f t="shared" si="11"/>
        <v>0</v>
      </c>
      <c r="BA17" s="130" t="b">
        <f t="shared" si="12"/>
        <v>0</v>
      </c>
    </row>
    <row r="18" spans="2:56" ht="14.25" customHeight="1" x14ac:dyDescent="0.3">
      <c r="B18" s="41" t="s">
        <v>39</v>
      </c>
      <c r="C18" s="45" t="s">
        <v>214</v>
      </c>
      <c r="E18" s="37" t="s">
        <v>30</v>
      </c>
      <c r="F18" s="38">
        <f t="shared" si="15"/>
        <v>4</v>
      </c>
      <c r="G18" s="38">
        <f t="shared" si="1"/>
        <v>1</v>
      </c>
      <c r="H18" s="37" t="s">
        <v>28</v>
      </c>
      <c r="I18" s="38">
        <f t="shared" si="16"/>
        <v>1</v>
      </c>
      <c r="J18" s="38">
        <f t="shared" si="3"/>
        <v>1</v>
      </c>
      <c r="K18" s="37" t="s">
        <v>28</v>
      </c>
      <c r="L18" s="38">
        <f t="shared" si="17"/>
        <v>1</v>
      </c>
      <c r="M18" s="8">
        <f t="shared" si="18"/>
        <v>1</v>
      </c>
      <c r="N18" s="37" t="s">
        <v>28</v>
      </c>
      <c r="O18" s="38">
        <f t="shared" si="19"/>
        <v>1</v>
      </c>
      <c r="P18" s="38">
        <f t="shared" si="5"/>
        <v>1</v>
      </c>
      <c r="Q18" s="37" t="s">
        <v>30</v>
      </c>
      <c r="R18" s="38">
        <f t="shared" si="6"/>
        <v>4</v>
      </c>
      <c r="S18" s="38">
        <f>IF(R18&gt;0,1,0)</f>
        <v>1</v>
      </c>
      <c r="T18" s="117">
        <f t="shared" si="8"/>
        <v>5</v>
      </c>
      <c r="U18" s="117">
        <f t="shared" si="9"/>
        <v>2.2000000000000002</v>
      </c>
      <c r="V18" s="14"/>
      <c r="W18" s="37"/>
      <c r="X18" s="37"/>
      <c r="Y18" s="37" t="s">
        <v>24</v>
      </c>
      <c r="Z18" s="37"/>
      <c r="AA18" s="36">
        <f t="shared" si="20"/>
        <v>4</v>
      </c>
      <c r="AB18" s="9"/>
      <c r="AC18" s="37"/>
      <c r="AD18" s="127" t="s">
        <v>24</v>
      </c>
      <c r="AE18" s="37"/>
      <c r="AF18" s="36">
        <f t="shared" si="10"/>
        <v>2</v>
      </c>
      <c r="AG18" s="9"/>
      <c r="AH18" s="37"/>
      <c r="AI18" s="37"/>
      <c r="AJ18" s="37" t="s">
        <v>24</v>
      </c>
      <c r="AK18" s="37"/>
      <c r="AL18" s="37"/>
      <c r="AM18" s="37"/>
      <c r="AN18" s="36">
        <f>IF(AH18="X",1)+IF(AI18="X",2)+IF(AJ18="X",3)+IF(AK18="X",4)+IF(AL18="X",5)+IF(AM18="X",6)</f>
        <v>3</v>
      </c>
      <c r="AO18" s="125"/>
      <c r="AP18" s="117">
        <f>AA18+AF18+AN18</f>
        <v>9</v>
      </c>
      <c r="AQ18" s="117">
        <f>(AP18+U18)/2</f>
        <v>5.6</v>
      </c>
      <c r="AR18" s="117">
        <f>IF(AS18="",0,10)</f>
        <v>10</v>
      </c>
      <c r="AS18" s="39" t="str">
        <f>IF(AX18=TRUE,"Desprezível",IF(AY18=TRUE,"Administrável",IF(AZ18=TRUE,"Indesejável",IF(BA18=TRUE,"Intolerável",""))))</f>
        <v>Administrável</v>
      </c>
      <c r="AT18" s="185"/>
      <c r="AU18" s="195" t="s">
        <v>187</v>
      </c>
      <c r="AX18" s="130" t="b">
        <f t="shared" si="13"/>
        <v>0</v>
      </c>
      <c r="AY18" s="130" t="b">
        <f t="shared" si="14"/>
        <v>1</v>
      </c>
      <c r="AZ18" s="130" t="b">
        <f t="shared" si="11"/>
        <v>0</v>
      </c>
      <c r="BA18" s="130" t="b">
        <f t="shared" si="12"/>
        <v>0</v>
      </c>
      <c r="BD18" s="3"/>
    </row>
    <row r="19" spans="2:56" ht="3" customHeight="1" x14ac:dyDescent="0.3">
      <c r="C19" s="198"/>
      <c r="E19" s="21"/>
      <c r="F19" s="38">
        <f t="shared" si="15"/>
        <v>0</v>
      </c>
      <c r="G19" s="38">
        <f t="shared" si="1"/>
        <v>0</v>
      </c>
      <c r="H19" s="21"/>
      <c r="I19" s="38">
        <f t="shared" si="16"/>
        <v>0</v>
      </c>
      <c r="J19" s="38">
        <f t="shared" si="3"/>
        <v>0</v>
      </c>
      <c r="K19" s="21"/>
      <c r="L19" s="38">
        <f t="shared" si="17"/>
        <v>0</v>
      </c>
      <c r="M19" s="8">
        <f t="shared" si="18"/>
        <v>0</v>
      </c>
      <c r="N19" s="37"/>
      <c r="O19" s="38">
        <f t="shared" si="19"/>
        <v>0</v>
      </c>
      <c r="P19" s="38">
        <f t="shared" si="5"/>
        <v>0</v>
      </c>
      <c r="Q19" s="37"/>
      <c r="R19" s="38">
        <f t="shared" si="6"/>
        <v>0</v>
      </c>
      <c r="S19" s="10"/>
      <c r="T19" s="117">
        <f t="shared" si="8"/>
        <v>0</v>
      </c>
      <c r="U19" s="117">
        <f t="shared" si="9"/>
        <v>0</v>
      </c>
      <c r="V19" s="14"/>
      <c r="W19" s="21"/>
      <c r="X19" s="21"/>
      <c r="Y19" s="21"/>
      <c r="Z19" s="21"/>
      <c r="AA19" s="36">
        <f t="shared" si="20"/>
        <v>0</v>
      </c>
      <c r="AB19" s="9"/>
      <c r="AC19" s="21"/>
      <c r="AD19" s="21"/>
      <c r="AE19" s="37"/>
      <c r="AF19" s="36">
        <f t="shared" si="10"/>
        <v>0</v>
      </c>
      <c r="AG19" s="9"/>
      <c r="AH19" s="21"/>
      <c r="AI19" s="21"/>
      <c r="AJ19" s="21"/>
      <c r="AK19" s="21"/>
      <c r="AL19" s="21"/>
      <c r="AM19" s="21"/>
      <c r="AN19" s="10"/>
      <c r="AO19" s="125"/>
      <c r="AP19" s="117"/>
      <c r="AQ19" s="117"/>
      <c r="AR19" s="117"/>
      <c r="AS19" s="194"/>
      <c r="AT19" s="190"/>
      <c r="AU19" s="195"/>
      <c r="AX19" s="130"/>
      <c r="AY19" s="130"/>
      <c r="AZ19" s="130" t="b">
        <f t="shared" si="11"/>
        <v>0</v>
      </c>
      <c r="BA19" s="130" t="b">
        <f t="shared" si="12"/>
        <v>0</v>
      </c>
    </row>
    <row r="20" spans="2:56" x14ac:dyDescent="0.3">
      <c r="B20" s="41" t="s">
        <v>40</v>
      </c>
      <c r="C20" s="45" t="s">
        <v>215</v>
      </c>
      <c r="E20" s="37" t="s">
        <v>30</v>
      </c>
      <c r="F20" s="38">
        <f t="shared" si="15"/>
        <v>4</v>
      </c>
      <c r="G20" s="38">
        <f t="shared" si="1"/>
        <v>1</v>
      </c>
      <c r="H20" s="37" t="s">
        <v>28</v>
      </c>
      <c r="I20" s="38">
        <f t="shared" si="16"/>
        <v>1</v>
      </c>
      <c r="J20" s="38">
        <f t="shared" si="3"/>
        <v>1</v>
      </c>
      <c r="K20" s="37" t="s">
        <v>28</v>
      </c>
      <c r="L20" s="38">
        <f t="shared" si="17"/>
        <v>1</v>
      </c>
      <c r="M20" s="8">
        <f t="shared" si="18"/>
        <v>1</v>
      </c>
      <c r="N20" s="37" t="s">
        <v>30</v>
      </c>
      <c r="O20" s="38">
        <f t="shared" si="19"/>
        <v>4</v>
      </c>
      <c r="P20" s="38">
        <f t="shared" si="5"/>
        <v>1</v>
      </c>
      <c r="Q20" s="37" t="s">
        <v>28</v>
      </c>
      <c r="R20" s="38">
        <f t="shared" si="6"/>
        <v>1</v>
      </c>
      <c r="S20" s="38">
        <f>IF(R20&gt;0,1,0)</f>
        <v>1</v>
      </c>
      <c r="T20" s="117">
        <f t="shared" si="8"/>
        <v>5</v>
      </c>
      <c r="U20" s="117">
        <f t="shared" si="9"/>
        <v>2.2000000000000002</v>
      </c>
      <c r="V20" s="14"/>
      <c r="W20" s="37"/>
      <c r="X20" s="37"/>
      <c r="Y20" s="37" t="s">
        <v>24</v>
      </c>
      <c r="Z20" s="37"/>
      <c r="AA20" s="36">
        <f t="shared" si="20"/>
        <v>4</v>
      </c>
      <c r="AB20" s="9"/>
      <c r="AC20" s="37" t="s">
        <v>24</v>
      </c>
      <c r="AD20" s="127"/>
      <c r="AE20" s="37"/>
      <c r="AF20" s="36">
        <f t="shared" si="10"/>
        <v>1</v>
      </c>
      <c r="AG20" s="9"/>
      <c r="AH20" s="37"/>
      <c r="AI20" s="37"/>
      <c r="AJ20" s="37" t="s">
        <v>24</v>
      </c>
      <c r="AK20" s="37"/>
      <c r="AL20" s="37"/>
      <c r="AM20" s="37"/>
      <c r="AN20" s="36">
        <f>IF(AH20="X",1)+IF(AI20="X",2)+IF(AJ20="X",3)+IF(AK20="X",4)+IF(AL20="X",5)+IF(AM20="X",6)</f>
        <v>3</v>
      </c>
      <c r="AO20" s="125"/>
      <c r="AP20" s="117">
        <f>AA20+AF20+AN20</f>
        <v>8</v>
      </c>
      <c r="AQ20" s="117">
        <f>(AP20+U20)/2</f>
        <v>5.0999999999999996</v>
      </c>
      <c r="AR20" s="117">
        <f>IF(AS20="",0,10)</f>
        <v>10</v>
      </c>
      <c r="AS20" s="39" t="str">
        <f>IF(AX20=TRUE,"Desprezível",IF(AY20=TRUE,"Administrável",IF(AZ20=TRUE,"Indesejável",IF(BA20=TRUE,"Intolerável",""))))</f>
        <v>Administrável</v>
      </c>
      <c r="AT20" s="185"/>
      <c r="AU20" s="195" t="s">
        <v>189</v>
      </c>
      <c r="AX20" s="130" t="b">
        <f t="shared" si="13"/>
        <v>0</v>
      </c>
      <c r="AY20" s="130" t="b">
        <f t="shared" si="14"/>
        <v>1</v>
      </c>
      <c r="AZ20" s="130" t="b">
        <f t="shared" si="11"/>
        <v>0</v>
      </c>
      <c r="BA20" s="130" t="b">
        <f t="shared" si="12"/>
        <v>0</v>
      </c>
    </row>
    <row r="21" spans="2:56" ht="6" customHeight="1" x14ac:dyDescent="0.3">
      <c r="C21" s="1"/>
      <c r="E21" s="21"/>
      <c r="F21" s="38">
        <f t="shared" si="15"/>
        <v>0</v>
      </c>
      <c r="G21" s="38">
        <f t="shared" si="1"/>
        <v>0</v>
      </c>
      <c r="H21" s="21"/>
      <c r="I21" s="38">
        <f t="shared" si="16"/>
        <v>0</v>
      </c>
      <c r="J21" s="38">
        <f t="shared" si="3"/>
        <v>0</v>
      </c>
      <c r="K21" s="21"/>
      <c r="L21" s="38">
        <f t="shared" si="17"/>
        <v>0</v>
      </c>
      <c r="M21" s="8">
        <f t="shared" si="18"/>
        <v>0</v>
      </c>
      <c r="N21" s="37"/>
      <c r="O21" s="38">
        <f t="shared" si="19"/>
        <v>0</v>
      </c>
      <c r="P21" s="38">
        <f t="shared" si="5"/>
        <v>0</v>
      </c>
      <c r="Q21" s="37"/>
      <c r="R21" s="38">
        <f t="shared" si="6"/>
        <v>0</v>
      </c>
      <c r="S21" s="10"/>
      <c r="T21" s="117">
        <f t="shared" si="8"/>
        <v>0</v>
      </c>
      <c r="U21" s="117">
        <f t="shared" si="9"/>
        <v>0</v>
      </c>
      <c r="V21" s="14"/>
      <c r="W21" s="21"/>
      <c r="X21" s="21"/>
      <c r="Y21" s="21"/>
      <c r="Z21" s="21"/>
      <c r="AA21" s="36">
        <f t="shared" si="20"/>
        <v>0</v>
      </c>
      <c r="AB21" s="9"/>
      <c r="AC21" s="21"/>
      <c r="AD21" s="21"/>
      <c r="AE21" s="37"/>
      <c r="AF21" s="36">
        <f t="shared" si="10"/>
        <v>0</v>
      </c>
      <c r="AG21" s="9"/>
      <c r="AH21" s="21"/>
      <c r="AI21" s="21"/>
      <c r="AJ21" s="21"/>
      <c r="AK21" s="21"/>
      <c r="AL21" s="21"/>
      <c r="AM21" s="21"/>
      <c r="AN21" s="10"/>
      <c r="AO21" s="125"/>
      <c r="AP21" s="117"/>
      <c r="AQ21" s="117"/>
      <c r="AR21" s="117"/>
      <c r="AS21" s="194"/>
      <c r="AT21" s="190"/>
      <c r="AU21" s="195"/>
      <c r="AX21" s="130"/>
      <c r="AY21" s="130"/>
      <c r="AZ21" s="130" t="b">
        <f t="shared" si="11"/>
        <v>0</v>
      </c>
      <c r="BA21" s="130" t="b">
        <f t="shared" si="12"/>
        <v>0</v>
      </c>
    </row>
    <row r="22" spans="2:56" ht="27.6" x14ac:dyDescent="0.3">
      <c r="B22" s="41" t="s">
        <v>41</v>
      </c>
      <c r="C22" s="45" t="s">
        <v>216</v>
      </c>
      <c r="E22" s="37" t="s">
        <v>31</v>
      </c>
      <c r="F22" s="38">
        <f t="shared" si="15"/>
        <v>6</v>
      </c>
      <c r="G22" s="38">
        <f t="shared" si="1"/>
        <v>1</v>
      </c>
      <c r="H22" s="37" t="s">
        <v>28</v>
      </c>
      <c r="I22" s="38">
        <f t="shared" si="16"/>
        <v>1</v>
      </c>
      <c r="J22" s="38">
        <f t="shared" si="3"/>
        <v>1</v>
      </c>
      <c r="K22" s="37" t="s">
        <v>28</v>
      </c>
      <c r="L22" s="38">
        <f t="shared" si="17"/>
        <v>1</v>
      </c>
      <c r="M22" s="8">
        <f t="shared" si="18"/>
        <v>1</v>
      </c>
      <c r="N22" s="37" t="s">
        <v>30</v>
      </c>
      <c r="O22" s="38">
        <f t="shared" si="19"/>
        <v>4</v>
      </c>
      <c r="P22" s="38">
        <f t="shared" si="5"/>
        <v>1</v>
      </c>
      <c r="Q22" s="37" t="s">
        <v>28</v>
      </c>
      <c r="R22" s="38">
        <f t="shared" si="6"/>
        <v>1</v>
      </c>
      <c r="S22" s="38">
        <f>IF(R22&gt;0,1,0)</f>
        <v>1</v>
      </c>
      <c r="T22" s="117">
        <f t="shared" si="8"/>
        <v>5</v>
      </c>
      <c r="U22" s="117">
        <f t="shared" si="9"/>
        <v>2.6</v>
      </c>
      <c r="V22" s="14"/>
      <c r="W22" s="37"/>
      <c r="X22" s="37"/>
      <c r="Y22" s="37" t="s">
        <v>24</v>
      </c>
      <c r="Z22" s="37"/>
      <c r="AA22" s="36">
        <f t="shared" si="20"/>
        <v>4</v>
      </c>
      <c r="AB22" s="9"/>
      <c r="AC22" s="37"/>
      <c r="AD22" s="127" t="s">
        <v>24</v>
      </c>
      <c r="AE22" s="37"/>
      <c r="AF22" s="36">
        <f t="shared" si="10"/>
        <v>2</v>
      </c>
      <c r="AG22" s="9"/>
      <c r="AH22" s="37"/>
      <c r="AI22" s="37"/>
      <c r="AJ22" s="37" t="s">
        <v>24</v>
      </c>
      <c r="AK22" s="37"/>
      <c r="AL22" s="37"/>
      <c r="AM22" s="37"/>
      <c r="AN22" s="36">
        <f>IF(AH22="X",1)+IF(AI22="X",2)+IF(AJ22="X",3)+IF(AK22="X",4)+IF(AL22="X",5)+IF(AM22="X",6)</f>
        <v>3</v>
      </c>
      <c r="AO22" s="125"/>
      <c r="AP22" s="117">
        <f>AA22+AF22+AN22</f>
        <v>9</v>
      </c>
      <c r="AQ22" s="117">
        <f>(AP22+U22)/2</f>
        <v>5.8</v>
      </c>
      <c r="AR22" s="117">
        <f>IF(AS22="",0,10)</f>
        <v>10</v>
      </c>
      <c r="AS22" s="39" t="str">
        <f>IF(AX22=TRUE,"Desprezível",IF(AY22=TRUE,"Administrável",IF(AZ22=TRUE,"Indesejável",IF(BA22=TRUE,"Intolerável",""))))</f>
        <v>Administrável</v>
      </c>
      <c r="AT22" s="185"/>
      <c r="AU22" s="195" t="s">
        <v>189</v>
      </c>
      <c r="AX22" s="130" t="b">
        <f t="shared" si="13"/>
        <v>0</v>
      </c>
      <c r="AY22" s="130" t="b">
        <f t="shared" si="14"/>
        <v>1</v>
      </c>
      <c r="AZ22" s="130" t="b">
        <f t="shared" si="11"/>
        <v>0</v>
      </c>
      <c r="BA22" s="130" t="b">
        <f t="shared" si="12"/>
        <v>0</v>
      </c>
    </row>
    <row r="23" spans="2:56" ht="3.75" customHeight="1" x14ac:dyDescent="0.3">
      <c r="C23" s="129"/>
      <c r="E23" s="21"/>
      <c r="F23" s="38">
        <f t="shared" si="15"/>
        <v>0</v>
      </c>
      <c r="G23" s="38">
        <f t="shared" si="1"/>
        <v>0</v>
      </c>
      <c r="H23" s="21"/>
      <c r="I23" s="38">
        <f t="shared" si="16"/>
        <v>0</v>
      </c>
      <c r="J23" s="38">
        <f t="shared" si="3"/>
        <v>0</v>
      </c>
      <c r="K23" s="21"/>
      <c r="L23" s="38">
        <f t="shared" si="17"/>
        <v>0</v>
      </c>
      <c r="M23" s="8">
        <f t="shared" si="18"/>
        <v>0</v>
      </c>
      <c r="N23" s="37"/>
      <c r="O23" s="38">
        <f t="shared" si="19"/>
        <v>0</v>
      </c>
      <c r="P23" s="38">
        <f t="shared" si="5"/>
        <v>0</v>
      </c>
      <c r="Q23" s="37"/>
      <c r="R23" s="38">
        <f t="shared" si="6"/>
        <v>0</v>
      </c>
      <c r="S23" s="10"/>
      <c r="T23" s="117">
        <f t="shared" si="8"/>
        <v>0</v>
      </c>
      <c r="U23" s="117">
        <f t="shared" si="9"/>
        <v>0</v>
      </c>
      <c r="V23" s="14"/>
      <c r="W23" s="21"/>
      <c r="X23" s="21"/>
      <c r="Y23" s="21"/>
      <c r="Z23" s="21"/>
      <c r="AA23" s="36">
        <f t="shared" si="20"/>
        <v>0</v>
      </c>
      <c r="AB23" s="9"/>
      <c r="AC23" s="21"/>
      <c r="AD23" s="21"/>
      <c r="AE23" s="37"/>
      <c r="AF23" s="36">
        <f t="shared" si="10"/>
        <v>0</v>
      </c>
      <c r="AG23" s="9"/>
      <c r="AH23" s="21"/>
      <c r="AI23" s="21"/>
      <c r="AJ23" s="21"/>
      <c r="AK23" s="21"/>
      <c r="AL23" s="21"/>
      <c r="AM23" s="21"/>
      <c r="AN23" s="10"/>
      <c r="AO23" s="125"/>
      <c r="AP23" s="117"/>
      <c r="AQ23" s="117"/>
      <c r="AR23" s="117"/>
      <c r="AS23" s="194"/>
      <c r="AT23" s="190"/>
      <c r="AU23" s="195"/>
      <c r="AX23" s="130"/>
      <c r="AY23" s="130"/>
      <c r="AZ23" s="130" t="b">
        <f t="shared" si="11"/>
        <v>0</v>
      </c>
      <c r="BA23" s="130" t="b">
        <f t="shared" si="12"/>
        <v>0</v>
      </c>
    </row>
    <row r="24" spans="2:56" x14ac:dyDescent="0.3">
      <c r="B24" s="41" t="s">
        <v>42</v>
      </c>
      <c r="C24" s="51"/>
      <c r="E24" s="37"/>
      <c r="F24" s="38">
        <f t="shared" si="15"/>
        <v>0</v>
      </c>
      <c r="G24" s="38">
        <f t="shared" si="1"/>
        <v>0</v>
      </c>
      <c r="H24" s="37"/>
      <c r="I24" s="38">
        <f t="shared" si="16"/>
        <v>0</v>
      </c>
      <c r="J24" s="38">
        <f t="shared" si="3"/>
        <v>0</v>
      </c>
      <c r="K24" s="37"/>
      <c r="L24" s="38">
        <f t="shared" si="17"/>
        <v>0</v>
      </c>
      <c r="M24" s="8">
        <f t="shared" si="18"/>
        <v>0</v>
      </c>
      <c r="N24" s="37"/>
      <c r="O24" s="38">
        <f t="shared" si="19"/>
        <v>0</v>
      </c>
      <c r="P24" s="38">
        <f t="shared" si="5"/>
        <v>0</v>
      </c>
      <c r="Q24" s="37"/>
      <c r="R24" s="38">
        <f t="shared" si="6"/>
        <v>0</v>
      </c>
      <c r="S24" s="38">
        <f>IF(R24&gt;0,1,0)</f>
        <v>0</v>
      </c>
      <c r="T24" s="117">
        <f t="shared" si="8"/>
        <v>0</v>
      </c>
      <c r="U24" s="117">
        <f t="shared" si="9"/>
        <v>0</v>
      </c>
      <c r="V24" s="14"/>
      <c r="W24" s="37"/>
      <c r="X24" s="37"/>
      <c r="Y24" s="37"/>
      <c r="Z24" s="37"/>
      <c r="AA24" s="36">
        <f t="shared" si="20"/>
        <v>0</v>
      </c>
      <c r="AB24" s="9"/>
      <c r="AC24" s="37"/>
      <c r="AD24" s="127"/>
      <c r="AE24" s="37"/>
      <c r="AF24" s="36">
        <f t="shared" si="10"/>
        <v>0</v>
      </c>
      <c r="AG24" s="9"/>
      <c r="AH24" s="37"/>
      <c r="AI24" s="37"/>
      <c r="AJ24" s="37"/>
      <c r="AK24" s="37"/>
      <c r="AL24" s="37"/>
      <c r="AM24" s="37"/>
      <c r="AN24" s="36">
        <f>IF(AH24="X",1)+IF(AI24="X",2)+IF(AJ24="X",3)+IF(AK24="X",4)+IF(AL24="X",5)+IF(AM24="X",6)</f>
        <v>0</v>
      </c>
      <c r="AO24" s="125"/>
      <c r="AP24" s="117">
        <f>AA24+AF24+AN24</f>
        <v>0</v>
      </c>
      <c r="AQ24" s="117">
        <f>(AP24+U24)/2</f>
        <v>0</v>
      </c>
      <c r="AR24" s="117">
        <f>IF(AS24="",0,10)</f>
        <v>0</v>
      </c>
      <c r="AS24" s="39" t="str">
        <f>IF(AX24=TRUE,"Desprezível",IF(AY24=TRUE,"Administrável",IF(AZ24=TRUE,"Indesejável",IF(BA24=TRUE,"Intolerável",""))))</f>
        <v/>
      </c>
      <c r="AT24" s="185"/>
      <c r="AU24" s="195"/>
      <c r="AX24" s="130" t="b">
        <f t="shared" si="13"/>
        <v>0</v>
      </c>
      <c r="AY24" s="130" t="b">
        <f t="shared" si="14"/>
        <v>0</v>
      </c>
      <c r="AZ24" s="130" t="b">
        <f t="shared" si="11"/>
        <v>0</v>
      </c>
      <c r="BA24" s="130" t="b">
        <f t="shared" si="12"/>
        <v>0</v>
      </c>
    </row>
    <row r="25" spans="2:56" ht="3" customHeight="1" x14ac:dyDescent="0.3">
      <c r="C25" s="47"/>
      <c r="E25" s="21"/>
      <c r="F25" s="38">
        <f t="shared" si="15"/>
        <v>0</v>
      </c>
      <c r="G25" s="38">
        <f t="shared" si="1"/>
        <v>0</v>
      </c>
      <c r="H25" s="21"/>
      <c r="I25" s="38">
        <f t="shared" si="16"/>
        <v>0</v>
      </c>
      <c r="J25" s="38">
        <f t="shared" si="3"/>
        <v>0</v>
      </c>
      <c r="K25" s="21"/>
      <c r="L25" s="38">
        <f t="shared" si="17"/>
        <v>0</v>
      </c>
      <c r="M25" s="8">
        <f t="shared" si="18"/>
        <v>0</v>
      </c>
      <c r="N25" s="37"/>
      <c r="O25" s="38">
        <f t="shared" si="19"/>
        <v>0</v>
      </c>
      <c r="P25" s="38">
        <f t="shared" si="5"/>
        <v>0</v>
      </c>
      <c r="Q25" s="37"/>
      <c r="R25" s="38">
        <f t="shared" si="6"/>
        <v>0</v>
      </c>
      <c r="S25" s="10"/>
      <c r="T25" s="117">
        <f t="shared" si="8"/>
        <v>0</v>
      </c>
      <c r="U25" s="117">
        <f t="shared" si="9"/>
        <v>0</v>
      </c>
      <c r="V25" s="14"/>
      <c r="W25" s="21"/>
      <c r="X25" s="21"/>
      <c r="Y25" s="21"/>
      <c r="Z25" s="21"/>
      <c r="AA25" s="36">
        <f t="shared" si="20"/>
        <v>0</v>
      </c>
      <c r="AB25" s="9"/>
      <c r="AC25" s="21"/>
      <c r="AD25" s="21"/>
      <c r="AE25" s="37"/>
      <c r="AF25" s="36">
        <f t="shared" si="10"/>
        <v>0</v>
      </c>
      <c r="AG25" s="9"/>
      <c r="AH25" s="21"/>
      <c r="AI25" s="21"/>
      <c r="AJ25" s="21"/>
      <c r="AK25" s="21"/>
      <c r="AL25" s="21"/>
      <c r="AM25" s="21"/>
      <c r="AN25" s="10"/>
      <c r="AO25" s="125"/>
      <c r="AP25" s="117"/>
      <c r="AQ25" s="117"/>
      <c r="AR25" s="117"/>
      <c r="AS25" s="194"/>
      <c r="AT25" s="190"/>
      <c r="AU25" s="195"/>
      <c r="AX25" s="130"/>
      <c r="AY25" s="130"/>
      <c r="AZ25" s="130" t="b">
        <f t="shared" si="11"/>
        <v>0</v>
      </c>
      <c r="BA25" s="130" t="b">
        <f t="shared" si="12"/>
        <v>0</v>
      </c>
    </row>
    <row r="26" spans="2:56" x14ac:dyDescent="0.3">
      <c r="B26" s="41" t="s">
        <v>43</v>
      </c>
      <c r="C26" s="203"/>
      <c r="E26" s="37"/>
      <c r="F26" s="38">
        <f t="shared" si="15"/>
        <v>0</v>
      </c>
      <c r="G26" s="38">
        <f t="shared" si="1"/>
        <v>0</v>
      </c>
      <c r="H26" s="37"/>
      <c r="I26" s="38">
        <f t="shared" si="16"/>
        <v>0</v>
      </c>
      <c r="J26" s="38">
        <f t="shared" si="3"/>
        <v>0</v>
      </c>
      <c r="K26" s="37"/>
      <c r="L26" s="38">
        <f t="shared" si="17"/>
        <v>0</v>
      </c>
      <c r="M26" s="8">
        <f t="shared" si="18"/>
        <v>0</v>
      </c>
      <c r="N26" s="37"/>
      <c r="O26" s="38">
        <f t="shared" si="19"/>
        <v>0</v>
      </c>
      <c r="P26" s="38">
        <f t="shared" si="5"/>
        <v>0</v>
      </c>
      <c r="Q26" s="37"/>
      <c r="R26" s="38">
        <f t="shared" si="6"/>
        <v>0</v>
      </c>
      <c r="S26" s="38">
        <f>IF(R26&gt;0,1,0)</f>
        <v>0</v>
      </c>
      <c r="T26" s="117">
        <f t="shared" si="8"/>
        <v>0</v>
      </c>
      <c r="U26" s="117">
        <f t="shared" si="9"/>
        <v>0</v>
      </c>
      <c r="V26" s="14"/>
      <c r="W26" s="37"/>
      <c r="X26" s="37"/>
      <c r="Y26" s="37"/>
      <c r="Z26" s="37"/>
      <c r="AA26" s="36">
        <f t="shared" si="20"/>
        <v>0</v>
      </c>
      <c r="AB26" s="9"/>
      <c r="AC26" s="37"/>
      <c r="AD26" s="127"/>
      <c r="AE26" s="37"/>
      <c r="AF26" s="36">
        <f t="shared" si="10"/>
        <v>0</v>
      </c>
      <c r="AG26" s="9"/>
      <c r="AH26" s="37"/>
      <c r="AI26" s="37"/>
      <c r="AJ26" s="37"/>
      <c r="AK26" s="37"/>
      <c r="AL26" s="37"/>
      <c r="AM26" s="37"/>
      <c r="AN26" s="36">
        <f>IF(AH26="X",1)+IF(AI26="X",2)+IF(AJ26="X",3)+IF(AK26="X",4)+IF(AL26="X",5)+IF(AM26="X",6)</f>
        <v>0</v>
      </c>
      <c r="AO26" s="125"/>
      <c r="AP26" s="117">
        <f>AA26+AF26+AN26</f>
        <v>0</v>
      </c>
      <c r="AQ26" s="117">
        <f>(AP26+U26)/2</f>
        <v>0</v>
      </c>
      <c r="AR26" s="117">
        <f>IF(AS26="",0,10)</f>
        <v>0</v>
      </c>
      <c r="AS26" s="39" t="str">
        <f>IF(AX26=TRUE,"Desprezível",IF(AY26=TRUE,"Administrável",IF(AZ26=TRUE,"Indesejável",IF(BA26=TRUE,"Intolerável",""))))</f>
        <v/>
      </c>
      <c r="AT26" s="185"/>
      <c r="AU26" s="195"/>
      <c r="AX26" s="130" t="b">
        <f t="shared" si="13"/>
        <v>0</v>
      </c>
      <c r="AY26" s="130" t="b">
        <f t="shared" si="14"/>
        <v>0</v>
      </c>
      <c r="AZ26" s="130" t="b">
        <f t="shared" si="11"/>
        <v>0</v>
      </c>
      <c r="BA26" s="130" t="b">
        <f t="shared" si="12"/>
        <v>0</v>
      </c>
    </row>
    <row r="27" spans="2:56" ht="3" customHeight="1" x14ac:dyDescent="0.3">
      <c r="C27" s="204"/>
      <c r="E27" s="21"/>
      <c r="F27" s="38">
        <f t="shared" si="15"/>
        <v>0</v>
      </c>
      <c r="G27" s="38">
        <f t="shared" si="1"/>
        <v>0</v>
      </c>
      <c r="H27" s="21"/>
      <c r="I27" s="38">
        <f t="shared" si="16"/>
        <v>0</v>
      </c>
      <c r="J27" s="38">
        <f t="shared" si="3"/>
        <v>0</v>
      </c>
      <c r="K27" s="21"/>
      <c r="L27" s="38">
        <f t="shared" si="17"/>
        <v>0</v>
      </c>
      <c r="M27" s="8">
        <f t="shared" si="18"/>
        <v>0</v>
      </c>
      <c r="N27" s="37"/>
      <c r="O27" s="38">
        <f t="shared" si="19"/>
        <v>0</v>
      </c>
      <c r="P27" s="38">
        <f t="shared" si="5"/>
        <v>0</v>
      </c>
      <c r="Q27" s="37"/>
      <c r="R27" s="38">
        <f t="shared" si="6"/>
        <v>0</v>
      </c>
      <c r="S27" s="10"/>
      <c r="T27" s="117">
        <f t="shared" si="8"/>
        <v>0</v>
      </c>
      <c r="U27" s="117">
        <f t="shared" si="9"/>
        <v>0</v>
      </c>
      <c r="V27" s="14"/>
      <c r="W27" s="21"/>
      <c r="X27" s="21"/>
      <c r="Y27" s="21"/>
      <c r="Z27" s="21"/>
      <c r="AA27" s="36">
        <f t="shared" si="20"/>
        <v>0</v>
      </c>
      <c r="AB27" s="9"/>
      <c r="AC27" s="21"/>
      <c r="AD27" s="21"/>
      <c r="AE27" s="37"/>
      <c r="AF27" s="36">
        <f t="shared" si="10"/>
        <v>0</v>
      </c>
      <c r="AG27" s="9"/>
      <c r="AH27" s="21"/>
      <c r="AI27" s="21"/>
      <c r="AJ27" s="21"/>
      <c r="AK27" s="21"/>
      <c r="AL27" s="21"/>
      <c r="AM27" s="21"/>
      <c r="AN27" s="10"/>
      <c r="AO27" s="125"/>
      <c r="AP27" s="117"/>
      <c r="AQ27" s="117"/>
      <c r="AR27" s="117"/>
      <c r="AS27" s="194"/>
      <c r="AT27" s="190"/>
      <c r="AU27" s="195"/>
      <c r="AX27" s="130"/>
      <c r="AY27" s="130"/>
      <c r="AZ27" s="130" t="b">
        <f t="shared" si="11"/>
        <v>0</v>
      </c>
      <c r="BA27" s="130" t="b">
        <f t="shared" si="12"/>
        <v>0</v>
      </c>
    </row>
    <row r="28" spans="2:56" x14ac:dyDescent="0.3">
      <c r="B28" s="41" t="s">
        <v>44</v>
      </c>
      <c r="C28" s="203"/>
      <c r="E28" s="37"/>
      <c r="F28" s="38">
        <f t="shared" si="15"/>
        <v>0</v>
      </c>
      <c r="G28" s="38">
        <f t="shared" si="1"/>
        <v>0</v>
      </c>
      <c r="H28" s="37"/>
      <c r="I28" s="38">
        <f t="shared" si="16"/>
        <v>0</v>
      </c>
      <c r="J28" s="38">
        <f t="shared" si="3"/>
        <v>0</v>
      </c>
      <c r="K28" s="37"/>
      <c r="L28" s="38">
        <f t="shared" si="17"/>
        <v>0</v>
      </c>
      <c r="M28" s="8">
        <f t="shared" si="18"/>
        <v>0</v>
      </c>
      <c r="N28" s="37"/>
      <c r="O28" s="38">
        <f t="shared" si="19"/>
        <v>0</v>
      </c>
      <c r="P28" s="38">
        <f t="shared" si="5"/>
        <v>0</v>
      </c>
      <c r="Q28" s="37"/>
      <c r="R28" s="38">
        <f t="shared" si="6"/>
        <v>0</v>
      </c>
      <c r="S28" s="38">
        <f>IF(R28&gt;0,1,0)</f>
        <v>0</v>
      </c>
      <c r="T28" s="117">
        <f t="shared" si="8"/>
        <v>0</v>
      </c>
      <c r="U28" s="117">
        <f t="shared" si="9"/>
        <v>0</v>
      </c>
      <c r="V28" s="14"/>
      <c r="W28" s="37"/>
      <c r="X28" s="37"/>
      <c r="Y28" s="37"/>
      <c r="Z28" s="37"/>
      <c r="AA28" s="36">
        <f t="shared" si="20"/>
        <v>0</v>
      </c>
      <c r="AB28" s="9"/>
      <c r="AC28" s="37"/>
      <c r="AD28" s="127"/>
      <c r="AE28" s="37"/>
      <c r="AF28" s="36">
        <f t="shared" si="10"/>
        <v>0</v>
      </c>
      <c r="AG28" s="9"/>
      <c r="AH28" s="37"/>
      <c r="AI28" s="37"/>
      <c r="AJ28" s="37"/>
      <c r="AK28" s="37"/>
      <c r="AL28" s="37"/>
      <c r="AM28" s="37"/>
      <c r="AN28" s="36">
        <f>IF(AH28="X",1)+IF(AI28="X",2)+IF(AJ28="X",3)+IF(AK28="X",4)+IF(AL28="X",5)+IF(AM28="X",6)</f>
        <v>0</v>
      </c>
      <c r="AO28" s="125"/>
      <c r="AP28" s="117">
        <f>AA28+AF28+AN28</f>
        <v>0</v>
      </c>
      <c r="AQ28" s="117">
        <f>(AP28+U28)/2</f>
        <v>0</v>
      </c>
      <c r="AR28" s="117">
        <f>IF(AS28="",0,10)</f>
        <v>0</v>
      </c>
      <c r="AS28" s="39" t="str">
        <f>IF(AX28=TRUE,"Desprezível",IF(AY28=TRUE,"Administrável",IF(AZ28=TRUE,"Indesejável",IF(BA28=TRUE,"Intolerável",""))))</f>
        <v/>
      </c>
      <c r="AT28" s="185"/>
      <c r="AU28" s="195"/>
      <c r="AX28" s="130" t="b">
        <f t="shared" si="13"/>
        <v>0</v>
      </c>
      <c r="AY28" s="130" t="b">
        <f t="shared" si="14"/>
        <v>0</v>
      </c>
      <c r="AZ28" s="130" t="b">
        <f t="shared" si="11"/>
        <v>0</v>
      </c>
      <c r="BA28" s="130" t="b">
        <f t="shared" si="12"/>
        <v>0</v>
      </c>
    </row>
    <row r="29" spans="2:56" ht="3" customHeight="1" x14ac:dyDescent="0.3">
      <c r="C29" s="205"/>
      <c r="E29" s="21"/>
      <c r="F29" s="38">
        <f t="shared" si="15"/>
        <v>0</v>
      </c>
      <c r="G29" s="38">
        <f t="shared" si="1"/>
        <v>0</v>
      </c>
      <c r="H29" s="21"/>
      <c r="I29" s="38">
        <f t="shared" si="16"/>
        <v>0</v>
      </c>
      <c r="J29" s="38">
        <f t="shared" si="3"/>
        <v>0</v>
      </c>
      <c r="K29" s="21"/>
      <c r="L29" s="38">
        <f t="shared" si="17"/>
        <v>0</v>
      </c>
      <c r="M29" s="8">
        <f t="shared" si="18"/>
        <v>0</v>
      </c>
      <c r="N29" s="37"/>
      <c r="O29" s="38">
        <f t="shared" si="19"/>
        <v>0</v>
      </c>
      <c r="P29" s="38">
        <f t="shared" si="5"/>
        <v>0</v>
      </c>
      <c r="Q29" s="37"/>
      <c r="R29" s="38">
        <f t="shared" si="6"/>
        <v>0</v>
      </c>
      <c r="S29" s="10"/>
      <c r="T29" s="117">
        <f t="shared" si="8"/>
        <v>0</v>
      </c>
      <c r="U29" s="117">
        <f t="shared" si="9"/>
        <v>0</v>
      </c>
      <c r="V29" s="14"/>
      <c r="W29" s="21"/>
      <c r="X29" s="21"/>
      <c r="Y29" s="21"/>
      <c r="Z29" s="21"/>
      <c r="AA29" s="36">
        <f t="shared" si="20"/>
        <v>0</v>
      </c>
      <c r="AB29" s="9"/>
      <c r="AC29" s="21"/>
      <c r="AD29" s="21"/>
      <c r="AE29" s="37"/>
      <c r="AF29" s="36">
        <f t="shared" si="10"/>
        <v>0</v>
      </c>
      <c r="AG29" s="9"/>
      <c r="AH29" s="21"/>
      <c r="AI29" s="21"/>
      <c r="AJ29" s="21"/>
      <c r="AK29" s="21"/>
      <c r="AL29" s="21"/>
      <c r="AM29" s="21"/>
      <c r="AN29" s="10"/>
      <c r="AO29" s="125"/>
      <c r="AP29" s="117"/>
      <c r="AQ29" s="117"/>
      <c r="AR29" s="117"/>
      <c r="AS29" s="194"/>
      <c r="AT29" s="190"/>
      <c r="AU29" s="195"/>
      <c r="AX29" s="130"/>
      <c r="AY29" s="130"/>
      <c r="AZ29" s="130" t="b">
        <f t="shared" si="11"/>
        <v>0</v>
      </c>
      <c r="BA29" s="130" t="b">
        <f t="shared" si="12"/>
        <v>0</v>
      </c>
    </row>
    <row r="30" spans="2:56" x14ac:dyDescent="0.3">
      <c r="B30" s="41" t="s">
        <v>47</v>
      </c>
      <c r="C30" s="203"/>
      <c r="E30" s="37"/>
      <c r="F30" s="38">
        <f t="shared" si="15"/>
        <v>0</v>
      </c>
      <c r="G30" s="38">
        <f t="shared" si="1"/>
        <v>0</v>
      </c>
      <c r="H30" s="37"/>
      <c r="I30" s="38">
        <f t="shared" si="16"/>
        <v>0</v>
      </c>
      <c r="J30" s="38">
        <f t="shared" si="3"/>
        <v>0</v>
      </c>
      <c r="K30" s="37"/>
      <c r="L30" s="38">
        <f t="shared" si="17"/>
        <v>0</v>
      </c>
      <c r="M30" s="8">
        <f t="shared" si="18"/>
        <v>0</v>
      </c>
      <c r="N30" s="37"/>
      <c r="O30" s="38">
        <f t="shared" si="19"/>
        <v>0</v>
      </c>
      <c r="P30" s="38">
        <f t="shared" si="5"/>
        <v>0</v>
      </c>
      <c r="Q30" s="37"/>
      <c r="R30" s="38">
        <f t="shared" si="6"/>
        <v>0</v>
      </c>
      <c r="S30" s="38">
        <f>IF(R30&gt;0,1,0)</f>
        <v>0</v>
      </c>
      <c r="T30" s="117">
        <f t="shared" si="8"/>
        <v>0</v>
      </c>
      <c r="U30" s="117">
        <f t="shared" si="9"/>
        <v>0</v>
      </c>
      <c r="V30" s="14"/>
      <c r="W30" s="37"/>
      <c r="X30" s="37"/>
      <c r="Y30" s="37"/>
      <c r="Z30" s="37"/>
      <c r="AA30" s="36">
        <f t="shared" si="20"/>
        <v>0</v>
      </c>
      <c r="AB30" s="9"/>
      <c r="AC30" s="37"/>
      <c r="AD30" s="127"/>
      <c r="AE30" s="37"/>
      <c r="AF30" s="36">
        <f t="shared" si="10"/>
        <v>0</v>
      </c>
      <c r="AG30" s="9"/>
      <c r="AH30" s="37"/>
      <c r="AI30" s="37"/>
      <c r="AJ30" s="37"/>
      <c r="AK30" s="37"/>
      <c r="AL30" s="37"/>
      <c r="AM30" s="37"/>
      <c r="AN30" s="36">
        <f>IF(AH30="X",1)+IF(AI30="X",2)+IF(AJ30="X",3)+IF(AK30="X",4)+IF(AL30="X",5)+IF(AM30="X",6)</f>
        <v>0</v>
      </c>
      <c r="AO30" s="125"/>
      <c r="AP30" s="117">
        <f>AA30+AF30+AN30</f>
        <v>0</v>
      </c>
      <c r="AQ30" s="117">
        <f>(AP30+U30)/2</f>
        <v>0</v>
      </c>
      <c r="AR30" s="117">
        <f>IF(AS30="",0,10)</f>
        <v>0</v>
      </c>
      <c r="AS30" s="39" t="str">
        <f>IF(AX30=TRUE,"Desprezível",IF(AY30=TRUE,"Administrável",IF(AZ30=TRUE,"Indesejável",IF(BA30=TRUE,"Intolerável",""))))</f>
        <v/>
      </c>
      <c r="AT30" s="185"/>
      <c r="AU30" s="195"/>
      <c r="AX30" s="130" t="b">
        <f t="shared" si="13"/>
        <v>0</v>
      </c>
      <c r="AY30" s="130" t="b">
        <f t="shared" si="14"/>
        <v>0</v>
      </c>
      <c r="AZ30" s="130" t="b">
        <f t="shared" si="11"/>
        <v>0</v>
      </c>
      <c r="BA30" s="130" t="b">
        <f t="shared" si="12"/>
        <v>0</v>
      </c>
    </row>
    <row r="31" spans="2:56" ht="3" customHeight="1" x14ac:dyDescent="0.3">
      <c r="C31" s="205"/>
      <c r="E31" s="21"/>
      <c r="F31" s="38">
        <f t="shared" si="15"/>
        <v>0</v>
      </c>
      <c r="G31" s="38">
        <f t="shared" si="1"/>
        <v>0</v>
      </c>
      <c r="H31" s="21"/>
      <c r="I31" s="38">
        <f t="shared" si="16"/>
        <v>0</v>
      </c>
      <c r="J31" s="38">
        <f t="shared" si="3"/>
        <v>0</v>
      </c>
      <c r="K31" s="21"/>
      <c r="L31" s="38">
        <f t="shared" si="17"/>
        <v>0</v>
      </c>
      <c r="M31" s="8">
        <f t="shared" si="18"/>
        <v>0</v>
      </c>
      <c r="N31" s="37"/>
      <c r="O31" s="38">
        <f t="shared" si="19"/>
        <v>0</v>
      </c>
      <c r="P31" s="38">
        <f t="shared" si="5"/>
        <v>0</v>
      </c>
      <c r="Q31" s="37"/>
      <c r="R31" s="38">
        <f t="shared" si="6"/>
        <v>0</v>
      </c>
      <c r="S31" s="10"/>
      <c r="T31" s="117">
        <f t="shared" si="8"/>
        <v>0</v>
      </c>
      <c r="U31" s="117">
        <f t="shared" si="9"/>
        <v>0</v>
      </c>
      <c r="V31" s="14"/>
      <c r="W31" s="21"/>
      <c r="X31" s="21"/>
      <c r="Y31" s="21"/>
      <c r="Z31" s="21"/>
      <c r="AA31" s="36">
        <f t="shared" si="20"/>
        <v>0</v>
      </c>
      <c r="AB31" s="9"/>
      <c r="AC31" s="21"/>
      <c r="AD31" s="21"/>
      <c r="AE31" s="37"/>
      <c r="AF31" s="36">
        <f t="shared" si="10"/>
        <v>0</v>
      </c>
      <c r="AG31" s="9"/>
      <c r="AH31" s="21"/>
      <c r="AI31" s="21"/>
      <c r="AJ31" s="21"/>
      <c r="AK31" s="21"/>
      <c r="AL31" s="21"/>
      <c r="AM31" s="21"/>
      <c r="AN31" s="10"/>
      <c r="AO31" s="125"/>
      <c r="AP31" s="117"/>
      <c r="AQ31" s="117"/>
      <c r="AR31" s="117"/>
      <c r="AS31" s="194"/>
      <c r="AT31" s="190"/>
      <c r="AU31" s="195"/>
      <c r="AX31" s="130"/>
      <c r="AY31" s="130"/>
      <c r="AZ31" s="130" t="b">
        <f t="shared" si="11"/>
        <v>0</v>
      </c>
      <c r="BA31" s="130" t="b">
        <f t="shared" si="12"/>
        <v>0</v>
      </c>
    </row>
    <row r="32" spans="2:56" x14ac:dyDescent="0.3">
      <c r="B32" s="41" t="s">
        <v>48</v>
      </c>
      <c r="C32" s="203"/>
      <c r="E32" s="37"/>
      <c r="F32" s="38">
        <f t="shared" si="15"/>
        <v>0</v>
      </c>
      <c r="G32" s="38">
        <f t="shared" si="1"/>
        <v>0</v>
      </c>
      <c r="H32" s="37"/>
      <c r="I32" s="38">
        <f t="shared" si="16"/>
        <v>0</v>
      </c>
      <c r="J32" s="38">
        <f t="shared" si="3"/>
        <v>0</v>
      </c>
      <c r="K32" s="37"/>
      <c r="L32" s="38">
        <f t="shared" si="17"/>
        <v>0</v>
      </c>
      <c r="M32" s="8">
        <f t="shared" si="18"/>
        <v>0</v>
      </c>
      <c r="N32" s="37"/>
      <c r="O32" s="38">
        <f t="shared" si="19"/>
        <v>0</v>
      </c>
      <c r="P32" s="38">
        <f t="shared" si="5"/>
        <v>0</v>
      </c>
      <c r="Q32" s="37"/>
      <c r="R32" s="38">
        <f t="shared" si="6"/>
        <v>0</v>
      </c>
      <c r="S32" s="38">
        <f>IF(R32&gt;0,1,0)</f>
        <v>0</v>
      </c>
      <c r="T32" s="117">
        <f t="shared" si="8"/>
        <v>0</v>
      </c>
      <c r="U32" s="117">
        <f t="shared" si="9"/>
        <v>0</v>
      </c>
      <c r="V32" s="14"/>
      <c r="W32" s="37"/>
      <c r="X32" s="37"/>
      <c r="Y32" s="37"/>
      <c r="Z32" s="37"/>
      <c r="AA32" s="36">
        <f t="shared" si="20"/>
        <v>0</v>
      </c>
      <c r="AB32" s="9"/>
      <c r="AC32" s="37"/>
      <c r="AD32" s="127"/>
      <c r="AE32" s="37"/>
      <c r="AF32" s="36">
        <f t="shared" si="10"/>
        <v>0</v>
      </c>
      <c r="AG32" s="9"/>
      <c r="AH32" s="37"/>
      <c r="AI32" s="37"/>
      <c r="AJ32" s="37"/>
      <c r="AK32" s="37"/>
      <c r="AL32" s="37"/>
      <c r="AM32" s="37"/>
      <c r="AN32" s="36">
        <f>IF(AH32="X",1)+IF(AI32="X",2)+IF(AJ32="X",3)+IF(AK32="X",4)+IF(AL32="X",5)+IF(AM32="X",6)</f>
        <v>0</v>
      </c>
      <c r="AO32" s="125"/>
      <c r="AP32" s="117">
        <f>AA32+AF32+AN32</f>
        <v>0</v>
      </c>
      <c r="AQ32" s="117">
        <f>(AP32+U32)/2</f>
        <v>0</v>
      </c>
      <c r="AR32" s="117">
        <f>IF(AS32="",0,10)</f>
        <v>0</v>
      </c>
      <c r="AS32" s="39" t="str">
        <f>IF(AX32=TRUE,"Desprezível",IF(AY32=TRUE,"Administrável",IF(AZ32=TRUE,"Indesejável",IF(BA32=TRUE,"Intolerável",""))))</f>
        <v/>
      </c>
      <c r="AT32" s="185"/>
      <c r="AU32" s="195"/>
      <c r="AX32" s="130" t="b">
        <f t="shared" si="13"/>
        <v>0</v>
      </c>
      <c r="AY32" s="130" t="b">
        <f t="shared" si="14"/>
        <v>0</v>
      </c>
      <c r="AZ32" s="130" t="b">
        <f t="shared" si="11"/>
        <v>0</v>
      </c>
      <c r="BA32" s="130" t="b">
        <f t="shared" si="12"/>
        <v>0</v>
      </c>
    </row>
    <row r="33" spans="2:55" ht="3" customHeight="1" x14ac:dyDescent="0.3">
      <c r="C33" s="205"/>
      <c r="E33" s="21"/>
      <c r="F33" s="38">
        <f t="shared" si="15"/>
        <v>0</v>
      </c>
      <c r="G33" s="38">
        <f t="shared" si="1"/>
        <v>0</v>
      </c>
      <c r="H33" s="21"/>
      <c r="I33" s="38">
        <f t="shared" si="16"/>
        <v>0</v>
      </c>
      <c r="J33" s="38">
        <f t="shared" si="3"/>
        <v>0</v>
      </c>
      <c r="K33" s="21"/>
      <c r="L33" s="38">
        <f t="shared" si="17"/>
        <v>0</v>
      </c>
      <c r="M33" s="8">
        <f t="shared" si="18"/>
        <v>0</v>
      </c>
      <c r="N33" s="37"/>
      <c r="O33" s="38">
        <f t="shared" si="19"/>
        <v>0</v>
      </c>
      <c r="P33" s="38">
        <f t="shared" si="5"/>
        <v>0</v>
      </c>
      <c r="Q33" s="37"/>
      <c r="R33" s="38">
        <f t="shared" si="6"/>
        <v>0</v>
      </c>
      <c r="S33" s="10"/>
      <c r="T33" s="117">
        <f t="shared" si="8"/>
        <v>0</v>
      </c>
      <c r="U33" s="117">
        <f t="shared" si="9"/>
        <v>0</v>
      </c>
      <c r="V33" s="14"/>
      <c r="W33" s="21"/>
      <c r="X33" s="21"/>
      <c r="Y33" s="21"/>
      <c r="Z33" s="21"/>
      <c r="AA33" s="36">
        <f t="shared" si="20"/>
        <v>0</v>
      </c>
      <c r="AB33" s="9"/>
      <c r="AC33" s="21"/>
      <c r="AD33" s="21"/>
      <c r="AE33" s="37"/>
      <c r="AF33" s="36">
        <f t="shared" si="10"/>
        <v>0</v>
      </c>
      <c r="AG33" s="9"/>
      <c r="AH33" s="21"/>
      <c r="AI33" s="21"/>
      <c r="AJ33" s="21"/>
      <c r="AK33" s="21"/>
      <c r="AL33" s="21"/>
      <c r="AM33" s="21"/>
      <c r="AN33" s="10"/>
      <c r="AO33" s="125"/>
      <c r="AP33" s="117"/>
      <c r="AQ33" s="117"/>
      <c r="AR33" s="117"/>
      <c r="AS33" s="194"/>
      <c r="AT33" s="190"/>
      <c r="AU33" s="195"/>
      <c r="AX33" s="130"/>
      <c r="AY33" s="130"/>
      <c r="AZ33" s="130" t="b">
        <f t="shared" si="11"/>
        <v>0</v>
      </c>
      <c r="BA33" s="130" t="b">
        <f t="shared" si="12"/>
        <v>0</v>
      </c>
    </row>
    <row r="34" spans="2:55" x14ac:dyDescent="0.3">
      <c r="B34" s="41" t="s">
        <v>51</v>
      </c>
      <c r="C34" s="203"/>
      <c r="E34" s="37"/>
      <c r="F34" s="38">
        <f t="shared" si="15"/>
        <v>0</v>
      </c>
      <c r="G34" s="38">
        <f t="shared" si="1"/>
        <v>0</v>
      </c>
      <c r="H34" s="37"/>
      <c r="I34" s="38">
        <f t="shared" si="16"/>
        <v>0</v>
      </c>
      <c r="J34" s="38">
        <f t="shared" si="3"/>
        <v>0</v>
      </c>
      <c r="K34" s="37"/>
      <c r="L34" s="38">
        <f t="shared" si="17"/>
        <v>0</v>
      </c>
      <c r="M34" s="8">
        <f t="shared" si="18"/>
        <v>0</v>
      </c>
      <c r="N34" s="37"/>
      <c r="O34" s="38">
        <f t="shared" si="19"/>
        <v>0</v>
      </c>
      <c r="P34" s="38">
        <f t="shared" si="5"/>
        <v>0</v>
      </c>
      <c r="Q34" s="37"/>
      <c r="R34" s="38">
        <f t="shared" si="6"/>
        <v>0</v>
      </c>
      <c r="S34" s="38">
        <f>IF(R34&gt;0,1,0)</f>
        <v>0</v>
      </c>
      <c r="T34" s="117">
        <f t="shared" si="8"/>
        <v>0</v>
      </c>
      <c r="U34" s="117">
        <f t="shared" si="9"/>
        <v>0</v>
      </c>
      <c r="V34" s="14"/>
      <c r="W34" s="37"/>
      <c r="X34" s="37"/>
      <c r="Y34" s="37"/>
      <c r="Z34" s="37"/>
      <c r="AA34" s="36">
        <f t="shared" si="20"/>
        <v>0</v>
      </c>
      <c r="AB34" s="9"/>
      <c r="AC34" s="37"/>
      <c r="AD34" s="127"/>
      <c r="AE34" s="37"/>
      <c r="AF34" s="36">
        <f t="shared" si="10"/>
        <v>0</v>
      </c>
      <c r="AG34" s="9"/>
      <c r="AH34" s="37"/>
      <c r="AI34" s="37"/>
      <c r="AJ34" s="37"/>
      <c r="AK34" s="37"/>
      <c r="AL34" s="37"/>
      <c r="AM34" s="37"/>
      <c r="AN34" s="36">
        <f>IF(AH34="X",1)+IF(AI34="X",2)+IF(AJ34="X",3)+IF(AK34="X",4)+IF(AL34="X",5)+IF(AM34="X",6)</f>
        <v>0</v>
      </c>
      <c r="AO34" s="125"/>
      <c r="AP34" s="117">
        <f>AA34+AF34+AN34</f>
        <v>0</v>
      </c>
      <c r="AQ34" s="117">
        <f>(AP34+U34)/2</f>
        <v>0</v>
      </c>
      <c r="AR34" s="117">
        <f>IF(AS34="",0,10)</f>
        <v>0</v>
      </c>
      <c r="AS34" s="39" t="str">
        <f>IF(AX34=TRUE,"Desprezível",IF(AY34=TRUE,"Administrável",IF(AZ34=TRUE,"Indesejável",IF(BA34=TRUE,"Intolerável",""))))</f>
        <v/>
      </c>
      <c r="AT34" s="185"/>
      <c r="AU34" s="195"/>
      <c r="AX34" s="130" t="b">
        <f t="shared" si="13"/>
        <v>0</v>
      </c>
      <c r="AY34" s="130" t="b">
        <f t="shared" si="14"/>
        <v>0</v>
      </c>
      <c r="AZ34" s="130" t="b">
        <f t="shared" si="11"/>
        <v>0</v>
      </c>
      <c r="BA34" s="130" t="b">
        <f t="shared" si="12"/>
        <v>0</v>
      </c>
    </row>
    <row r="35" spans="2:55" ht="3" customHeight="1" x14ac:dyDescent="0.3">
      <c r="C35" s="204"/>
      <c r="E35" s="21"/>
      <c r="F35" s="38">
        <f t="shared" si="15"/>
        <v>0</v>
      </c>
      <c r="G35" s="38">
        <f t="shared" si="1"/>
        <v>0</v>
      </c>
      <c r="H35" s="21"/>
      <c r="I35" s="38">
        <f t="shared" si="16"/>
        <v>0</v>
      </c>
      <c r="J35" s="38">
        <f t="shared" si="3"/>
        <v>0</v>
      </c>
      <c r="K35" s="21"/>
      <c r="L35" s="38">
        <f t="shared" si="17"/>
        <v>0</v>
      </c>
      <c r="M35" s="8">
        <f t="shared" si="18"/>
        <v>0</v>
      </c>
      <c r="N35" s="37"/>
      <c r="O35" s="38">
        <f t="shared" si="19"/>
        <v>0</v>
      </c>
      <c r="P35" s="38">
        <f t="shared" si="5"/>
        <v>0</v>
      </c>
      <c r="Q35" s="37"/>
      <c r="R35" s="38">
        <f t="shared" si="6"/>
        <v>0</v>
      </c>
      <c r="S35" s="10"/>
      <c r="T35" s="117">
        <f t="shared" si="8"/>
        <v>0</v>
      </c>
      <c r="U35" s="117">
        <f t="shared" si="9"/>
        <v>0</v>
      </c>
      <c r="V35" s="14"/>
      <c r="W35" s="21"/>
      <c r="X35" s="21"/>
      <c r="Y35" s="21"/>
      <c r="Z35" s="21"/>
      <c r="AA35" s="36">
        <f t="shared" si="20"/>
        <v>0</v>
      </c>
      <c r="AB35" s="9"/>
      <c r="AC35" s="21"/>
      <c r="AD35" s="21"/>
      <c r="AE35" s="37"/>
      <c r="AF35" s="36">
        <f t="shared" si="10"/>
        <v>0</v>
      </c>
      <c r="AG35" s="9"/>
      <c r="AH35" s="21"/>
      <c r="AI35" s="21"/>
      <c r="AJ35" s="21"/>
      <c r="AK35" s="21"/>
      <c r="AL35" s="21"/>
      <c r="AM35" s="21"/>
      <c r="AN35" s="10"/>
      <c r="AO35" s="125"/>
      <c r="AP35" s="117"/>
      <c r="AQ35" s="117"/>
      <c r="AR35" s="117"/>
      <c r="AS35" s="194"/>
      <c r="AT35" s="190"/>
      <c r="AU35" s="195"/>
      <c r="AX35" s="130"/>
      <c r="AY35" s="130"/>
      <c r="AZ35" s="130" t="b">
        <f t="shared" si="11"/>
        <v>0</v>
      </c>
      <c r="BA35" s="130" t="b">
        <f t="shared" si="12"/>
        <v>0</v>
      </c>
    </row>
    <row r="36" spans="2:55" x14ac:dyDescent="0.3">
      <c r="B36" s="41" t="s">
        <v>49</v>
      </c>
      <c r="C36" s="203"/>
      <c r="E36" s="37"/>
      <c r="F36" s="38">
        <f t="shared" si="15"/>
        <v>0</v>
      </c>
      <c r="G36" s="38">
        <f t="shared" si="1"/>
        <v>0</v>
      </c>
      <c r="H36" s="37"/>
      <c r="I36" s="38">
        <f t="shared" si="16"/>
        <v>0</v>
      </c>
      <c r="J36" s="38">
        <f t="shared" si="3"/>
        <v>0</v>
      </c>
      <c r="K36" s="37"/>
      <c r="L36" s="38">
        <f t="shared" si="17"/>
        <v>0</v>
      </c>
      <c r="M36" s="8">
        <f t="shared" si="18"/>
        <v>0</v>
      </c>
      <c r="N36" s="37"/>
      <c r="O36" s="38">
        <f t="shared" si="19"/>
        <v>0</v>
      </c>
      <c r="P36" s="38">
        <f t="shared" si="5"/>
        <v>0</v>
      </c>
      <c r="Q36" s="37"/>
      <c r="R36" s="38">
        <f t="shared" si="6"/>
        <v>0</v>
      </c>
      <c r="S36" s="38">
        <f>IF(R36&gt;0,1,0)</f>
        <v>0</v>
      </c>
      <c r="T36" s="117">
        <f t="shared" si="8"/>
        <v>0</v>
      </c>
      <c r="U36" s="117">
        <f t="shared" si="9"/>
        <v>0</v>
      </c>
      <c r="V36" s="14"/>
      <c r="W36" s="37"/>
      <c r="X36" s="37"/>
      <c r="Y36" s="37"/>
      <c r="Z36" s="37"/>
      <c r="AA36" s="36">
        <f t="shared" si="20"/>
        <v>0</v>
      </c>
      <c r="AB36" s="9"/>
      <c r="AC36" s="37"/>
      <c r="AD36" s="127"/>
      <c r="AE36" s="37"/>
      <c r="AF36" s="36">
        <f t="shared" si="10"/>
        <v>0</v>
      </c>
      <c r="AG36" s="9"/>
      <c r="AH36" s="37"/>
      <c r="AI36" s="37"/>
      <c r="AJ36" s="37"/>
      <c r="AK36" s="37"/>
      <c r="AL36" s="37"/>
      <c r="AM36" s="37"/>
      <c r="AN36" s="36">
        <f>IF(AH36="X",1)+IF(AI36="X",2)+IF(AJ36="X",3)+IF(AK36="X",4)+IF(AL36="X",5)+IF(AM36="X",6)</f>
        <v>0</v>
      </c>
      <c r="AO36" s="125"/>
      <c r="AP36" s="117">
        <f>AA36+AF36+AN36</f>
        <v>0</v>
      </c>
      <c r="AQ36" s="117">
        <f>(AP36+U36)/2</f>
        <v>0</v>
      </c>
      <c r="AR36" s="117">
        <f>IF(AS36="",0,10)</f>
        <v>0</v>
      </c>
      <c r="AS36" s="39" t="str">
        <f>IF(AX36=TRUE,"Desprezível",IF(AY36=TRUE,"Administrável",IF(AZ36=TRUE,"Indesejável",IF(BA36=TRUE,"Intolerável",""))))</f>
        <v/>
      </c>
      <c r="AT36" s="185"/>
      <c r="AU36" s="195"/>
      <c r="AX36" s="130" t="b">
        <f t="shared" si="13"/>
        <v>0</v>
      </c>
      <c r="AY36" s="130" t="b">
        <f t="shared" si="14"/>
        <v>0</v>
      </c>
      <c r="AZ36" s="130" t="b">
        <f t="shared" si="11"/>
        <v>0</v>
      </c>
      <c r="BA36" s="130" t="b">
        <f t="shared" si="12"/>
        <v>0</v>
      </c>
    </row>
    <row r="37" spans="2:55" ht="3.75" customHeight="1" x14ac:dyDescent="0.3">
      <c r="C37" s="204"/>
      <c r="E37" s="21"/>
      <c r="F37" s="38">
        <f t="shared" si="15"/>
        <v>0</v>
      </c>
      <c r="G37" s="38">
        <f t="shared" si="1"/>
        <v>0</v>
      </c>
      <c r="H37" s="21"/>
      <c r="I37" s="38">
        <f t="shared" si="16"/>
        <v>0</v>
      </c>
      <c r="J37" s="38">
        <f t="shared" si="3"/>
        <v>0</v>
      </c>
      <c r="K37" s="21"/>
      <c r="L37" s="38">
        <f t="shared" si="17"/>
        <v>0</v>
      </c>
      <c r="M37" s="8">
        <f t="shared" si="18"/>
        <v>0</v>
      </c>
      <c r="N37" s="37"/>
      <c r="O37" s="38">
        <f t="shared" si="19"/>
        <v>0</v>
      </c>
      <c r="P37" s="38">
        <f t="shared" si="5"/>
        <v>0</v>
      </c>
      <c r="Q37" s="37"/>
      <c r="R37" s="38">
        <f t="shared" si="6"/>
        <v>0</v>
      </c>
      <c r="S37" s="10"/>
      <c r="T37" s="117">
        <f t="shared" si="8"/>
        <v>0</v>
      </c>
      <c r="U37" s="117">
        <f t="shared" si="9"/>
        <v>0</v>
      </c>
      <c r="V37" s="14"/>
      <c r="W37" s="21"/>
      <c r="X37" s="21"/>
      <c r="Y37" s="21"/>
      <c r="Z37" s="21"/>
      <c r="AA37" s="36">
        <f t="shared" si="20"/>
        <v>0</v>
      </c>
      <c r="AB37" s="9"/>
      <c r="AC37" s="21"/>
      <c r="AD37" s="21"/>
      <c r="AE37" s="37"/>
      <c r="AF37" s="36">
        <f t="shared" si="10"/>
        <v>0</v>
      </c>
      <c r="AG37" s="9"/>
      <c r="AH37" s="21"/>
      <c r="AI37" s="21"/>
      <c r="AJ37" s="21"/>
      <c r="AK37" s="21"/>
      <c r="AL37" s="21"/>
      <c r="AM37" s="21"/>
      <c r="AN37" s="10"/>
      <c r="AO37" s="125"/>
      <c r="AP37" s="117"/>
      <c r="AQ37" s="117"/>
      <c r="AR37" s="117"/>
      <c r="AS37" s="194"/>
      <c r="AT37" s="190"/>
      <c r="AU37" s="195"/>
      <c r="AX37" s="130"/>
      <c r="AY37" s="130"/>
      <c r="AZ37" s="130" t="b">
        <f t="shared" si="11"/>
        <v>0</v>
      </c>
      <c r="BA37" s="130" t="b">
        <f t="shared" si="12"/>
        <v>0</v>
      </c>
    </row>
    <row r="38" spans="2:55" x14ac:dyDescent="0.3">
      <c r="B38" s="41" t="s">
        <v>50</v>
      </c>
      <c r="C38" s="203"/>
      <c r="E38" s="37"/>
      <c r="F38" s="38">
        <f t="shared" si="15"/>
        <v>0</v>
      </c>
      <c r="G38" s="38">
        <f t="shared" si="1"/>
        <v>0</v>
      </c>
      <c r="H38" s="37"/>
      <c r="I38" s="38">
        <f t="shared" si="16"/>
        <v>0</v>
      </c>
      <c r="J38" s="38">
        <f t="shared" si="3"/>
        <v>0</v>
      </c>
      <c r="K38" s="37"/>
      <c r="L38" s="38">
        <f t="shared" si="17"/>
        <v>0</v>
      </c>
      <c r="M38" s="8">
        <f t="shared" si="18"/>
        <v>0</v>
      </c>
      <c r="N38" s="37"/>
      <c r="O38" s="38">
        <f t="shared" si="19"/>
        <v>0</v>
      </c>
      <c r="P38" s="38">
        <f t="shared" si="5"/>
        <v>0</v>
      </c>
      <c r="Q38" s="37"/>
      <c r="R38" s="38">
        <f t="shared" si="6"/>
        <v>0</v>
      </c>
      <c r="S38" s="38">
        <f>IF(R38&gt;0,1,0)</f>
        <v>0</v>
      </c>
      <c r="T38" s="117">
        <f t="shared" si="8"/>
        <v>0</v>
      </c>
      <c r="U38" s="117">
        <f t="shared" si="9"/>
        <v>0</v>
      </c>
      <c r="V38" s="14"/>
      <c r="W38" s="37"/>
      <c r="X38" s="37"/>
      <c r="Y38" s="37"/>
      <c r="Z38" s="37"/>
      <c r="AA38" s="36">
        <f t="shared" si="20"/>
        <v>0</v>
      </c>
      <c r="AB38" s="9"/>
      <c r="AC38" s="37"/>
      <c r="AD38" s="127"/>
      <c r="AE38" s="37"/>
      <c r="AF38" s="36">
        <f t="shared" si="10"/>
        <v>0</v>
      </c>
      <c r="AG38" s="9"/>
      <c r="AH38" s="37"/>
      <c r="AI38" s="37"/>
      <c r="AJ38" s="37"/>
      <c r="AK38" s="37"/>
      <c r="AL38" s="37"/>
      <c r="AM38" s="37"/>
      <c r="AN38" s="36">
        <f>IF(AH38="X",1)+IF(AI38="X",2)+IF(AJ38="X",3)+IF(AK38="X",4)+IF(AL38="X",5)+IF(AM38="X",6)</f>
        <v>0</v>
      </c>
      <c r="AO38" s="125"/>
      <c r="AP38" s="117">
        <f>AA38+AF38+AN38</f>
        <v>0</v>
      </c>
      <c r="AQ38" s="117">
        <f>(AP38+U38)/2</f>
        <v>0</v>
      </c>
      <c r="AR38" s="117">
        <f>IF(AS38="",0,10)</f>
        <v>0</v>
      </c>
      <c r="AS38" s="39" t="str">
        <f>IF(AX38=TRUE,"Desprezível",IF(AY38=TRUE,"Administrável",IF(AZ38=TRUE,"Indesejável",IF(BA38=TRUE,"Intolerável",""))))</f>
        <v/>
      </c>
      <c r="AT38" s="185"/>
      <c r="AU38" s="195"/>
      <c r="AX38" s="130" t="b">
        <f t="shared" si="13"/>
        <v>0</v>
      </c>
      <c r="AY38" s="130" t="b">
        <f t="shared" si="14"/>
        <v>0</v>
      </c>
      <c r="AZ38" s="130" t="b">
        <f t="shared" si="11"/>
        <v>0</v>
      </c>
      <c r="BA38" s="130" t="b">
        <f t="shared" si="12"/>
        <v>0</v>
      </c>
    </row>
    <row r="39" spans="2:55" s="59" customFormat="1" ht="3.75" customHeight="1" x14ac:dyDescent="0.3">
      <c r="B39" s="50"/>
      <c r="C39" s="203"/>
      <c r="D39" s="52"/>
      <c r="E39" s="53"/>
      <c r="F39" s="38">
        <f t="shared" si="15"/>
        <v>0</v>
      </c>
      <c r="G39" s="38">
        <f t="shared" si="1"/>
        <v>0</v>
      </c>
      <c r="H39" s="53"/>
      <c r="I39" s="38">
        <f t="shared" si="16"/>
        <v>0</v>
      </c>
      <c r="J39" s="38">
        <f t="shared" si="3"/>
        <v>0</v>
      </c>
      <c r="K39" s="53"/>
      <c r="L39" s="38">
        <f t="shared" si="17"/>
        <v>0</v>
      </c>
      <c r="M39" s="8">
        <f t="shared" si="18"/>
        <v>0</v>
      </c>
      <c r="N39" s="37"/>
      <c r="O39" s="38">
        <f t="shared" si="19"/>
        <v>0</v>
      </c>
      <c r="P39" s="38">
        <f t="shared" si="5"/>
        <v>0</v>
      </c>
      <c r="Q39" s="37"/>
      <c r="R39" s="38">
        <f t="shared" si="6"/>
        <v>0</v>
      </c>
      <c r="S39" s="54"/>
      <c r="T39" s="117">
        <f t="shared" si="8"/>
        <v>0</v>
      </c>
      <c r="U39" s="117">
        <f t="shared" si="9"/>
        <v>0</v>
      </c>
      <c r="V39" s="56"/>
      <c r="W39" s="53"/>
      <c r="X39" s="53"/>
      <c r="Y39" s="53"/>
      <c r="Z39" s="53"/>
      <c r="AA39" s="36">
        <f t="shared" si="20"/>
        <v>0</v>
      </c>
      <c r="AB39" s="57"/>
      <c r="AC39" s="53"/>
      <c r="AD39" s="206"/>
      <c r="AE39" s="53"/>
      <c r="AF39" s="36">
        <f t="shared" si="10"/>
        <v>0</v>
      </c>
      <c r="AG39" s="57"/>
      <c r="AH39" s="53"/>
      <c r="AI39" s="53"/>
      <c r="AJ39" s="53"/>
      <c r="AK39" s="53"/>
      <c r="AL39" s="53"/>
      <c r="AM39" s="53"/>
      <c r="AN39" s="55"/>
      <c r="AO39" s="139"/>
      <c r="AP39" s="138"/>
      <c r="AQ39" s="138"/>
      <c r="AR39" s="138"/>
      <c r="AS39" s="58"/>
      <c r="AT39" s="185"/>
      <c r="AU39" s="195"/>
      <c r="AV39" s="183"/>
      <c r="AW39" s="60"/>
      <c r="AX39" s="130"/>
      <c r="AY39" s="130"/>
      <c r="AZ39" s="130" t="b">
        <f t="shared" si="11"/>
        <v>0</v>
      </c>
      <c r="BA39" s="130" t="b">
        <f t="shared" si="12"/>
        <v>0</v>
      </c>
      <c r="BC39" s="60"/>
    </row>
    <row r="40" spans="2:55" x14ac:dyDescent="0.3">
      <c r="B40" s="41" t="s">
        <v>53</v>
      </c>
      <c r="C40" s="203"/>
      <c r="E40" s="37"/>
      <c r="F40" s="38">
        <f t="shared" si="15"/>
        <v>0</v>
      </c>
      <c r="G40" s="38">
        <f t="shared" si="1"/>
        <v>0</v>
      </c>
      <c r="H40" s="37"/>
      <c r="I40" s="38">
        <f t="shared" si="16"/>
        <v>0</v>
      </c>
      <c r="J40" s="38">
        <f t="shared" si="3"/>
        <v>0</v>
      </c>
      <c r="K40" s="37"/>
      <c r="L40" s="38">
        <f t="shared" si="17"/>
        <v>0</v>
      </c>
      <c r="M40" s="8">
        <f t="shared" si="18"/>
        <v>0</v>
      </c>
      <c r="N40" s="37"/>
      <c r="O40" s="38">
        <f t="shared" si="19"/>
        <v>0</v>
      </c>
      <c r="P40" s="38">
        <f t="shared" si="5"/>
        <v>0</v>
      </c>
      <c r="Q40" s="37"/>
      <c r="R40" s="38">
        <f t="shared" si="6"/>
        <v>0</v>
      </c>
      <c r="S40" s="38">
        <f>IF(R40&gt;0,1,0)</f>
        <v>0</v>
      </c>
      <c r="T40" s="117">
        <f t="shared" si="8"/>
        <v>0</v>
      </c>
      <c r="U40" s="117">
        <f t="shared" si="9"/>
        <v>0</v>
      </c>
      <c r="V40" s="14"/>
      <c r="W40" s="37"/>
      <c r="X40" s="37"/>
      <c r="Y40" s="37"/>
      <c r="Z40" s="37"/>
      <c r="AA40" s="36">
        <f t="shared" si="20"/>
        <v>0</v>
      </c>
      <c r="AB40" s="9"/>
      <c r="AC40" s="37"/>
      <c r="AD40" s="127"/>
      <c r="AE40" s="37"/>
      <c r="AF40" s="36">
        <f t="shared" si="10"/>
        <v>0</v>
      </c>
      <c r="AG40" s="9"/>
      <c r="AH40" s="37"/>
      <c r="AI40" s="37"/>
      <c r="AJ40" s="37"/>
      <c r="AK40" s="37"/>
      <c r="AL40" s="37"/>
      <c r="AM40" s="37"/>
      <c r="AN40" s="36">
        <f>IF(AH40="X",1)+IF(AI40="X",2)+IF(AJ40="X",3)+IF(AK40="X",4)+IF(AL40="X",5)+IF(AM40="X",6)</f>
        <v>0</v>
      </c>
      <c r="AO40" s="125"/>
      <c r="AP40" s="117">
        <f>AA40+AF40+AN40</f>
        <v>0</v>
      </c>
      <c r="AQ40" s="117">
        <f>(AP40+U40)/2</f>
        <v>0</v>
      </c>
      <c r="AR40" s="117">
        <f>IF(AS40="",0,10)</f>
        <v>0</v>
      </c>
      <c r="AS40" s="39" t="str">
        <f>IF(AX40=TRUE,"Desprezível",IF(AY40=TRUE,"Administrável",IF(AZ40=TRUE,"Indesejável",IF(BA40=TRUE,"Intolerável",""))))</f>
        <v/>
      </c>
      <c r="AT40" s="185"/>
      <c r="AU40" s="195"/>
      <c r="AX40" s="130" t="b">
        <f t="shared" si="13"/>
        <v>0</v>
      </c>
      <c r="AY40" s="130" t="b">
        <f t="shared" si="14"/>
        <v>0</v>
      </c>
      <c r="AZ40" s="130" t="b">
        <f t="shared" si="11"/>
        <v>0</v>
      </c>
      <c r="BA40" s="130" t="b">
        <f t="shared" si="12"/>
        <v>0</v>
      </c>
    </row>
    <row r="41" spans="2:55" ht="3.75" customHeight="1" x14ac:dyDescent="0.3">
      <c r="C41" s="207"/>
      <c r="F41" s="38">
        <f t="shared" si="15"/>
        <v>0</v>
      </c>
      <c r="G41" s="38">
        <f t="shared" si="1"/>
        <v>0</v>
      </c>
      <c r="I41" s="38">
        <f t="shared" si="16"/>
        <v>0</v>
      </c>
      <c r="J41" s="38">
        <f t="shared" si="3"/>
        <v>0</v>
      </c>
      <c r="L41" s="38">
        <f t="shared" si="17"/>
        <v>0</v>
      </c>
      <c r="M41" s="8">
        <f t="shared" si="18"/>
        <v>0</v>
      </c>
      <c r="N41" s="37"/>
      <c r="O41" s="38">
        <f t="shared" si="19"/>
        <v>0</v>
      </c>
      <c r="P41" s="38">
        <f t="shared" si="5"/>
        <v>0</v>
      </c>
      <c r="Q41" s="37"/>
      <c r="R41" s="38">
        <f t="shared" si="6"/>
        <v>0</v>
      </c>
      <c r="T41" s="117">
        <f t="shared" si="8"/>
        <v>0</v>
      </c>
      <c r="U41" s="117">
        <f t="shared" si="9"/>
        <v>0</v>
      </c>
      <c r="AA41" s="36">
        <f t="shared" si="20"/>
        <v>0</v>
      </c>
      <c r="AE41" s="128"/>
      <c r="AF41" s="36">
        <f t="shared" si="10"/>
        <v>0</v>
      </c>
      <c r="AS41" s="191"/>
      <c r="AU41" s="195"/>
      <c r="AX41" s="130"/>
      <c r="AY41" s="130"/>
      <c r="AZ41" s="130" t="b">
        <f t="shared" si="11"/>
        <v>0</v>
      </c>
      <c r="BA41" s="130" t="b">
        <f t="shared" si="12"/>
        <v>0</v>
      </c>
    </row>
    <row r="42" spans="2:55" x14ac:dyDescent="0.3">
      <c r="B42" s="41" t="s">
        <v>54</v>
      </c>
      <c r="C42" s="203"/>
      <c r="E42" s="37"/>
      <c r="F42" s="38">
        <f t="shared" si="15"/>
        <v>0</v>
      </c>
      <c r="G42" s="38">
        <f t="shared" si="1"/>
        <v>0</v>
      </c>
      <c r="H42" s="37"/>
      <c r="I42" s="38">
        <f t="shared" si="16"/>
        <v>0</v>
      </c>
      <c r="J42" s="38">
        <f t="shared" si="3"/>
        <v>0</v>
      </c>
      <c r="K42" s="37"/>
      <c r="L42" s="38">
        <f t="shared" si="17"/>
        <v>0</v>
      </c>
      <c r="M42" s="8">
        <f t="shared" si="18"/>
        <v>0</v>
      </c>
      <c r="N42" s="37"/>
      <c r="O42" s="38">
        <f t="shared" si="19"/>
        <v>0</v>
      </c>
      <c r="P42" s="38">
        <f t="shared" si="5"/>
        <v>0</v>
      </c>
      <c r="Q42" s="37"/>
      <c r="R42" s="38">
        <f t="shared" si="6"/>
        <v>0</v>
      </c>
      <c r="S42" s="38">
        <f>IF(R42&gt;0,1,0)</f>
        <v>0</v>
      </c>
      <c r="T42" s="117">
        <f t="shared" si="8"/>
        <v>0</v>
      </c>
      <c r="U42" s="117">
        <f t="shared" si="9"/>
        <v>0</v>
      </c>
      <c r="V42" s="14"/>
      <c r="W42" s="37"/>
      <c r="X42" s="37"/>
      <c r="Y42" s="37"/>
      <c r="Z42" s="37"/>
      <c r="AA42" s="36">
        <f t="shared" si="20"/>
        <v>0</v>
      </c>
      <c r="AB42" s="9"/>
      <c r="AC42" s="37"/>
      <c r="AD42" s="127"/>
      <c r="AE42" s="37"/>
      <c r="AF42" s="36">
        <f t="shared" si="10"/>
        <v>0</v>
      </c>
      <c r="AG42" s="9"/>
      <c r="AH42" s="37"/>
      <c r="AI42" s="37"/>
      <c r="AJ42" s="37"/>
      <c r="AK42" s="37"/>
      <c r="AL42" s="37"/>
      <c r="AM42" s="37"/>
      <c r="AN42" s="36">
        <f>IF(AH42="X",1)+IF(AI42="X",2)+IF(AJ42="X",3)+IF(AK42="X",4)+IF(AL42="X",5)+IF(AM42="X",6)</f>
        <v>0</v>
      </c>
      <c r="AO42" s="125"/>
      <c r="AP42" s="117">
        <f>AA42+AF42+AN42</f>
        <v>0</v>
      </c>
      <c r="AQ42" s="117">
        <f>(AP42+U42)/2</f>
        <v>0</v>
      </c>
      <c r="AR42" s="117">
        <f>IF(AS42="",0,10)</f>
        <v>0</v>
      </c>
      <c r="AS42" s="39" t="str">
        <f>IF(AX42=TRUE,"Desprezível",IF(AY42=TRUE,"Administrável",IF(AZ42=TRUE,"Indesejável",IF(BA42=TRUE,"Intolerável",""))))</f>
        <v/>
      </c>
      <c r="AT42" s="185"/>
      <c r="AU42" s="195"/>
      <c r="AX42" s="130" t="b">
        <f t="shared" si="13"/>
        <v>0</v>
      </c>
      <c r="AY42" s="130" t="b">
        <f t="shared" si="14"/>
        <v>0</v>
      </c>
      <c r="AZ42" s="130" t="b">
        <f t="shared" si="11"/>
        <v>0</v>
      </c>
      <c r="BA42" s="130" t="b">
        <f t="shared" si="12"/>
        <v>0</v>
      </c>
    </row>
    <row r="43" spans="2:55" ht="3.75" customHeight="1" x14ac:dyDescent="0.3">
      <c r="C43" s="207"/>
      <c r="F43" s="38">
        <f t="shared" si="15"/>
        <v>0</v>
      </c>
      <c r="G43" s="38">
        <f t="shared" si="1"/>
        <v>0</v>
      </c>
      <c r="I43" s="38">
        <f t="shared" si="16"/>
        <v>0</v>
      </c>
      <c r="J43" s="38">
        <f t="shared" si="3"/>
        <v>0</v>
      </c>
      <c r="L43" s="38">
        <f t="shared" si="17"/>
        <v>0</v>
      </c>
      <c r="M43" s="8">
        <f t="shared" si="18"/>
        <v>0</v>
      </c>
      <c r="N43" s="37"/>
      <c r="O43" s="38">
        <f t="shared" si="19"/>
        <v>0</v>
      </c>
      <c r="P43" s="38">
        <f t="shared" si="5"/>
        <v>0</v>
      </c>
      <c r="Q43" s="37"/>
      <c r="R43" s="38">
        <f t="shared" si="6"/>
        <v>0</v>
      </c>
      <c r="T43" s="117">
        <f t="shared" si="8"/>
        <v>0</v>
      </c>
      <c r="U43" s="117">
        <f t="shared" si="9"/>
        <v>0</v>
      </c>
      <c r="AA43" s="36">
        <f t="shared" si="20"/>
        <v>0</v>
      </c>
      <c r="AE43" s="128"/>
      <c r="AF43" s="36">
        <f t="shared" si="10"/>
        <v>0</v>
      </c>
      <c r="AS43" s="191"/>
      <c r="AU43" s="195"/>
      <c r="AX43" s="130"/>
      <c r="AY43" s="130"/>
      <c r="AZ43" s="130" t="b">
        <f t="shared" si="11"/>
        <v>0</v>
      </c>
      <c r="BA43" s="130" t="b">
        <f t="shared" si="12"/>
        <v>0</v>
      </c>
    </row>
    <row r="44" spans="2:55" x14ac:dyDescent="0.3">
      <c r="B44" s="41" t="s">
        <v>55</v>
      </c>
      <c r="C44" s="203"/>
      <c r="E44" s="37"/>
      <c r="F44" s="38">
        <f t="shared" si="15"/>
        <v>0</v>
      </c>
      <c r="G44" s="38">
        <f t="shared" si="1"/>
        <v>0</v>
      </c>
      <c r="H44" s="37"/>
      <c r="I44" s="38">
        <f t="shared" si="16"/>
        <v>0</v>
      </c>
      <c r="J44" s="38">
        <f t="shared" si="3"/>
        <v>0</v>
      </c>
      <c r="K44" s="37"/>
      <c r="L44" s="38">
        <f t="shared" si="17"/>
        <v>0</v>
      </c>
      <c r="M44" s="8">
        <f t="shared" si="18"/>
        <v>0</v>
      </c>
      <c r="N44" s="37"/>
      <c r="O44" s="38">
        <f t="shared" si="19"/>
        <v>0</v>
      </c>
      <c r="P44" s="38">
        <f t="shared" si="5"/>
        <v>0</v>
      </c>
      <c r="Q44" s="37"/>
      <c r="R44" s="38">
        <f t="shared" si="6"/>
        <v>0</v>
      </c>
      <c r="S44" s="38">
        <f>IF(R44&gt;0,1,0)</f>
        <v>0</v>
      </c>
      <c r="T44" s="117">
        <f t="shared" si="8"/>
        <v>0</v>
      </c>
      <c r="U44" s="117">
        <f t="shared" si="9"/>
        <v>0</v>
      </c>
      <c r="V44" s="14"/>
      <c r="W44" s="37"/>
      <c r="X44" s="37"/>
      <c r="Y44" s="37"/>
      <c r="Z44" s="37"/>
      <c r="AA44" s="36">
        <f t="shared" si="20"/>
        <v>0</v>
      </c>
      <c r="AB44" s="9"/>
      <c r="AC44" s="37"/>
      <c r="AD44" s="127"/>
      <c r="AE44" s="37"/>
      <c r="AF44" s="36">
        <f t="shared" si="10"/>
        <v>0</v>
      </c>
      <c r="AG44" s="9"/>
      <c r="AH44" s="37"/>
      <c r="AI44" s="37"/>
      <c r="AJ44" s="37"/>
      <c r="AK44" s="37"/>
      <c r="AL44" s="37"/>
      <c r="AM44" s="37"/>
      <c r="AN44" s="36">
        <f>IF(AH44="X",1)+IF(AI44="X",2)+IF(AJ44="X",3)+IF(AK44="X",4)+IF(AL44="X",5)+IF(AM44="X",6)</f>
        <v>0</v>
      </c>
      <c r="AO44" s="125"/>
      <c r="AP44" s="117">
        <f>AA44+AF44+AN44</f>
        <v>0</v>
      </c>
      <c r="AQ44" s="117">
        <f>(AP44+U44)/2</f>
        <v>0</v>
      </c>
      <c r="AR44" s="117">
        <f>IF(AS44="",0,10)</f>
        <v>0</v>
      </c>
      <c r="AS44" s="39" t="str">
        <f>IF(AX44=TRUE,"Desprezível",IF(AY44=TRUE,"Administrável",IF(AZ44=TRUE,"Indesejável",IF(BA44=TRUE,"Intolerável",""))))</f>
        <v/>
      </c>
      <c r="AT44" s="185"/>
      <c r="AU44" s="195"/>
      <c r="AX44" s="130" t="b">
        <f t="shared" si="13"/>
        <v>0</v>
      </c>
      <c r="AY44" s="130" t="b">
        <f t="shared" si="14"/>
        <v>0</v>
      </c>
      <c r="AZ44" s="130" t="b">
        <f t="shared" si="11"/>
        <v>0</v>
      </c>
      <c r="BA44" s="130" t="b">
        <f t="shared" si="12"/>
        <v>0</v>
      </c>
    </row>
    <row r="45" spans="2:55" ht="3.75" customHeight="1" x14ac:dyDescent="0.3">
      <c r="C45" s="207"/>
      <c r="F45" s="38">
        <f t="shared" si="15"/>
        <v>0</v>
      </c>
      <c r="G45" s="38">
        <f t="shared" si="1"/>
        <v>0</v>
      </c>
      <c r="I45" s="38">
        <f t="shared" si="16"/>
        <v>0</v>
      </c>
      <c r="J45" s="38">
        <f t="shared" si="3"/>
        <v>0</v>
      </c>
      <c r="L45" s="38">
        <f t="shared" si="17"/>
        <v>0</v>
      </c>
      <c r="M45" s="8">
        <f t="shared" si="18"/>
        <v>0</v>
      </c>
      <c r="N45" s="37"/>
      <c r="O45" s="38">
        <f t="shared" si="19"/>
        <v>0</v>
      </c>
      <c r="P45" s="38">
        <f t="shared" si="5"/>
        <v>0</v>
      </c>
      <c r="Q45" s="37"/>
      <c r="R45" s="38">
        <f t="shared" si="6"/>
        <v>0</v>
      </c>
      <c r="T45" s="117">
        <f t="shared" si="8"/>
        <v>0</v>
      </c>
      <c r="U45" s="117">
        <f t="shared" si="9"/>
        <v>0</v>
      </c>
      <c r="AA45" s="36">
        <f t="shared" si="20"/>
        <v>0</v>
      </c>
      <c r="AE45" s="128"/>
      <c r="AF45" s="36">
        <f t="shared" si="10"/>
        <v>0</v>
      </c>
      <c r="AS45" s="191"/>
      <c r="AU45" s="195"/>
      <c r="AX45" s="130"/>
      <c r="AY45" s="130"/>
      <c r="AZ45" s="130" t="b">
        <f t="shared" si="11"/>
        <v>0</v>
      </c>
      <c r="BA45" s="130" t="b">
        <f t="shared" si="12"/>
        <v>0</v>
      </c>
    </row>
    <row r="46" spans="2:55" x14ac:dyDescent="0.3">
      <c r="B46" s="41" t="s">
        <v>56</v>
      </c>
      <c r="C46" s="203"/>
      <c r="E46" s="37"/>
      <c r="F46" s="38">
        <f t="shared" si="15"/>
        <v>0</v>
      </c>
      <c r="G46" s="38">
        <f t="shared" si="1"/>
        <v>0</v>
      </c>
      <c r="H46" s="37"/>
      <c r="I46" s="38">
        <f t="shared" si="16"/>
        <v>0</v>
      </c>
      <c r="J46" s="38">
        <f t="shared" si="3"/>
        <v>0</v>
      </c>
      <c r="K46" s="37"/>
      <c r="L46" s="38">
        <f t="shared" si="17"/>
        <v>0</v>
      </c>
      <c r="M46" s="8">
        <f t="shared" si="18"/>
        <v>0</v>
      </c>
      <c r="N46" s="37"/>
      <c r="O46" s="38">
        <f t="shared" si="19"/>
        <v>0</v>
      </c>
      <c r="P46" s="38">
        <f t="shared" si="5"/>
        <v>0</v>
      </c>
      <c r="Q46" s="37"/>
      <c r="R46" s="38">
        <f t="shared" si="6"/>
        <v>0</v>
      </c>
      <c r="S46" s="38">
        <f>IF(R46&gt;0,1,0)</f>
        <v>0</v>
      </c>
      <c r="T46" s="117">
        <f t="shared" si="8"/>
        <v>0</v>
      </c>
      <c r="U46" s="117">
        <f t="shared" si="9"/>
        <v>0</v>
      </c>
      <c r="V46" s="14"/>
      <c r="W46" s="37"/>
      <c r="X46" s="37"/>
      <c r="Y46" s="37"/>
      <c r="Z46" s="37"/>
      <c r="AA46" s="36">
        <f t="shared" si="20"/>
        <v>0</v>
      </c>
      <c r="AB46" s="9"/>
      <c r="AC46" s="37"/>
      <c r="AD46" s="127"/>
      <c r="AE46" s="37"/>
      <c r="AF46" s="36">
        <f t="shared" si="10"/>
        <v>0</v>
      </c>
      <c r="AG46" s="9"/>
      <c r="AH46" s="37"/>
      <c r="AI46" s="37"/>
      <c r="AJ46" s="37"/>
      <c r="AK46" s="37"/>
      <c r="AL46" s="37"/>
      <c r="AM46" s="37"/>
      <c r="AN46" s="36">
        <f>IF(AH46="X",1)+IF(AI46="X",2)+IF(AJ46="X",3)+IF(AK46="X",4)+IF(AL46="X",5)+IF(AM46="X",6)</f>
        <v>0</v>
      </c>
      <c r="AO46" s="125"/>
      <c r="AP46" s="117">
        <f>AA46+AF46+AN46</f>
        <v>0</v>
      </c>
      <c r="AQ46" s="117">
        <f>(AP46+U46)/2</f>
        <v>0</v>
      </c>
      <c r="AR46" s="117">
        <f>IF(AS46="",0,10)</f>
        <v>0</v>
      </c>
      <c r="AS46" s="39" t="str">
        <f>IF(AX46=TRUE,"Desprezível",IF(AY46=TRUE,"Administrável",IF(AZ46=TRUE,"Indesejável",IF(BA46=TRUE,"Intolerável",""))))</f>
        <v/>
      </c>
      <c r="AT46" s="185"/>
      <c r="AU46" s="195"/>
      <c r="AX46" s="130" t="b">
        <f t="shared" si="13"/>
        <v>0</v>
      </c>
      <c r="AY46" s="130" t="b">
        <f t="shared" si="14"/>
        <v>0</v>
      </c>
      <c r="AZ46" s="130" t="b">
        <f t="shared" si="11"/>
        <v>0</v>
      </c>
      <c r="BA46" s="130" t="b">
        <f t="shared" si="12"/>
        <v>0</v>
      </c>
    </row>
    <row r="47" spans="2:55" ht="3" customHeight="1" x14ac:dyDescent="0.3">
      <c r="C47" s="207"/>
      <c r="F47" s="38">
        <f t="shared" si="15"/>
        <v>0</v>
      </c>
      <c r="G47" s="38">
        <f t="shared" si="1"/>
        <v>0</v>
      </c>
      <c r="I47" s="38">
        <f t="shared" si="16"/>
        <v>0</v>
      </c>
      <c r="J47" s="38">
        <f t="shared" si="3"/>
        <v>0</v>
      </c>
      <c r="L47" s="38">
        <f t="shared" si="17"/>
        <v>0</v>
      </c>
      <c r="M47" s="8">
        <f t="shared" si="18"/>
        <v>0</v>
      </c>
      <c r="N47" s="148"/>
      <c r="O47" s="38">
        <f t="shared" si="19"/>
        <v>0</v>
      </c>
      <c r="P47" s="38">
        <f t="shared" si="5"/>
        <v>0</v>
      </c>
      <c r="Q47" s="148"/>
      <c r="R47" s="38">
        <f t="shared" si="6"/>
        <v>0</v>
      </c>
      <c r="T47" s="117">
        <f t="shared" si="8"/>
        <v>0</v>
      </c>
      <c r="U47" s="117">
        <f t="shared" si="9"/>
        <v>0</v>
      </c>
      <c r="AA47" s="36">
        <f t="shared" si="20"/>
        <v>0</v>
      </c>
      <c r="AE47" s="128"/>
      <c r="AF47" s="36">
        <f t="shared" si="10"/>
        <v>0</v>
      </c>
      <c r="AS47" s="191"/>
      <c r="AU47" s="195"/>
      <c r="AX47" s="130"/>
      <c r="AY47" s="130"/>
      <c r="AZ47" s="130" t="b">
        <f t="shared" si="11"/>
        <v>0</v>
      </c>
      <c r="BA47" s="130" t="b">
        <f t="shared" si="12"/>
        <v>0</v>
      </c>
    </row>
    <row r="48" spans="2:55" x14ac:dyDescent="0.3">
      <c r="B48" s="41" t="s">
        <v>57</v>
      </c>
      <c r="C48" s="203"/>
      <c r="E48" s="37"/>
      <c r="F48" s="38">
        <f t="shared" si="15"/>
        <v>0</v>
      </c>
      <c r="G48" s="38">
        <f t="shared" si="1"/>
        <v>0</v>
      </c>
      <c r="H48" s="37"/>
      <c r="I48" s="38">
        <f t="shared" si="16"/>
        <v>0</v>
      </c>
      <c r="J48" s="38">
        <f t="shared" si="3"/>
        <v>0</v>
      </c>
      <c r="K48" s="37"/>
      <c r="L48" s="38">
        <f t="shared" si="17"/>
        <v>0</v>
      </c>
      <c r="M48" s="8">
        <f t="shared" si="18"/>
        <v>0</v>
      </c>
      <c r="N48" s="37"/>
      <c r="O48" s="38">
        <f t="shared" si="19"/>
        <v>0</v>
      </c>
      <c r="P48" s="38">
        <f t="shared" si="5"/>
        <v>0</v>
      </c>
      <c r="Q48" s="37"/>
      <c r="R48" s="147">
        <f t="shared" si="6"/>
        <v>0</v>
      </c>
      <c r="S48" s="38">
        <f>IF(R48&gt;0,1,0)</f>
        <v>0</v>
      </c>
      <c r="T48" s="117">
        <f t="shared" si="8"/>
        <v>0</v>
      </c>
      <c r="U48" s="117">
        <f t="shared" si="9"/>
        <v>0</v>
      </c>
      <c r="V48" s="14"/>
      <c r="W48" s="37"/>
      <c r="X48" s="37"/>
      <c r="Y48" s="37"/>
      <c r="Z48" s="37"/>
      <c r="AA48" s="36">
        <f t="shared" si="20"/>
        <v>0</v>
      </c>
      <c r="AB48" s="9"/>
      <c r="AC48" s="37"/>
      <c r="AD48" s="127"/>
      <c r="AE48" s="37"/>
      <c r="AF48" s="36">
        <f t="shared" si="10"/>
        <v>0</v>
      </c>
      <c r="AG48" s="9"/>
      <c r="AH48" s="37"/>
      <c r="AI48" s="37"/>
      <c r="AJ48" s="37"/>
      <c r="AK48" s="37"/>
      <c r="AL48" s="37"/>
      <c r="AM48" s="37"/>
      <c r="AN48" s="36">
        <f>IF(AH48="X",1)+IF(AI48="X",2)+IF(AJ48="X",3)+IF(AK48="X",4)+IF(AL48="X",5)+IF(AM48="X",6)</f>
        <v>0</v>
      </c>
      <c r="AO48" s="125"/>
      <c r="AP48" s="117">
        <f>AA48+AF48+AN48</f>
        <v>0</v>
      </c>
      <c r="AQ48" s="117">
        <f>(AP48+U48)/2</f>
        <v>0</v>
      </c>
      <c r="AR48" s="117">
        <f>IF(AS48="",0,10)</f>
        <v>0</v>
      </c>
      <c r="AS48" s="39" t="str">
        <f>IF(AX48=TRUE,"Desprezível",IF(AY48=TRUE,"Administrável",IF(AZ48=TRUE,"Indesejável",IF(BA48=TRUE,"Intolerável",""))))</f>
        <v/>
      </c>
      <c r="AT48" s="185"/>
      <c r="AU48" s="195"/>
      <c r="AX48" s="130" t="b">
        <f t="shared" si="13"/>
        <v>0</v>
      </c>
      <c r="AY48" s="130" t="b">
        <f t="shared" si="14"/>
        <v>0</v>
      </c>
      <c r="AZ48" s="130" t="b">
        <f t="shared" si="11"/>
        <v>0</v>
      </c>
      <c r="BA48" s="130" t="b">
        <f t="shared" si="12"/>
        <v>0</v>
      </c>
    </row>
    <row r="49" spans="3:53" ht="3.75" customHeight="1" x14ac:dyDescent="0.3">
      <c r="C49" s="208"/>
      <c r="F49" s="38">
        <f t="shared" si="15"/>
        <v>0</v>
      </c>
      <c r="G49" s="38">
        <f t="shared" si="1"/>
        <v>0</v>
      </c>
      <c r="I49" s="38">
        <f t="shared" si="16"/>
        <v>0</v>
      </c>
      <c r="J49" s="38">
        <f t="shared" si="3"/>
        <v>0</v>
      </c>
      <c r="L49" s="38">
        <f t="shared" si="17"/>
        <v>0</v>
      </c>
      <c r="M49" s="8">
        <f t="shared" si="18"/>
        <v>0</v>
      </c>
      <c r="N49" s="21"/>
      <c r="O49" s="38">
        <f t="shared" si="19"/>
        <v>0</v>
      </c>
      <c r="P49" s="38">
        <f t="shared" si="5"/>
        <v>0</v>
      </c>
      <c r="Q49" s="21"/>
      <c r="R49" s="147">
        <f t="shared" si="6"/>
        <v>0</v>
      </c>
      <c r="T49" s="117">
        <f t="shared" si="8"/>
        <v>0</v>
      </c>
      <c r="U49" s="117">
        <f t="shared" si="9"/>
        <v>0</v>
      </c>
      <c r="AE49" s="128"/>
      <c r="AF49" s="36">
        <f t="shared" si="10"/>
        <v>0</v>
      </c>
      <c r="AX49" s="130"/>
      <c r="AY49" s="130"/>
      <c r="AZ49" s="130" t="b">
        <f t="shared" si="11"/>
        <v>0</v>
      </c>
      <c r="BA49" s="130" t="b">
        <f t="shared" si="12"/>
        <v>0</v>
      </c>
    </row>
    <row r="50" spans="3:53" x14ac:dyDescent="0.3">
      <c r="C50" s="208"/>
    </row>
    <row r="51" spans="3:53" x14ac:dyDescent="0.3">
      <c r="C51" s="208"/>
    </row>
    <row r="52" spans="3:53" x14ac:dyDescent="0.3">
      <c r="C52" s="208"/>
    </row>
  </sheetData>
  <sheetProtection selectLockedCells="1" pivotTables="0" selectUnlockedCells="1"/>
  <mergeCells count="30">
    <mergeCell ref="B1:C4"/>
    <mergeCell ref="E1:AU2"/>
    <mergeCell ref="E4:AU4"/>
    <mergeCell ref="B6:B8"/>
    <mergeCell ref="C6:C8"/>
    <mergeCell ref="E6:Q6"/>
    <mergeCell ref="W6:AM6"/>
    <mergeCell ref="AS6:AS8"/>
    <mergeCell ref="AU6:AU8"/>
    <mergeCell ref="E7:E8"/>
    <mergeCell ref="Q7:Q8"/>
    <mergeCell ref="F7:F8"/>
    <mergeCell ref="G7:G8"/>
    <mergeCell ref="H7:H8"/>
    <mergeCell ref="I7:I8"/>
    <mergeCell ref="J7:J8"/>
    <mergeCell ref="K7:K8"/>
    <mergeCell ref="L7:L8"/>
    <mergeCell ref="M7:M8"/>
    <mergeCell ref="N7:N8"/>
    <mergeCell ref="O7:O8"/>
    <mergeCell ref="P7:P8"/>
    <mergeCell ref="AH7:AM7"/>
    <mergeCell ref="AN7:AN8"/>
    <mergeCell ref="R7:R8"/>
    <mergeCell ref="S7:S8"/>
    <mergeCell ref="W7:Z7"/>
    <mergeCell ref="AA7:AA8"/>
    <mergeCell ref="AC7:AE7"/>
    <mergeCell ref="AF7:AF8"/>
  </mergeCells>
  <conditionalFormatting sqref="AS5:AU5">
    <cfRule type="cellIs" dxfId="187" priority="73" operator="equal">
      <formula>"Desprezível"</formula>
    </cfRule>
    <cfRule type="cellIs" dxfId="186" priority="74" operator="equal">
      <formula>"Intolerável"</formula>
    </cfRule>
    <cfRule type="cellIs" dxfId="185" priority="75" operator="equal">
      <formula>"Indesejável"</formula>
    </cfRule>
    <cfRule type="cellIs" dxfId="184" priority="76" operator="equal">
      <formula>"Administrável"</formula>
    </cfRule>
  </conditionalFormatting>
  <conditionalFormatting sqref="AS9:AU1048576">
    <cfRule type="cellIs" dxfId="183" priority="5" operator="equal">
      <formula>"Desprezível"</formula>
    </cfRule>
    <cfRule type="cellIs" dxfId="182" priority="6" operator="equal">
      <formula>"Intolerável"</formula>
    </cfRule>
    <cfRule type="cellIs" dxfId="181" priority="7" operator="equal">
      <formula>"Indesejável"</formula>
    </cfRule>
    <cfRule type="cellIs" dxfId="180" priority="8" operator="equal">
      <formula>"Administrável"</formula>
    </cfRule>
  </conditionalFormatting>
  <conditionalFormatting sqref="AV3">
    <cfRule type="cellIs" dxfId="179" priority="1" operator="equal">
      <formula>"Desprezível"</formula>
    </cfRule>
    <cfRule type="cellIs" dxfId="178" priority="2" operator="equal">
      <formula>"Intolerável"</formula>
    </cfRule>
    <cfRule type="cellIs" dxfId="177" priority="3" operator="equal">
      <formula>"Indesejável"</formula>
    </cfRule>
    <cfRule type="cellIs" dxfId="176" priority="4" operator="equal">
      <formula>"Administrável"</formula>
    </cfRule>
  </conditionalFormatting>
  <dataValidations count="5">
    <dataValidation type="list" allowBlank="1" showInputMessage="1" showErrorMessage="1" sqref="AU10:AU48" xr:uid="{419CB1E8-E0F0-4263-8FFB-8CA9F8368F52}">
      <formula1>Estratégias</formula1>
    </dataValidation>
    <dataValidation type="list" allowBlank="1" showInputMessage="1" showErrorMessage="1" sqref="H26 K22 N10:N49 E48 H48 E46 H46 E44 H44 E42 K20 H42 E38:E40 H38:H40 E36 H36 H32 H30 H28 E34 E32 E30 E28 H34 H24 H22 H20 H18 H16 H14 H12 H10 E26 E24 E22 E20 E18 E16 E14 E12 E10 K18 K16 K14 K10 K12 K26 K34 K32 K30 K28 K36 K38:K40 K42 K44 K46 K48 K24 Q10:Q49" xr:uid="{6D7A2806-DCD1-4863-AF39-DEF0106A9110}">
      <formula1>$BC$10:$BC$12</formula1>
    </dataValidation>
    <dataValidation type="list" allowBlank="1" showInputMessage="1" showErrorMessage="1" sqref="AH26:AM26 AC48:AE48 W48:Z48 AH48:AM48 AC46:AE46 W46:Z46 AH46:AM46 AC44:AE44 W44:Z44 AH44:AM44 AC42:AE42 W42:Z42 AH42:AM42 AC38:AE40 W38:Z40 AH38:AM40 AC36:AE36 W36:Z36 AH36:AM36 AH32:AM32 AH30:AM30 AH28:AM28 AC28:AE28 AC30:AE30 AC32:AE32 AC34:AE34 W34:Z34 W32:Z32 W30:Z30 W28:Z28 AH34:AM34 AH24:AM24 AH22:AM22 AH20:AM20 AH18:AM18 AH16:AM16 AH14:AM14 AH12:AM12 AH10:AM10 AC10:AE10 AC12:AE12 AC14:AE14 AC16:AE16 AC18:AE18 AC20:AE20 AC22:AE22 AC24:AE24 AC26:AE26 W10:Z10 W26:Z26 W24:Z24 W22:Z22 W20:Z20 W18:Z18 W16:Z16 W14:Z14 W12:Z12" xr:uid="{5536B415-40A5-413A-B021-54314542E307}">
      <formula1>$BC$16</formula1>
    </dataValidation>
    <dataValidation allowBlank="1" showErrorMessage="1" sqref="AS6:AU6" xr:uid="{ED678329-5EB6-4DD3-8246-7E7AF84A8CD2}"/>
    <dataValidation type="list" allowBlank="1" showInputMessage="1" showErrorMessage="1" sqref="AS9:AU9 AS11:AT11 AS37:AT37 AS35:AT35 AS31:AT31 AS29:AT29 AS33:AT33 AS27:AT27 AS23:AT23 AS21:AT21 AS19:AT19 AS17:AT17 AS15:AT15 AS13:AT13 AS25:AT25" xr:uid="{1E8DB0AC-B942-4453-BCE5-C32F14617B11}">
      <formula1>$BD$12:$BD$18</formula1>
    </dataValidation>
  </dataValidations>
  <pageMargins left="0" right="0" top="0" bottom="0" header="0" footer="0"/>
  <pageSetup paperSize="9" scale="73" fitToHeight="2"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C6BA8-3E55-4569-975A-5177B01C2410}">
  <dimension ref="B2:K92"/>
  <sheetViews>
    <sheetView showGridLines="0" zoomScale="90" zoomScaleNormal="90" workbookViewId="0">
      <pane xSplit="6" ySplit="9" topLeftCell="G43" activePane="bottomRight" state="frozen"/>
      <selection pane="topRight" activeCell="G1" sqref="G1"/>
      <selection pane="bottomLeft" activeCell="A10" sqref="A10"/>
      <selection pane="bottomRight" activeCell="K15" sqref="K15"/>
    </sheetView>
  </sheetViews>
  <sheetFormatPr defaultColWidth="9.109375" defaultRowHeight="13.8" x14ac:dyDescent="0.3"/>
  <cols>
    <col min="1" max="1" width="1.88671875" style="1" customWidth="1"/>
    <col min="2" max="2" width="9.88671875" style="1" bestFit="1" customWidth="1"/>
    <col min="3" max="3" width="39.5546875" style="2" customWidth="1"/>
    <col min="4" max="4" width="0.5546875" style="2" customWidth="1"/>
    <col min="5" max="5" width="15.88671875" style="1" customWidth="1"/>
    <col min="6" max="6" width="0.5546875" style="2" customWidth="1"/>
    <col min="7" max="7" width="17.6640625" style="2" customWidth="1"/>
    <col min="8" max="8" width="0.5546875" style="2" customWidth="1"/>
    <col min="9" max="9" width="17.6640625" style="2" customWidth="1"/>
    <col min="10" max="10" width="0.5546875" style="2" customWidth="1"/>
    <col min="11" max="11" width="85.6640625" style="2" customWidth="1"/>
    <col min="12" max="16384" width="9.109375" style="1"/>
  </cols>
  <sheetData>
    <row r="2" spans="2:11" ht="20.25" customHeight="1" x14ac:dyDescent="0.3">
      <c r="B2" s="386" t="s">
        <v>198</v>
      </c>
      <c r="C2" s="386"/>
      <c r="D2" s="386"/>
      <c r="E2" s="386"/>
      <c r="F2" s="386"/>
      <c r="G2" s="386"/>
      <c r="H2" s="386"/>
      <c r="I2" s="386"/>
      <c r="J2" s="386"/>
      <c r="K2" s="386"/>
    </row>
    <row r="3" spans="2:11" ht="3" customHeight="1" x14ac:dyDescent="0.3">
      <c r="B3" s="386"/>
      <c r="C3" s="386"/>
      <c r="D3" s="386"/>
      <c r="E3" s="386"/>
      <c r="F3" s="386"/>
      <c r="G3" s="386"/>
      <c r="H3" s="386"/>
      <c r="I3" s="386"/>
      <c r="J3" s="386"/>
      <c r="K3" s="386"/>
    </row>
    <row r="4" spans="2:11" ht="20.25" customHeight="1" x14ac:dyDescent="0.3">
      <c r="B4" s="386"/>
      <c r="C4" s="386"/>
      <c r="D4" s="386"/>
      <c r="E4" s="386"/>
      <c r="F4" s="386"/>
      <c r="G4" s="386"/>
      <c r="H4" s="386"/>
      <c r="I4" s="386"/>
      <c r="J4" s="386"/>
      <c r="K4" s="386"/>
    </row>
    <row r="5" spans="2:11" ht="3" customHeight="1" thickBot="1" x14ac:dyDescent="0.35"/>
    <row r="6" spans="2:11" ht="27" customHeight="1" x14ac:dyDescent="0.3">
      <c r="B6" s="42"/>
      <c r="C6" s="387" t="s">
        <v>45</v>
      </c>
      <c r="D6" s="4"/>
      <c r="E6" s="390" t="s">
        <v>1</v>
      </c>
      <c r="F6" s="4"/>
      <c r="G6" s="393"/>
      <c r="H6" s="394"/>
      <c r="I6" s="394"/>
      <c r="J6" s="394"/>
      <c r="K6" s="395"/>
    </row>
    <row r="7" spans="2:11" ht="16.5" customHeight="1" x14ac:dyDescent="0.3">
      <c r="B7" s="43" t="s">
        <v>0</v>
      </c>
      <c r="C7" s="388"/>
      <c r="D7" s="4"/>
      <c r="E7" s="391"/>
      <c r="F7" s="4"/>
      <c r="G7" s="396" t="s">
        <v>46</v>
      </c>
      <c r="H7" s="4"/>
      <c r="I7" s="396" t="s">
        <v>34</v>
      </c>
      <c r="J7" s="4"/>
      <c r="K7" s="398" t="s">
        <v>33</v>
      </c>
    </row>
    <row r="8" spans="2:11" ht="23.1" customHeight="1" thickBot="1" x14ac:dyDescent="0.35">
      <c r="B8" s="44"/>
      <c r="C8" s="389"/>
      <c r="D8" s="4"/>
      <c r="E8" s="392"/>
      <c r="F8" s="4"/>
      <c r="G8" s="397"/>
      <c r="H8" s="4"/>
      <c r="I8" s="397"/>
      <c r="J8" s="4"/>
      <c r="K8" s="399"/>
    </row>
    <row r="9" spans="2:11" ht="3" customHeight="1" x14ac:dyDescent="0.3">
      <c r="B9" s="5"/>
      <c r="C9" s="6"/>
    </row>
    <row r="10" spans="2:11" x14ac:dyDescent="0.3">
      <c r="B10" s="378" t="str">
        <f>'[1]Riscos-CANTU'!B10</f>
        <v>1.</v>
      </c>
      <c r="C10" s="379" t="str">
        <f>'[1]Riscos-CANTU'!C10</f>
        <v>Comercial - Vacância</v>
      </c>
      <c r="E10" s="383" t="str">
        <f>'[1]Riscos-CANTU'!AS10</f>
        <v>Administrável</v>
      </c>
      <c r="G10" s="40"/>
      <c r="H10" s="18"/>
      <c r="I10" s="62"/>
      <c r="J10" s="18"/>
      <c r="K10" s="40" t="s">
        <v>217</v>
      </c>
    </row>
    <row r="11" spans="2:11" ht="14.25" customHeight="1" x14ac:dyDescent="0.3">
      <c r="B11" s="378"/>
      <c r="C11" s="379"/>
      <c r="E11" s="384"/>
      <c r="G11" s="40"/>
      <c r="H11" s="18"/>
      <c r="I11" s="209" t="s">
        <v>218</v>
      </c>
      <c r="J11" s="18"/>
      <c r="K11" s="40" t="s">
        <v>219</v>
      </c>
    </row>
    <row r="12" spans="2:11" ht="14.25" customHeight="1" x14ac:dyDescent="0.3">
      <c r="B12" s="378"/>
      <c r="C12" s="380"/>
      <c r="E12" s="385"/>
      <c r="G12" s="40"/>
      <c r="H12" s="18"/>
      <c r="I12" s="61"/>
      <c r="J12" s="18"/>
      <c r="K12" s="40" t="s">
        <v>220</v>
      </c>
    </row>
    <row r="13" spans="2:11" ht="3" customHeight="1" x14ac:dyDescent="0.3">
      <c r="C13" s="16"/>
      <c r="E13" s="15"/>
      <c r="G13" s="17"/>
      <c r="H13" s="18"/>
      <c r="I13" s="63"/>
      <c r="J13" s="18"/>
      <c r="K13" s="17"/>
    </row>
    <row r="14" spans="2:11" x14ac:dyDescent="0.3">
      <c r="B14" s="378" t="str">
        <f>'[1]Riscos-CANTU'!B12</f>
        <v>2.</v>
      </c>
      <c r="C14" s="379" t="str">
        <f>'[1]Riscos-CANTU'!C12</f>
        <v xml:space="preserve">Eventos de Sinistros em Imóveis </v>
      </c>
      <c r="E14" s="383" t="str">
        <f>'[1]Riscos-CANTU'!AS12</f>
        <v>Administrável</v>
      </c>
      <c r="G14" s="40"/>
      <c r="H14" s="18"/>
      <c r="I14" s="40"/>
      <c r="J14" s="18"/>
      <c r="K14" s="40" t="s">
        <v>221</v>
      </c>
    </row>
    <row r="15" spans="2:11" ht="14.25" customHeight="1" x14ac:dyDescent="0.3">
      <c r="B15" s="378"/>
      <c r="C15" s="379"/>
      <c r="E15" s="384"/>
      <c r="G15" s="40"/>
      <c r="H15" s="18"/>
      <c r="I15" s="209" t="s">
        <v>218</v>
      </c>
      <c r="J15" s="18"/>
      <c r="K15" s="40" t="s">
        <v>222</v>
      </c>
    </row>
    <row r="16" spans="2:11" ht="14.25" customHeight="1" x14ac:dyDescent="0.3">
      <c r="B16" s="378"/>
      <c r="C16" s="380"/>
      <c r="E16" s="385"/>
      <c r="G16" s="40"/>
      <c r="H16" s="18"/>
      <c r="I16" s="61"/>
      <c r="J16" s="18"/>
      <c r="K16" s="40"/>
    </row>
    <row r="17" spans="2:11" ht="3" customHeight="1" x14ac:dyDescent="0.3">
      <c r="C17" s="16"/>
      <c r="E17" s="15"/>
      <c r="G17" s="17"/>
      <c r="H17" s="18"/>
      <c r="I17" s="63"/>
      <c r="J17" s="18"/>
      <c r="K17" s="17"/>
    </row>
    <row r="18" spans="2:11" x14ac:dyDescent="0.3">
      <c r="B18" s="378" t="str">
        <f>'[1]Riscos-CANTU'!B14</f>
        <v>3.</v>
      </c>
      <c r="C18" s="379" t="str">
        <f>'[1]Riscos-CANTU'!C14</f>
        <v>Novos Negócios - Aquisição de Imóveis</v>
      </c>
      <c r="E18" s="383" t="str">
        <f>'[1]Riscos-CANTU'!AS14</f>
        <v>Administrável</v>
      </c>
      <c r="G18" s="40"/>
      <c r="H18" s="18"/>
      <c r="I18" s="40"/>
      <c r="J18" s="18"/>
      <c r="K18" s="40" t="s">
        <v>223</v>
      </c>
    </row>
    <row r="19" spans="2:11" ht="14.25" customHeight="1" x14ac:dyDescent="0.3">
      <c r="B19" s="378"/>
      <c r="C19" s="379"/>
      <c r="E19" s="384"/>
      <c r="G19" s="40"/>
      <c r="H19" s="18"/>
      <c r="I19" s="201" t="s">
        <v>224</v>
      </c>
      <c r="J19" s="18"/>
      <c r="K19" s="40" t="s">
        <v>225</v>
      </c>
    </row>
    <row r="20" spans="2:11" ht="14.25" customHeight="1" x14ac:dyDescent="0.3">
      <c r="B20" s="378"/>
      <c r="C20" s="380"/>
      <c r="E20" s="385"/>
      <c r="G20" s="40"/>
      <c r="H20" s="18"/>
      <c r="I20" s="61"/>
      <c r="J20" s="18"/>
      <c r="K20" s="40"/>
    </row>
    <row r="21" spans="2:11" ht="3" customHeight="1" x14ac:dyDescent="0.3">
      <c r="C21" s="16"/>
      <c r="E21" s="15"/>
      <c r="G21" s="17"/>
      <c r="H21" s="18"/>
      <c r="I21" s="17"/>
      <c r="J21" s="18"/>
      <c r="K21" s="17"/>
    </row>
    <row r="22" spans="2:11" x14ac:dyDescent="0.3">
      <c r="B22" s="378" t="str">
        <f>'[1]Riscos-CANTU'!B16</f>
        <v>4.</v>
      </c>
      <c r="C22" s="379" t="str">
        <f>'[1]Riscos-CANTU'!C16</f>
        <v>Novos Negócios - Definição do Produto</v>
      </c>
      <c r="E22" s="383" t="str">
        <f>'[1]Riscos-CANTU'!AS16</f>
        <v>Administrável</v>
      </c>
      <c r="G22" s="40"/>
      <c r="H22" s="18"/>
      <c r="I22" s="40"/>
      <c r="J22" s="18"/>
      <c r="K22" s="40" t="s">
        <v>226</v>
      </c>
    </row>
    <row r="23" spans="2:11" x14ac:dyDescent="0.3">
      <c r="B23" s="378"/>
      <c r="C23" s="379"/>
      <c r="E23" s="384"/>
      <c r="G23" s="40"/>
      <c r="H23" s="18"/>
      <c r="I23" s="201" t="s">
        <v>224</v>
      </c>
      <c r="J23" s="18"/>
      <c r="K23" s="40" t="s">
        <v>227</v>
      </c>
    </row>
    <row r="24" spans="2:11" x14ac:dyDescent="0.3">
      <c r="B24" s="378"/>
      <c r="C24" s="380"/>
      <c r="E24" s="385"/>
      <c r="G24" s="40"/>
      <c r="H24" s="18"/>
      <c r="I24" s="40"/>
      <c r="J24" s="18"/>
      <c r="K24" s="40" t="s">
        <v>228</v>
      </c>
    </row>
    <row r="25" spans="2:11" ht="3" customHeight="1" x14ac:dyDescent="0.3">
      <c r="C25" s="16"/>
      <c r="E25" s="15"/>
      <c r="G25" s="17"/>
      <c r="H25" s="18"/>
      <c r="I25" s="17"/>
      <c r="J25" s="18"/>
      <c r="K25" s="17"/>
    </row>
    <row r="26" spans="2:11" x14ac:dyDescent="0.3">
      <c r="B26" s="378" t="str">
        <f>'[1]Riscos-CANTU'!B18</f>
        <v>5.</v>
      </c>
      <c r="C26" s="379" t="str">
        <f>'[1]Riscos-CANTU'!C18</f>
        <v>Assistência Técnica - Conservação dos Imóveis</v>
      </c>
      <c r="E26" s="383" t="str">
        <f>'[1]Riscos-CANTU'!AS18</f>
        <v>Administrável</v>
      </c>
      <c r="G26" s="40"/>
      <c r="H26" s="18"/>
      <c r="I26" s="40"/>
      <c r="J26" s="18"/>
      <c r="K26" s="40" t="s">
        <v>229</v>
      </c>
    </row>
    <row r="27" spans="2:11" ht="14.4" x14ac:dyDescent="0.3">
      <c r="B27" s="378"/>
      <c r="C27" s="379"/>
      <c r="E27" s="384"/>
      <c r="G27" s="40"/>
      <c r="H27" s="18"/>
      <c r="I27" s="209" t="s">
        <v>218</v>
      </c>
      <c r="J27" s="18"/>
      <c r="K27" s="40" t="s">
        <v>230</v>
      </c>
    </row>
    <row r="28" spans="2:11" x14ac:dyDescent="0.3">
      <c r="B28" s="378"/>
      <c r="C28" s="380"/>
      <c r="E28" s="385"/>
      <c r="G28" s="40"/>
      <c r="H28" s="18"/>
      <c r="I28" s="40"/>
      <c r="J28" s="18"/>
      <c r="K28" s="40"/>
    </row>
    <row r="29" spans="2:11" ht="3" customHeight="1" x14ac:dyDescent="0.3">
      <c r="C29" s="16"/>
      <c r="E29" s="15"/>
      <c r="G29" s="17"/>
      <c r="H29" s="18"/>
      <c r="I29" s="17"/>
      <c r="J29" s="18"/>
      <c r="K29" s="17"/>
    </row>
    <row r="30" spans="2:11" x14ac:dyDescent="0.3">
      <c r="B30" s="378" t="str">
        <f>'[1]Riscos-CANTU'!B20</f>
        <v>6.</v>
      </c>
      <c r="C30" s="379" t="str">
        <f>'[1]Riscos-CANTU'!C20</f>
        <v>Administrativo - Inadimplência</v>
      </c>
      <c r="E30" s="383" t="str">
        <f>'[1]Riscos-CANTU'!AS20</f>
        <v>Administrável</v>
      </c>
      <c r="G30" s="40"/>
      <c r="H30" s="18"/>
      <c r="I30" s="40"/>
      <c r="J30" s="18"/>
      <c r="K30" s="40" t="s">
        <v>231</v>
      </c>
    </row>
    <row r="31" spans="2:11" ht="14.4" x14ac:dyDescent="0.3">
      <c r="B31" s="378"/>
      <c r="C31" s="379"/>
      <c r="E31" s="384"/>
      <c r="G31" s="40"/>
      <c r="H31" s="18"/>
      <c r="I31" s="209" t="s">
        <v>218</v>
      </c>
      <c r="J31" s="18"/>
      <c r="K31" s="40" t="s">
        <v>232</v>
      </c>
    </row>
    <row r="32" spans="2:11" x14ac:dyDescent="0.3">
      <c r="B32" s="378"/>
      <c r="C32" s="380"/>
      <c r="E32" s="385"/>
      <c r="G32" s="40"/>
      <c r="H32" s="18"/>
      <c r="I32" s="40"/>
      <c r="J32" s="18"/>
      <c r="K32" s="40"/>
    </row>
    <row r="33" spans="2:11" ht="3" customHeight="1" x14ac:dyDescent="0.3">
      <c r="C33" s="16"/>
      <c r="E33" s="15"/>
      <c r="G33" s="17"/>
      <c r="H33" s="18"/>
      <c r="I33" s="17"/>
      <c r="J33" s="18"/>
      <c r="K33" s="17"/>
    </row>
    <row r="34" spans="2:11" x14ac:dyDescent="0.3">
      <c r="B34" s="378" t="str">
        <f>'[1]Riscos-CANTU'!B22</f>
        <v>7.</v>
      </c>
      <c r="C34" s="379" t="str">
        <f>'[1]Riscos-CANTU'!C22</f>
        <v>Redução de faturamento em decorrência de Pandemias "Covid-19"</v>
      </c>
      <c r="E34" s="383" t="str">
        <f>'[1]Riscos-CANTU'!AS22</f>
        <v>Administrável</v>
      </c>
      <c r="G34" s="40"/>
      <c r="H34" s="18"/>
      <c r="I34" s="40"/>
      <c r="J34" s="18"/>
      <c r="K34" s="40" t="s">
        <v>231</v>
      </c>
    </row>
    <row r="35" spans="2:11" ht="14.4" x14ac:dyDescent="0.3">
      <c r="B35" s="378"/>
      <c r="C35" s="379"/>
      <c r="E35" s="384"/>
      <c r="G35" s="40"/>
      <c r="H35" s="18"/>
      <c r="I35" s="209" t="s">
        <v>218</v>
      </c>
      <c r="J35" s="18"/>
      <c r="K35" s="40" t="s">
        <v>233</v>
      </c>
    </row>
    <row r="36" spans="2:11" x14ac:dyDescent="0.3">
      <c r="B36" s="378"/>
      <c r="C36" s="380"/>
      <c r="E36" s="385"/>
      <c r="G36" s="40"/>
      <c r="H36" s="18"/>
      <c r="I36" s="40"/>
      <c r="J36" s="18"/>
      <c r="K36" s="40"/>
    </row>
    <row r="37" spans="2:11" ht="3" customHeight="1" x14ac:dyDescent="0.3">
      <c r="C37" s="16"/>
      <c r="E37" s="15"/>
      <c r="G37" s="17"/>
      <c r="H37" s="18"/>
      <c r="I37" s="17"/>
      <c r="J37" s="18"/>
      <c r="K37" s="17"/>
    </row>
    <row r="38" spans="2:11" x14ac:dyDescent="0.3">
      <c r="B38" s="378" t="str">
        <f>'[1]Riscos-CANTU'!B24</f>
        <v>8.</v>
      </c>
      <c r="C38" s="379">
        <f>'[1]Riscos-CANTU'!C24</f>
        <v>0</v>
      </c>
      <c r="E38" s="381" t="str">
        <f>'[1]Riscos-CANTU'!AS24</f>
        <v/>
      </c>
      <c r="G38" s="40"/>
      <c r="H38" s="18"/>
      <c r="I38" s="40"/>
      <c r="J38" s="18"/>
      <c r="K38" s="40"/>
    </row>
    <row r="39" spans="2:11" x14ac:dyDescent="0.3">
      <c r="B39" s="378"/>
      <c r="C39" s="379"/>
      <c r="E39" s="381"/>
      <c r="G39" s="40"/>
      <c r="H39" s="18"/>
      <c r="I39" s="40"/>
      <c r="J39" s="18"/>
      <c r="K39" s="40"/>
    </row>
    <row r="40" spans="2:11" x14ac:dyDescent="0.3">
      <c r="B40" s="378"/>
      <c r="C40" s="380"/>
      <c r="E40" s="382"/>
      <c r="G40" s="40"/>
      <c r="H40" s="18"/>
      <c r="I40" s="40"/>
      <c r="J40" s="18"/>
      <c r="K40" s="40"/>
    </row>
    <row r="41" spans="2:11" ht="3" customHeight="1" x14ac:dyDescent="0.3">
      <c r="C41" s="16"/>
      <c r="E41" s="15"/>
      <c r="G41" s="17"/>
      <c r="H41" s="18"/>
      <c r="I41" s="17"/>
      <c r="J41" s="18"/>
      <c r="K41" s="17"/>
    </row>
    <row r="42" spans="2:11" x14ac:dyDescent="0.3">
      <c r="B42" s="378" t="str">
        <f>'[1]Riscos-CANTU'!B26</f>
        <v>9.</v>
      </c>
      <c r="C42" s="379">
        <f>'[1]Riscos-CANTU'!C26</f>
        <v>0</v>
      </c>
      <c r="E42" s="381" t="str">
        <f>'[1]Riscos-CANTU'!AS26</f>
        <v/>
      </c>
      <c r="G42" s="40"/>
      <c r="H42" s="18"/>
      <c r="I42" s="40"/>
      <c r="J42" s="18"/>
      <c r="K42" s="40"/>
    </row>
    <row r="43" spans="2:11" x14ac:dyDescent="0.3">
      <c r="B43" s="378"/>
      <c r="C43" s="379"/>
      <c r="E43" s="381"/>
      <c r="G43" s="40"/>
      <c r="H43" s="18"/>
      <c r="I43" s="40"/>
      <c r="J43" s="18"/>
      <c r="K43" s="40"/>
    </row>
    <row r="44" spans="2:11" x14ac:dyDescent="0.3">
      <c r="B44" s="378"/>
      <c r="C44" s="380"/>
      <c r="E44" s="382"/>
      <c r="G44" s="40"/>
      <c r="H44" s="18"/>
      <c r="I44" s="40"/>
      <c r="J44" s="18"/>
      <c r="K44" s="40"/>
    </row>
    <row r="45" spans="2:11" ht="3" customHeight="1" x14ac:dyDescent="0.3">
      <c r="C45" s="16"/>
      <c r="E45" s="15"/>
      <c r="G45" s="17"/>
      <c r="H45" s="18"/>
      <c r="I45" s="17"/>
      <c r="J45" s="18"/>
      <c r="K45" s="17"/>
    </row>
    <row r="46" spans="2:11" x14ac:dyDescent="0.3">
      <c r="B46" s="378" t="str">
        <f>'[1]Riscos-CANTU'!B28</f>
        <v>10.</v>
      </c>
      <c r="C46" s="379">
        <f>'[1]Riscos-CANTU'!C28</f>
        <v>0</v>
      </c>
      <c r="E46" s="381" t="str">
        <f>'[1]Riscos-CANTU'!AS28</f>
        <v/>
      </c>
      <c r="G46" s="40"/>
      <c r="H46" s="18"/>
      <c r="I46" s="40"/>
      <c r="J46" s="18"/>
      <c r="K46" s="40"/>
    </row>
    <row r="47" spans="2:11" x14ac:dyDescent="0.3">
      <c r="B47" s="378"/>
      <c r="C47" s="379"/>
      <c r="E47" s="381"/>
      <c r="G47" s="40"/>
      <c r="H47" s="18"/>
      <c r="I47" s="40"/>
      <c r="J47" s="18"/>
      <c r="K47" s="40"/>
    </row>
    <row r="48" spans="2:11" x14ac:dyDescent="0.3">
      <c r="B48" s="378"/>
      <c r="C48" s="380"/>
      <c r="E48" s="382"/>
      <c r="G48" s="40"/>
      <c r="H48" s="18"/>
      <c r="I48" s="40"/>
      <c r="J48" s="18"/>
      <c r="K48" s="40"/>
    </row>
    <row r="49" spans="2:11" ht="3" customHeight="1" x14ac:dyDescent="0.3">
      <c r="C49" s="16"/>
      <c r="E49" s="15"/>
      <c r="G49" s="17"/>
      <c r="H49" s="18"/>
      <c r="I49" s="17"/>
      <c r="J49" s="18"/>
      <c r="K49" s="17"/>
    </row>
    <row r="50" spans="2:11" x14ac:dyDescent="0.3">
      <c r="B50" s="378" t="str">
        <f>'[1]Riscos-CANTU'!B30</f>
        <v>11.</v>
      </c>
      <c r="C50" s="379">
        <f>'[1]Riscos-CANTU'!C30</f>
        <v>0</v>
      </c>
      <c r="E50" s="381" t="str">
        <f>'[1]Riscos-CANTU'!AS30</f>
        <v/>
      </c>
      <c r="G50" s="40"/>
      <c r="H50" s="18"/>
      <c r="I50" s="40"/>
      <c r="J50" s="18"/>
      <c r="K50" s="40"/>
    </row>
    <row r="51" spans="2:11" x14ac:dyDescent="0.3">
      <c r="B51" s="378"/>
      <c r="C51" s="379"/>
      <c r="E51" s="381"/>
      <c r="G51" s="40"/>
      <c r="H51" s="18"/>
      <c r="I51" s="40"/>
      <c r="J51" s="18"/>
      <c r="K51" s="40"/>
    </row>
    <row r="52" spans="2:11" x14ac:dyDescent="0.3">
      <c r="B52" s="378"/>
      <c r="C52" s="380"/>
      <c r="E52" s="382"/>
      <c r="G52" s="40"/>
      <c r="H52" s="18"/>
      <c r="I52" s="40"/>
      <c r="J52" s="18"/>
      <c r="K52" s="40"/>
    </row>
    <row r="53" spans="2:11" ht="3" customHeight="1" x14ac:dyDescent="0.3">
      <c r="C53" s="16"/>
      <c r="E53" s="15"/>
      <c r="G53" s="17"/>
      <c r="H53" s="18"/>
      <c r="I53" s="17"/>
      <c r="J53" s="18"/>
      <c r="K53" s="17"/>
    </row>
    <row r="54" spans="2:11" x14ac:dyDescent="0.3">
      <c r="B54" s="378" t="str">
        <f>'[1]Riscos-CANTU'!B32</f>
        <v>12.</v>
      </c>
      <c r="C54" s="379">
        <f>'[1]Riscos-CANTU'!C32</f>
        <v>0</v>
      </c>
      <c r="E54" s="381" t="str">
        <f>'[1]Riscos-CANTU'!AS32</f>
        <v/>
      </c>
      <c r="G54" s="40"/>
      <c r="H54" s="18"/>
      <c r="I54" s="40"/>
      <c r="J54" s="18"/>
      <c r="K54" s="40"/>
    </row>
    <row r="55" spans="2:11" x14ac:dyDescent="0.3">
      <c r="B55" s="378"/>
      <c r="C55" s="379"/>
      <c r="E55" s="381"/>
      <c r="G55" s="40"/>
      <c r="H55" s="18"/>
      <c r="I55" s="40"/>
      <c r="J55" s="18"/>
      <c r="K55" s="40"/>
    </row>
    <row r="56" spans="2:11" x14ac:dyDescent="0.3">
      <c r="B56" s="378"/>
      <c r="C56" s="380"/>
      <c r="E56" s="382"/>
      <c r="G56" s="40"/>
      <c r="H56" s="18"/>
      <c r="I56" s="40"/>
      <c r="J56" s="18"/>
      <c r="K56" s="40"/>
    </row>
    <row r="57" spans="2:11" ht="3" customHeight="1" x14ac:dyDescent="0.3">
      <c r="C57" s="16"/>
      <c r="E57" s="15"/>
      <c r="G57" s="17"/>
      <c r="H57" s="18"/>
      <c r="I57" s="17"/>
      <c r="J57" s="18"/>
      <c r="K57" s="17"/>
    </row>
    <row r="58" spans="2:11" x14ac:dyDescent="0.3">
      <c r="B58" s="378" t="str">
        <f>'[1]Riscos-CANTU'!B34</f>
        <v>13.</v>
      </c>
      <c r="C58" s="379">
        <f>'[1]Riscos-CANTU'!C34</f>
        <v>0</v>
      </c>
      <c r="E58" s="381" t="str">
        <f>'[1]Riscos-CANTU'!AS34</f>
        <v/>
      </c>
      <c r="G58" s="40"/>
      <c r="H58" s="18"/>
      <c r="I58" s="40"/>
      <c r="J58" s="18"/>
      <c r="K58" s="40"/>
    </row>
    <row r="59" spans="2:11" x14ac:dyDescent="0.3">
      <c r="B59" s="378"/>
      <c r="C59" s="379"/>
      <c r="E59" s="381"/>
      <c r="G59" s="40"/>
      <c r="H59" s="18"/>
      <c r="I59" s="40"/>
      <c r="J59" s="18"/>
      <c r="K59" s="40"/>
    </row>
    <row r="60" spans="2:11" x14ac:dyDescent="0.3">
      <c r="B60" s="378"/>
      <c r="C60" s="380"/>
      <c r="E60" s="382"/>
      <c r="G60" s="40"/>
      <c r="H60" s="18"/>
      <c r="I60" s="40"/>
      <c r="J60" s="18"/>
      <c r="K60" s="40"/>
    </row>
    <row r="61" spans="2:11" ht="3" customHeight="1" x14ac:dyDescent="0.3">
      <c r="C61" s="16"/>
      <c r="E61" s="15"/>
      <c r="G61" s="17"/>
      <c r="H61" s="18"/>
      <c r="I61" s="17"/>
      <c r="J61" s="18"/>
      <c r="K61" s="17"/>
    </row>
    <row r="62" spans="2:11" x14ac:dyDescent="0.3">
      <c r="B62" s="378" t="str">
        <f>'[1]Riscos-CANTU'!B36</f>
        <v>14.</v>
      </c>
      <c r="C62" s="379">
        <f>'[1]Riscos-CANTU'!C36</f>
        <v>0</v>
      </c>
      <c r="E62" s="381" t="str">
        <f>'[1]Riscos-CANTU'!AS36</f>
        <v/>
      </c>
      <c r="G62" s="40"/>
      <c r="H62" s="18"/>
      <c r="I62" s="40"/>
      <c r="J62" s="18"/>
      <c r="K62" s="40"/>
    </row>
    <row r="63" spans="2:11" x14ac:dyDescent="0.3">
      <c r="B63" s="378"/>
      <c r="C63" s="379"/>
      <c r="E63" s="381"/>
      <c r="G63" s="40"/>
      <c r="H63" s="18"/>
      <c r="I63" s="40"/>
      <c r="J63" s="18"/>
      <c r="K63" s="40"/>
    </row>
    <row r="64" spans="2:11" x14ac:dyDescent="0.3">
      <c r="B64" s="378"/>
      <c r="C64" s="380"/>
      <c r="E64" s="382"/>
      <c r="G64" s="40"/>
      <c r="H64" s="18"/>
      <c r="I64" s="40"/>
      <c r="J64" s="18"/>
      <c r="K64" s="40"/>
    </row>
    <row r="65" spans="2:11" ht="3" customHeight="1" x14ac:dyDescent="0.3">
      <c r="C65" s="16"/>
      <c r="E65" s="15"/>
      <c r="G65" s="17"/>
      <c r="H65" s="18"/>
      <c r="I65" s="17"/>
      <c r="J65" s="18"/>
      <c r="K65" s="17"/>
    </row>
    <row r="66" spans="2:11" x14ac:dyDescent="0.3">
      <c r="B66" s="378" t="str">
        <f>'[1]Riscos-CANTU'!B38</f>
        <v>15.</v>
      </c>
      <c r="C66" s="379">
        <f>'[1]Riscos-CANTU'!C38</f>
        <v>0</v>
      </c>
      <c r="E66" s="381" t="str">
        <f>'[1]Riscos-CANTU'!AS38</f>
        <v/>
      </c>
      <c r="G66" s="40"/>
      <c r="H66" s="18"/>
      <c r="I66" s="40"/>
      <c r="J66" s="18"/>
      <c r="K66" s="40"/>
    </row>
    <row r="67" spans="2:11" x14ac:dyDescent="0.3">
      <c r="B67" s="378"/>
      <c r="C67" s="379"/>
      <c r="E67" s="381"/>
      <c r="G67" s="40"/>
      <c r="H67" s="18"/>
      <c r="I67" s="40"/>
      <c r="J67" s="18"/>
      <c r="K67" s="40"/>
    </row>
    <row r="68" spans="2:11" x14ac:dyDescent="0.3">
      <c r="B68" s="378"/>
      <c r="C68" s="380"/>
      <c r="E68" s="382"/>
      <c r="G68" s="40"/>
      <c r="H68" s="18"/>
      <c r="I68" s="40"/>
      <c r="J68" s="18"/>
      <c r="K68" s="40"/>
    </row>
    <row r="69" spans="2:11" ht="3.75" customHeight="1" x14ac:dyDescent="0.3"/>
    <row r="70" spans="2:11" x14ac:dyDescent="0.3">
      <c r="B70" s="378" t="str">
        <f>'[1]Riscos-CANTU'!B40</f>
        <v>16.</v>
      </c>
      <c r="C70" s="379">
        <f>'[1]Riscos-CANTU'!C40</f>
        <v>0</v>
      </c>
      <c r="E70" s="381" t="str">
        <f>'[1]Riscos-CANTU'!AS40</f>
        <v/>
      </c>
      <c r="G70" s="40"/>
      <c r="H70" s="18"/>
      <c r="I70" s="40"/>
      <c r="J70" s="18"/>
      <c r="K70" s="40"/>
    </row>
    <row r="71" spans="2:11" x14ac:dyDescent="0.3">
      <c r="B71" s="378"/>
      <c r="C71" s="379"/>
      <c r="E71" s="381"/>
      <c r="G71" s="40"/>
      <c r="H71" s="18"/>
      <c r="I71" s="40"/>
      <c r="J71" s="18"/>
      <c r="K71" s="40"/>
    </row>
    <row r="72" spans="2:11" x14ac:dyDescent="0.3">
      <c r="B72" s="378"/>
      <c r="C72" s="380"/>
      <c r="E72" s="382"/>
      <c r="G72" s="40"/>
      <c r="H72" s="18"/>
      <c r="I72" s="40"/>
      <c r="J72" s="18"/>
      <c r="K72" s="40"/>
    </row>
    <row r="73" spans="2:11" ht="3" customHeight="1" x14ac:dyDescent="0.3"/>
    <row r="74" spans="2:11" x14ac:dyDescent="0.3">
      <c r="B74" s="378" t="str">
        <f>'[1]Riscos-CANTU'!B42</f>
        <v>17.</v>
      </c>
      <c r="C74" s="379">
        <f>'[1]Riscos-CANTU'!C42</f>
        <v>0</v>
      </c>
      <c r="E74" s="381" t="str">
        <f>'[1]Riscos-CANTU'!AS42</f>
        <v/>
      </c>
      <c r="G74" s="40"/>
      <c r="H74" s="18"/>
      <c r="I74" s="40"/>
      <c r="J74" s="18"/>
      <c r="K74" s="40"/>
    </row>
    <row r="75" spans="2:11" x14ac:dyDescent="0.3">
      <c r="B75" s="378"/>
      <c r="C75" s="379"/>
      <c r="E75" s="381"/>
      <c r="G75" s="40"/>
      <c r="H75" s="18"/>
      <c r="I75" s="40"/>
      <c r="J75" s="18"/>
      <c r="K75" s="40"/>
    </row>
    <row r="76" spans="2:11" x14ac:dyDescent="0.3">
      <c r="B76" s="378"/>
      <c r="C76" s="380"/>
      <c r="E76" s="382"/>
      <c r="G76" s="40"/>
      <c r="H76" s="18"/>
      <c r="I76" s="40"/>
      <c r="J76" s="18"/>
      <c r="K76" s="40"/>
    </row>
    <row r="77" spans="2:11" ht="3" customHeight="1" x14ac:dyDescent="0.3"/>
    <row r="78" spans="2:11" x14ac:dyDescent="0.3">
      <c r="B78" s="378" t="str">
        <f>'[1]Riscos-CANTU'!B44</f>
        <v>18.</v>
      </c>
      <c r="C78" s="379">
        <f>'[1]Riscos-CANTU'!C44</f>
        <v>0</v>
      </c>
      <c r="E78" s="381" t="str">
        <f>'[1]Riscos-CANTU'!AS44</f>
        <v/>
      </c>
      <c r="G78" s="40"/>
      <c r="H78" s="18"/>
      <c r="I78" s="40"/>
      <c r="J78" s="18"/>
      <c r="K78" s="40"/>
    </row>
    <row r="79" spans="2:11" x14ac:dyDescent="0.3">
      <c r="B79" s="378"/>
      <c r="C79" s="379"/>
      <c r="E79" s="381"/>
      <c r="G79" s="40"/>
      <c r="H79" s="18"/>
      <c r="I79" s="40"/>
      <c r="J79" s="18"/>
      <c r="K79" s="40"/>
    </row>
    <row r="80" spans="2:11" x14ac:dyDescent="0.3">
      <c r="B80" s="378"/>
      <c r="C80" s="380"/>
      <c r="E80" s="382"/>
      <c r="G80" s="40"/>
      <c r="H80" s="18"/>
      <c r="I80" s="40"/>
      <c r="J80" s="18"/>
      <c r="K80" s="40"/>
    </row>
    <row r="81" spans="2:11" ht="3.75" customHeight="1" x14ac:dyDescent="0.3"/>
    <row r="82" spans="2:11" x14ac:dyDescent="0.3">
      <c r="B82" s="378" t="str">
        <f>'[1]Riscos-CANTU'!B46</f>
        <v>19.</v>
      </c>
      <c r="C82" s="379">
        <f>'[1]Riscos-CANTU'!C46</f>
        <v>0</v>
      </c>
      <c r="E82" s="381" t="str">
        <f>'[1]Riscos-CANTU'!AS46</f>
        <v/>
      </c>
      <c r="G82" s="40"/>
      <c r="H82" s="18"/>
      <c r="I82" s="40"/>
      <c r="J82" s="18"/>
      <c r="K82" s="40"/>
    </row>
    <row r="83" spans="2:11" x14ac:dyDescent="0.3">
      <c r="B83" s="378"/>
      <c r="C83" s="379"/>
      <c r="E83" s="381"/>
      <c r="G83" s="40"/>
      <c r="H83" s="18"/>
      <c r="I83" s="40"/>
      <c r="J83" s="18"/>
      <c r="K83" s="40"/>
    </row>
    <row r="84" spans="2:11" x14ac:dyDescent="0.3">
      <c r="B84" s="378"/>
      <c r="C84" s="380"/>
      <c r="E84" s="382"/>
      <c r="G84" s="40"/>
      <c r="H84" s="18"/>
      <c r="I84" s="40"/>
      <c r="J84" s="18"/>
      <c r="K84" s="40"/>
    </row>
    <row r="85" spans="2:11" ht="3.75" customHeight="1" x14ac:dyDescent="0.3"/>
    <row r="86" spans="2:11" x14ac:dyDescent="0.3">
      <c r="B86" s="378" t="str">
        <f>'[1]Riscos-CANTU'!B48</f>
        <v>20.</v>
      </c>
      <c r="C86" s="379">
        <f>'[1]Riscos-CANTU'!C48</f>
        <v>0</v>
      </c>
      <c r="E86" s="381" t="str">
        <f>'[1]Riscos-CANTU'!AS48</f>
        <v/>
      </c>
      <c r="G86" s="40"/>
      <c r="H86" s="18"/>
      <c r="I86" s="40"/>
      <c r="J86" s="18"/>
      <c r="K86" s="40"/>
    </row>
    <row r="87" spans="2:11" x14ac:dyDescent="0.3">
      <c r="B87" s="378"/>
      <c r="C87" s="379"/>
      <c r="E87" s="381"/>
      <c r="G87" s="40"/>
      <c r="H87" s="18"/>
      <c r="I87" s="40"/>
      <c r="J87" s="18"/>
      <c r="K87" s="40"/>
    </row>
    <row r="88" spans="2:11" x14ac:dyDescent="0.3">
      <c r="B88" s="378"/>
      <c r="C88" s="380"/>
      <c r="E88" s="382"/>
      <c r="G88" s="40"/>
      <c r="H88" s="18"/>
      <c r="I88" s="40"/>
      <c r="J88" s="18"/>
      <c r="K88" s="40"/>
    </row>
    <row r="89" spans="2:11" ht="3.75" customHeight="1" x14ac:dyDescent="0.3"/>
    <row r="90" spans="2:11" x14ac:dyDescent="0.3">
      <c r="B90" s="378" t="e">
        <f>'[1]Riscos-CANTU'!#REF!</f>
        <v>#REF!</v>
      </c>
      <c r="C90" s="379" t="e">
        <f>'[1]Riscos-CANTU'!#REF!</f>
        <v>#REF!</v>
      </c>
      <c r="E90" s="381" t="e">
        <f>'[1]Riscos-CANTU'!#REF!</f>
        <v>#REF!</v>
      </c>
      <c r="G90" s="40"/>
      <c r="H90" s="18"/>
      <c r="I90" s="40"/>
      <c r="J90" s="18"/>
      <c r="K90" s="40"/>
    </row>
    <row r="91" spans="2:11" x14ac:dyDescent="0.3">
      <c r="B91" s="378"/>
      <c r="C91" s="379"/>
      <c r="E91" s="381"/>
      <c r="G91" s="40"/>
      <c r="H91" s="18"/>
      <c r="I91" s="40"/>
      <c r="J91" s="18"/>
      <c r="K91" s="40"/>
    </row>
    <row r="92" spans="2:11" x14ac:dyDescent="0.3">
      <c r="B92" s="378"/>
      <c r="C92" s="380"/>
      <c r="E92" s="382"/>
      <c r="G92" s="40"/>
      <c r="H92" s="18"/>
      <c r="I92" s="40"/>
      <c r="J92" s="18"/>
      <c r="K92" s="40"/>
    </row>
  </sheetData>
  <sheetProtection formatCells="0" formatColumns="0" formatRows="0" selectLockedCells="1" sort="0" autoFilter="0" pivotTables="0"/>
  <mergeCells count="70">
    <mergeCell ref="B2:K4"/>
    <mergeCell ref="C6:C8"/>
    <mergeCell ref="E6:E8"/>
    <mergeCell ref="G6:K6"/>
    <mergeCell ref="G7:G8"/>
    <mergeCell ref="I7:I8"/>
    <mergeCell ref="K7:K8"/>
    <mergeCell ref="B10:B12"/>
    <mergeCell ref="C10:C12"/>
    <mergeCell ref="E10:E12"/>
    <mergeCell ref="B14:B16"/>
    <mergeCell ref="C14:C16"/>
    <mergeCell ref="E14:E16"/>
    <mergeCell ref="B18:B20"/>
    <mergeCell ref="C18:C20"/>
    <mergeCell ref="E18:E20"/>
    <mergeCell ref="B22:B24"/>
    <mergeCell ref="C22:C24"/>
    <mergeCell ref="E22:E24"/>
    <mergeCell ref="B26:B28"/>
    <mergeCell ref="C26:C28"/>
    <mergeCell ref="E26:E28"/>
    <mergeCell ref="B30:B32"/>
    <mergeCell ref="C30:C32"/>
    <mergeCell ref="E30:E32"/>
    <mergeCell ref="B34:B36"/>
    <mergeCell ref="C34:C36"/>
    <mergeCell ref="E34:E36"/>
    <mergeCell ref="B38:B40"/>
    <mergeCell ref="C38:C40"/>
    <mergeCell ref="E38:E40"/>
    <mergeCell ref="B42:B44"/>
    <mergeCell ref="C42:C44"/>
    <mergeCell ref="E42:E44"/>
    <mergeCell ref="B46:B48"/>
    <mergeCell ref="C46:C48"/>
    <mergeCell ref="E46:E48"/>
    <mergeCell ref="B50:B52"/>
    <mergeCell ref="C50:C52"/>
    <mergeCell ref="E50:E52"/>
    <mergeCell ref="B54:B56"/>
    <mergeCell ref="C54:C56"/>
    <mergeCell ref="E54:E56"/>
    <mergeCell ref="B58:B60"/>
    <mergeCell ref="C58:C60"/>
    <mergeCell ref="E58:E60"/>
    <mergeCell ref="B62:B64"/>
    <mergeCell ref="C62:C64"/>
    <mergeCell ref="E62:E64"/>
    <mergeCell ref="B66:B68"/>
    <mergeCell ref="C66:C68"/>
    <mergeCell ref="E66:E68"/>
    <mergeCell ref="B70:B72"/>
    <mergeCell ref="C70:C72"/>
    <mergeCell ref="E70:E72"/>
    <mergeCell ref="B74:B76"/>
    <mergeCell ref="C74:C76"/>
    <mergeCell ref="E74:E76"/>
    <mergeCell ref="B78:B80"/>
    <mergeCell ref="C78:C80"/>
    <mergeCell ref="E78:E80"/>
    <mergeCell ref="B90:B92"/>
    <mergeCell ref="C90:C92"/>
    <mergeCell ref="E90:E92"/>
    <mergeCell ref="B82:B84"/>
    <mergeCell ref="C82:C84"/>
    <mergeCell ref="E82:E84"/>
    <mergeCell ref="B86:B88"/>
    <mergeCell ref="C86:C88"/>
    <mergeCell ref="E86:E88"/>
  </mergeCells>
  <conditionalFormatting sqref="C1 C5">
    <cfRule type="cellIs" dxfId="175" priority="69" operator="equal">
      <formula>0</formula>
    </cfRule>
  </conditionalFormatting>
  <conditionalFormatting sqref="C9:C1048576">
    <cfRule type="cellIs" dxfId="174" priority="57" operator="equal">
      <formula>0</formula>
    </cfRule>
  </conditionalFormatting>
  <conditionalFormatting sqref="E10">
    <cfRule type="cellIs" dxfId="173" priority="17" operator="equal">
      <formula>"Desprezível"</formula>
    </cfRule>
    <cfRule type="cellIs" dxfId="172" priority="18" operator="equal">
      <formula>"Intolerável"</formula>
    </cfRule>
    <cfRule type="cellIs" dxfId="171" priority="19" operator="equal">
      <formula>"Indesejável"</formula>
    </cfRule>
    <cfRule type="cellIs" dxfId="170" priority="20" operator="equal">
      <formula>"Administrável"</formula>
    </cfRule>
  </conditionalFormatting>
  <conditionalFormatting sqref="E14">
    <cfRule type="cellIs" dxfId="169" priority="9" operator="equal">
      <formula>"Desprezível"</formula>
    </cfRule>
    <cfRule type="cellIs" dxfId="168" priority="10" operator="equal">
      <formula>"Intolerável"</formula>
    </cfRule>
    <cfRule type="cellIs" dxfId="167" priority="11" operator="equal">
      <formula>"Indesejável"</formula>
    </cfRule>
    <cfRule type="cellIs" dxfId="166" priority="12" operator="equal">
      <formula>"Administrável"</formula>
    </cfRule>
  </conditionalFormatting>
  <conditionalFormatting sqref="E18">
    <cfRule type="cellIs" dxfId="165" priority="1" operator="equal">
      <formula>"Desprezível"</formula>
    </cfRule>
    <cfRule type="cellIs" dxfId="164" priority="2" operator="equal">
      <formula>"Intolerável"</formula>
    </cfRule>
    <cfRule type="cellIs" dxfId="163" priority="3" operator="equal">
      <formula>"Indesejável"</formula>
    </cfRule>
    <cfRule type="cellIs" dxfId="162" priority="4" operator="equal">
      <formula>"Administrável"</formula>
    </cfRule>
  </conditionalFormatting>
  <conditionalFormatting sqref="E22">
    <cfRule type="cellIs" dxfId="161" priority="49" operator="equal">
      <formula>"Desprezível"</formula>
    </cfRule>
    <cfRule type="cellIs" dxfId="160" priority="50" operator="equal">
      <formula>"Intolerável"</formula>
    </cfRule>
    <cfRule type="cellIs" dxfId="159" priority="51" operator="equal">
      <formula>"Indesejável"</formula>
    </cfRule>
    <cfRule type="cellIs" dxfId="158" priority="52" operator="equal">
      <formula>"Administrável"</formula>
    </cfRule>
  </conditionalFormatting>
  <conditionalFormatting sqref="E26">
    <cfRule type="cellIs" dxfId="157" priority="41" operator="equal">
      <formula>"Desprezível"</formula>
    </cfRule>
    <cfRule type="cellIs" dxfId="156" priority="42" operator="equal">
      <formula>"Intolerável"</formula>
    </cfRule>
    <cfRule type="cellIs" dxfId="155" priority="43" operator="equal">
      <formula>"Indesejável"</formula>
    </cfRule>
    <cfRule type="cellIs" dxfId="154" priority="44" operator="equal">
      <formula>"Administrável"</formula>
    </cfRule>
  </conditionalFormatting>
  <conditionalFormatting sqref="E30">
    <cfRule type="cellIs" dxfId="153" priority="33" operator="equal">
      <formula>"Desprezível"</formula>
    </cfRule>
    <cfRule type="cellIs" dxfId="152" priority="34" operator="equal">
      <formula>"Intolerável"</formula>
    </cfRule>
    <cfRule type="cellIs" dxfId="151" priority="35" operator="equal">
      <formula>"Indesejável"</formula>
    </cfRule>
    <cfRule type="cellIs" dxfId="150" priority="36" operator="equal">
      <formula>"Administrável"</formula>
    </cfRule>
  </conditionalFormatting>
  <conditionalFormatting sqref="E34">
    <cfRule type="cellIs" dxfId="149" priority="25" operator="equal">
      <formula>"Desprezível"</formula>
    </cfRule>
    <cfRule type="cellIs" dxfId="148" priority="26" operator="equal">
      <formula>"Intolerável"</formula>
    </cfRule>
    <cfRule type="cellIs" dxfId="147" priority="27" operator="equal">
      <formula>"Indesejável"</formula>
    </cfRule>
    <cfRule type="cellIs" dxfId="146" priority="28" operator="equal">
      <formula>"Administrável"</formula>
    </cfRule>
  </conditionalFormatting>
  <dataValidations count="2">
    <dataValidation type="list" allowBlank="1" showInputMessage="1" showErrorMessage="1" sqref="E9 E13 E37 E29 E21 E17 E33 E41 E25 E45 E49 E53 E57 E61 E65" xr:uid="{293AE7C8-C80B-47C7-BA35-353B83A7DA6B}">
      <formula1>#REF!</formula1>
    </dataValidation>
    <dataValidation allowBlank="1" showErrorMessage="1" sqref="E6:E8" xr:uid="{9824C2FB-5E56-45E6-9110-E422F8EB2E92}"/>
  </dataValidations>
  <pageMargins left="0" right="0" top="0" bottom="0" header="0" footer="0"/>
  <pageSetup paperSize="9" scale="80" fitToHeight="2" orientation="landscape" r:id="rId1"/>
  <rowBreaks count="1" manualBreakCount="1">
    <brk id="24" min="1" max="10" man="1"/>
  </rowBreak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54ADF-C0F8-436A-9724-59C09D240365}">
  <sheetPr>
    <pageSetUpPr fitToPage="1"/>
  </sheetPr>
  <dimension ref="B1:BE39"/>
  <sheetViews>
    <sheetView showGridLines="0" zoomScaleNormal="100" workbookViewId="0">
      <pane xSplit="4" ySplit="9" topLeftCell="E10" activePane="bottomRight" state="frozen"/>
      <selection pane="topRight" activeCell="G1" sqref="G1"/>
      <selection pane="bottomLeft" activeCell="A8" sqref="A8"/>
      <selection pane="bottomRight" activeCell="A9" sqref="A9"/>
    </sheetView>
  </sheetViews>
  <sheetFormatPr defaultColWidth="9.109375" defaultRowHeight="13.8" x14ac:dyDescent="0.3"/>
  <cols>
    <col min="1" max="1" width="1.88671875" style="1" customWidth="1"/>
    <col min="2" max="2" width="6.33203125" style="1" customWidth="1"/>
    <col min="3" max="3" width="39.5546875" style="46" customWidth="1"/>
    <col min="4" max="4" width="0.5546875" style="2" customWidth="1"/>
    <col min="5" max="5" width="11" style="2" customWidth="1"/>
    <col min="6" max="6" width="2.109375" style="2" hidden="1" customWidth="1"/>
    <col min="7" max="7" width="2" style="2" hidden="1" customWidth="1"/>
    <col min="8" max="8" width="10.33203125" style="2" customWidth="1"/>
    <col min="9" max="9" width="1.88671875" style="2" hidden="1" customWidth="1"/>
    <col min="10" max="10" width="3.33203125" style="2" hidden="1" customWidth="1"/>
    <col min="11" max="11" width="10.109375" style="2" customWidth="1"/>
    <col min="12" max="12" width="1.88671875" style="2" hidden="1" customWidth="1"/>
    <col min="13" max="13" width="2.88671875" style="2" hidden="1" customWidth="1"/>
    <col min="14" max="14" width="13.88671875" style="2" customWidth="1"/>
    <col min="15" max="15" width="2" style="2" hidden="1" customWidth="1"/>
    <col min="16" max="16" width="3" style="2" hidden="1" customWidth="1"/>
    <col min="17" max="17" width="11.33203125" style="2" customWidth="1"/>
    <col min="18" max="18" width="2.5546875" style="2" hidden="1" customWidth="1"/>
    <col min="19" max="19" width="2.44140625" style="2" hidden="1" customWidth="1"/>
    <col min="20" max="20" width="2.33203125" style="118" hidden="1" customWidth="1"/>
    <col min="21" max="21" width="2.44140625" style="118" hidden="1" customWidth="1"/>
    <col min="22" max="22" width="1" style="11" customWidth="1"/>
    <col min="23" max="24" width="8.33203125" style="2" customWidth="1"/>
    <col min="25" max="25" width="10" style="2" customWidth="1"/>
    <col min="26" max="26" width="10.5546875" style="2" customWidth="1"/>
    <col min="27" max="27" width="9.33203125" style="2" customWidth="1"/>
    <col min="28" max="28" width="3" style="7" hidden="1" customWidth="1"/>
    <col min="29" max="29" width="1.109375" style="2" customWidth="1"/>
    <col min="30" max="30" width="7.88671875" style="2" customWidth="1"/>
    <col min="31" max="31" width="7.44140625" style="2" customWidth="1"/>
    <col min="32" max="32" width="6.5546875" style="2" customWidth="1"/>
    <col min="33" max="33" width="5.6640625" style="7" customWidth="1"/>
    <col min="34" max="34" width="7" style="2" customWidth="1"/>
    <col min="35" max="35" width="2.44140625" style="2" hidden="1" customWidth="1"/>
    <col min="36" max="36" width="0.6640625" style="2" customWidth="1"/>
    <col min="37" max="37" width="6.33203125" style="2" customWidth="1"/>
    <col min="38" max="39" width="5.44140625" style="2" customWidth="1"/>
    <col min="40" max="40" width="5.5546875" style="2" customWidth="1"/>
    <col min="41" max="41" width="5.6640625" style="121" customWidth="1"/>
    <col min="42" max="42" width="3.33203125" style="2" hidden="1" customWidth="1"/>
    <col min="43" max="43" width="3.33203125" style="118" hidden="1" customWidth="1"/>
    <col min="44" max="44" width="2.6640625" style="118" hidden="1" customWidth="1"/>
    <col min="45" max="45" width="6.109375" style="118" hidden="1" customWidth="1"/>
    <col min="46" max="46" width="17.44140625" style="1" customWidth="1"/>
    <col min="47" max="47" width="0.5546875" style="59" customWidth="1"/>
    <col min="48" max="48" width="17.44140625" style="1" customWidth="1"/>
    <col min="49" max="49" width="6.6640625" style="184" customWidth="1"/>
    <col min="50" max="50" width="0.88671875" style="3" customWidth="1"/>
    <col min="51" max="52" width="12.109375" style="35" hidden="1" customWidth="1"/>
    <col min="53" max="53" width="11.5546875" style="35" hidden="1" customWidth="1"/>
    <col min="54" max="54" width="13.109375" style="35" hidden="1" customWidth="1"/>
    <col min="55" max="55" width="9.109375" style="1"/>
    <col min="56" max="56" width="9.109375" style="3"/>
    <col min="57" max="16384" width="9.109375" style="1"/>
  </cols>
  <sheetData>
    <row r="1" spans="2:57" ht="18" customHeight="1" x14ac:dyDescent="0.3">
      <c r="B1" s="353"/>
      <c r="C1" s="354"/>
      <c r="D1" s="158"/>
      <c r="E1" s="405" t="s">
        <v>234</v>
      </c>
      <c r="F1" s="405"/>
      <c r="G1" s="405"/>
      <c r="H1" s="405"/>
      <c r="I1" s="405"/>
      <c r="J1" s="405"/>
      <c r="K1" s="405"/>
      <c r="L1" s="405"/>
      <c r="M1" s="405"/>
      <c r="N1" s="405"/>
      <c r="O1" s="405"/>
      <c r="P1" s="405"/>
      <c r="Q1" s="405"/>
      <c r="R1" s="405"/>
      <c r="S1" s="405"/>
      <c r="T1" s="405"/>
      <c r="U1" s="405"/>
      <c r="V1" s="405"/>
      <c r="W1" s="405"/>
      <c r="X1" s="405"/>
      <c r="Y1" s="405"/>
      <c r="Z1" s="405"/>
      <c r="AA1" s="405"/>
      <c r="AB1" s="405"/>
      <c r="AC1" s="405"/>
      <c r="AD1" s="405"/>
      <c r="AE1" s="405"/>
      <c r="AF1" s="405"/>
      <c r="AG1" s="405"/>
      <c r="AH1" s="405"/>
      <c r="AI1" s="405"/>
      <c r="AJ1" s="405"/>
      <c r="AK1" s="405"/>
      <c r="AL1" s="405"/>
      <c r="AM1" s="405"/>
      <c r="AN1" s="405"/>
      <c r="AO1" s="405"/>
      <c r="AP1" s="405"/>
      <c r="AQ1" s="405"/>
      <c r="AR1" s="405"/>
      <c r="AS1" s="405"/>
      <c r="AT1" s="405"/>
      <c r="AU1" s="405"/>
      <c r="AV1" s="405"/>
    </row>
    <row r="2" spans="2:57" ht="22.5" customHeight="1" x14ac:dyDescent="0.3">
      <c r="B2" s="355"/>
      <c r="C2" s="356"/>
      <c r="D2" s="158"/>
      <c r="E2" s="405"/>
      <c r="F2" s="405"/>
      <c r="G2" s="405"/>
      <c r="H2" s="405"/>
      <c r="I2" s="405"/>
      <c r="J2" s="405"/>
      <c r="K2" s="405"/>
      <c r="L2" s="405"/>
      <c r="M2" s="405"/>
      <c r="N2" s="405"/>
      <c r="O2" s="405"/>
      <c r="P2" s="405"/>
      <c r="Q2" s="405"/>
      <c r="R2" s="405"/>
      <c r="S2" s="405"/>
      <c r="T2" s="405"/>
      <c r="U2" s="405"/>
      <c r="V2" s="405"/>
      <c r="W2" s="405"/>
      <c r="X2" s="405"/>
      <c r="Y2" s="405"/>
      <c r="Z2" s="405"/>
      <c r="AA2" s="405"/>
      <c r="AB2" s="405"/>
      <c r="AC2" s="405"/>
      <c r="AD2" s="405"/>
      <c r="AE2" s="405"/>
      <c r="AF2" s="405"/>
      <c r="AG2" s="405"/>
      <c r="AH2" s="405"/>
      <c r="AI2" s="405"/>
      <c r="AJ2" s="405"/>
      <c r="AK2" s="405"/>
      <c r="AL2" s="405"/>
      <c r="AM2" s="405"/>
      <c r="AN2" s="405"/>
      <c r="AO2" s="405"/>
      <c r="AP2" s="405"/>
      <c r="AQ2" s="405"/>
      <c r="AR2" s="405"/>
      <c r="AS2" s="405"/>
      <c r="AT2" s="405"/>
      <c r="AU2" s="405"/>
      <c r="AV2" s="405"/>
    </row>
    <row r="3" spans="2:57" ht="3" customHeight="1" x14ac:dyDescent="0.3">
      <c r="B3" s="355"/>
      <c r="C3" s="356"/>
    </row>
    <row r="4" spans="2:57" ht="30" customHeight="1" thickBot="1" x14ac:dyDescent="0.35">
      <c r="B4" s="357"/>
      <c r="C4" s="358"/>
      <c r="D4" s="159"/>
      <c r="E4" s="406" t="s">
        <v>235</v>
      </c>
      <c r="F4" s="406"/>
      <c r="G4" s="406"/>
      <c r="H4" s="406"/>
      <c r="I4" s="406"/>
      <c r="J4" s="406"/>
      <c r="K4" s="406"/>
      <c r="L4" s="406"/>
      <c r="M4" s="406"/>
      <c r="N4" s="406"/>
      <c r="O4" s="406"/>
      <c r="P4" s="406"/>
      <c r="Q4" s="406"/>
      <c r="R4" s="406"/>
      <c r="S4" s="406"/>
      <c r="T4" s="406"/>
      <c r="U4" s="406"/>
      <c r="V4" s="406"/>
      <c r="W4" s="406"/>
      <c r="X4" s="406"/>
      <c r="Y4" s="406"/>
      <c r="Z4" s="406"/>
      <c r="AA4" s="406"/>
      <c r="AB4" s="406"/>
      <c r="AC4" s="406"/>
      <c r="AD4" s="406"/>
      <c r="AE4" s="406"/>
      <c r="AF4" s="406"/>
      <c r="AG4" s="406"/>
      <c r="AH4" s="406"/>
      <c r="AI4" s="406"/>
      <c r="AJ4" s="406"/>
      <c r="AK4" s="406"/>
      <c r="AL4" s="406"/>
      <c r="AM4" s="406"/>
      <c r="AN4" s="406"/>
      <c r="AO4" s="406"/>
      <c r="AP4" s="406"/>
      <c r="AQ4" s="406"/>
      <c r="AR4" s="406"/>
      <c r="AS4" s="406"/>
      <c r="AT4" s="406"/>
      <c r="AU4" s="406"/>
      <c r="AV4" s="406"/>
    </row>
    <row r="5" spans="2:57" ht="3" customHeight="1" thickBot="1" x14ac:dyDescent="0.35"/>
    <row r="6" spans="2:57" ht="27" customHeight="1" x14ac:dyDescent="0.3">
      <c r="B6" s="407" t="s">
        <v>0</v>
      </c>
      <c r="C6" s="410" t="s">
        <v>83</v>
      </c>
      <c r="D6" s="4"/>
      <c r="E6" s="367" t="s">
        <v>21</v>
      </c>
      <c r="F6" s="368"/>
      <c r="G6" s="368"/>
      <c r="H6" s="368"/>
      <c r="I6" s="368"/>
      <c r="J6" s="368"/>
      <c r="K6" s="368"/>
      <c r="L6" s="368"/>
      <c r="M6" s="368"/>
      <c r="N6" s="368"/>
      <c r="O6" s="368"/>
      <c r="P6" s="368"/>
      <c r="Q6" s="369"/>
      <c r="R6" s="146"/>
      <c r="S6" s="146"/>
      <c r="T6" s="119"/>
      <c r="U6" s="119"/>
      <c r="V6" s="12"/>
      <c r="W6" s="367" t="s">
        <v>176</v>
      </c>
      <c r="X6" s="368"/>
      <c r="Y6" s="368"/>
      <c r="Z6" s="368"/>
      <c r="AA6" s="368"/>
      <c r="AB6" s="368"/>
      <c r="AC6" s="368"/>
      <c r="AD6" s="368"/>
      <c r="AE6" s="368"/>
      <c r="AF6" s="368"/>
      <c r="AG6" s="368"/>
      <c r="AH6" s="368"/>
      <c r="AI6" s="368"/>
      <c r="AJ6" s="368"/>
      <c r="AK6" s="368"/>
      <c r="AL6" s="368"/>
      <c r="AM6" s="368"/>
      <c r="AN6" s="368"/>
      <c r="AO6" s="369"/>
      <c r="AP6" s="149"/>
      <c r="AQ6" s="119"/>
      <c r="AR6" s="119"/>
      <c r="AS6" s="119"/>
      <c r="AT6" s="413" t="s">
        <v>149</v>
      </c>
      <c r="AU6" s="189"/>
      <c r="AV6" s="413" t="s">
        <v>180</v>
      </c>
      <c r="AY6" s="400" t="s">
        <v>149</v>
      </c>
      <c r="AZ6" s="400"/>
      <c r="BA6" s="400"/>
      <c r="BB6" s="400"/>
    </row>
    <row r="7" spans="2:57" ht="16.5" customHeight="1" x14ac:dyDescent="0.3">
      <c r="B7" s="408"/>
      <c r="C7" s="411"/>
      <c r="D7" s="4"/>
      <c r="E7" s="371" t="s">
        <v>2</v>
      </c>
      <c r="F7" s="375" t="s">
        <v>22</v>
      </c>
      <c r="G7" s="375" t="s">
        <v>23</v>
      </c>
      <c r="H7" s="351" t="s">
        <v>3</v>
      </c>
      <c r="I7" s="340" t="s">
        <v>22</v>
      </c>
      <c r="J7" s="340" t="s">
        <v>23</v>
      </c>
      <c r="K7" s="351" t="s">
        <v>87</v>
      </c>
      <c r="L7" s="340" t="s">
        <v>22</v>
      </c>
      <c r="M7" s="340" t="s">
        <v>23</v>
      </c>
      <c r="N7" s="351" t="s">
        <v>115</v>
      </c>
      <c r="O7" s="340" t="s">
        <v>22</v>
      </c>
      <c r="P7" s="340" t="s">
        <v>23</v>
      </c>
      <c r="Q7" s="373" t="s">
        <v>133</v>
      </c>
      <c r="R7" s="401" t="s">
        <v>22</v>
      </c>
      <c r="S7" s="403" t="s">
        <v>23</v>
      </c>
      <c r="T7" s="119"/>
      <c r="U7" s="119"/>
      <c r="V7" s="12"/>
      <c r="W7" s="350" t="s">
        <v>92</v>
      </c>
      <c r="X7" s="342"/>
      <c r="Y7" s="342"/>
      <c r="Z7" s="342"/>
      <c r="AA7" s="342"/>
      <c r="AB7" s="375" t="s">
        <v>22</v>
      </c>
      <c r="AC7" s="153"/>
      <c r="AD7" s="342" t="s">
        <v>123</v>
      </c>
      <c r="AE7" s="342"/>
      <c r="AF7" s="342"/>
      <c r="AG7" s="342"/>
      <c r="AH7" s="342"/>
      <c r="AI7" s="375" t="s">
        <v>22</v>
      </c>
      <c r="AJ7" s="153"/>
      <c r="AK7" s="342" t="s">
        <v>104</v>
      </c>
      <c r="AL7" s="342"/>
      <c r="AM7" s="342"/>
      <c r="AN7" s="342"/>
      <c r="AO7" s="343"/>
      <c r="AP7" s="414" t="s">
        <v>22</v>
      </c>
      <c r="AQ7" s="119"/>
      <c r="AR7" s="119"/>
      <c r="AS7" s="119"/>
      <c r="AT7" s="413"/>
      <c r="AU7" s="189"/>
      <c r="AV7" s="413"/>
      <c r="AY7" s="400"/>
      <c r="AZ7" s="400"/>
      <c r="BA7" s="400"/>
      <c r="BB7" s="400"/>
    </row>
    <row r="8" spans="2:57" ht="27.9" customHeight="1" thickBot="1" x14ac:dyDescent="0.35">
      <c r="B8" s="409"/>
      <c r="C8" s="412"/>
      <c r="D8" s="4"/>
      <c r="E8" s="372"/>
      <c r="F8" s="376"/>
      <c r="G8" s="376"/>
      <c r="H8" s="377"/>
      <c r="I8" s="341"/>
      <c r="J8" s="341"/>
      <c r="K8" s="352"/>
      <c r="L8" s="341"/>
      <c r="M8" s="341"/>
      <c r="N8" s="352"/>
      <c r="O8" s="341"/>
      <c r="P8" s="341"/>
      <c r="Q8" s="374"/>
      <c r="R8" s="402"/>
      <c r="S8" s="404"/>
      <c r="T8" s="119"/>
      <c r="U8" s="120" t="s">
        <v>32</v>
      </c>
      <c r="V8" s="13"/>
      <c r="W8" s="154" t="s">
        <v>121</v>
      </c>
      <c r="X8" s="155" t="s">
        <v>94</v>
      </c>
      <c r="Y8" s="155" t="s">
        <v>95</v>
      </c>
      <c r="Z8" s="155" t="s">
        <v>97</v>
      </c>
      <c r="AA8" s="155" t="s">
        <v>122</v>
      </c>
      <c r="AB8" s="376"/>
      <c r="AC8" s="156"/>
      <c r="AD8" s="155" t="s">
        <v>124</v>
      </c>
      <c r="AE8" s="155" t="s">
        <v>125</v>
      </c>
      <c r="AF8" s="155" t="s">
        <v>13</v>
      </c>
      <c r="AG8" s="155" t="s">
        <v>102</v>
      </c>
      <c r="AH8" s="155" t="s">
        <v>126</v>
      </c>
      <c r="AI8" s="376"/>
      <c r="AJ8" s="156"/>
      <c r="AK8" s="155" t="s">
        <v>105</v>
      </c>
      <c r="AL8" s="155" t="s">
        <v>127</v>
      </c>
      <c r="AM8" s="155" t="s">
        <v>128</v>
      </c>
      <c r="AN8" s="155" t="s">
        <v>129</v>
      </c>
      <c r="AO8" s="157" t="s">
        <v>122</v>
      </c>
      <c r="AP8" s="415"/>
      <c r="AQ8" s="120" t="s">
        <v>27</v>
      </c>
      <c r="AR8" s="120" t="s">
        <v>13</v>
      </c>
      <c r="AS8" s="120"/>
      <c r="AT8" s="413"/>
      <c r="AU8" s="189"/>
      <c r="AV8" s="413"/>
      <c r="AY8" s="134" t="s">
        <v>28</v>
      </c>
      <c r="AZ8" s="135" t="s">
        <v>95</v>
      </c>
      <c r="BA8" s="136" t="s">
        <v>31</v>
      </c>
      <c r="BB8" s="137" t="s">
        <v>148</v>
      </c>
    </row>
    <row r="9" spans="2:57" ht="3" customHeight="1" x14ac:dyDescent="0.3">
      <c r="C9" s="48"/>
      <c r="E9" s="16"/>
      <c r="F9" s="16"/>
      <c r="G9" s="16"/>
      <c r="H9" s="16"/>
      <c r="I9" s="16"/>
      <c r="J9" s="16"/>
      <c r="K9" s="16"/>
      <c r="L9" s="16"/>
      <c r="M9" s="16"/>
      <c r="N9" s="16"/>
      <c r="O9" s="16"/>
      <c r="P9" s="16"/>
      <c r="Q9" s="16"/>
      <c r="R9" s="16"/>
      <c r="S9" s="16"/>
      <c r="W9" s="16"/>
      <c r="X9" s="16"/>
      <c r="Y9" s="16"/>
      <c r="Z9" s="16"/>
      <c r="AA9" s="16"/>
      <c r="AB9" s="16"/>
      <c r="AC9" s="7"/>
      <c r="AD9" s="16"/>
      <c r="AE9" s="16"/>
      <c r="AF9" s="16"/>
      <c r="AG9" s="16"/>
      <c r="AH9" s="16"/>
      <c r="AI9" s="16"/>
      <c r="AJ9" s="7"/>
      <c r="AK9" s="16"/>
      <c r="AL9" s="16"/>
      <c r="AM9" s="16"/>
      <c r="AN9" s="16"/>
      <c r="AO9" s="16"/>
      <c r="AP9" s="16"/>
      <c r="AT9" s="191"/>
      <c r="AV9" s="191"/>
      <c r="AY9" s="130"/>
      <c r="AZ9" s="130"/>
      <c r="BA9" s="130"/>
      <c r="BB9" s="130"/>
    </row>
    <row r="10" spans="2:57" ht="27.6" x14ac:dyDescent="0.3">
      <c r="B10" s="41" t="s">
        <v>35</v>
      </c>
      <c r="C10" s="51" t="s">
        <v>236</v>
      </c>
      <c r="E10" s="37" t="s">
        <v>31</v>
      </c>
      <c r="F10" s="38">
        <f t="shared" ref="F10:F38" si="0">IF(E10="N.A.",0)+IF(E10="Baixo",1)+IF(E10="Moderado",2)+IF(E10="Significativo",4)+IF(E10="Alto",6)</f>
        <v>6</v>
      </c>
      <c r="G10" s="38">
        <f t="shared" ref="G10:G38" si="1">IF(F10&gt;0,1,0)</f>
        <v>1</v>
      </c>
      <c r="H10" s="37" t="s">
        <v>29</v>
      </c>
      <c r="I10" s="38">
        <f t="shared" ref="I10:I38" si="2">IF(H10="N.A.",0)+IF(H10="Baixo",1)+IF(H10="Moderado",2)+IF(H10="Significativo",4)+IF(H10="Alto",6)</f>
        <v>2</v>
      </c>
      <c r="J10" s="38">
        <f t="shared" ref="J10:J38" si="3">IF(I10&gt;0,1,0)</f>
        <v>1</v>
      </c>
      <c r="K10" s="37" t="s">
        <v>29</v>
      </c>
      <c r="L10" s="38">
        <f>IF(K10="N.A.",0)+IF(K10="Baixo",1)+IF(K10="Moderado",2)+IF(K10="Significativo",4)+IF(K10="Alto",6)</f>
        <v>2</v>
      </c>
      <c r="M10" s="8">
        <f>IF(L10&gt;0,1,0)</f>
        <v>1</v>
      </c>
      <c r="N10" s="37" t="s">
        <v>31</v>
      </c>
      <c r="O10" s="38">
        <f t="shared" ref="O10:O38" si="4">IF(N10="N.A.",0)+IF(N10="Baixo",1)+IF(N10="Moderado",2)+IF(N10="Significativo",4)+IF(N10="Alto",6)</f>
        <v>6</v>
      </c>
      <c r="P10" s="38">
        <f t="shared" ref="P10:P38" si="5">IF(O10&gt;0,1,0)</f>
        <v>1</v>
      </c>
      <c r="Q10" s="37" t="s">
        <v>30</v>
      </c>
      <c r="R10" s="38">
        <f t="shared" ref="R10:R38" si="6">IF(Q10="N.A.",0)+IF(Q10="Baixo",1)+IF(Q10="Moderado",2)+IF(Q10="Significativo",4)+IF(Q10="Alto",6)</f>
        <v>4</v>
      </c>
      <c r="S10" s="38">
        <f t="shared" ref="S10:S16" si="7">IF(R10&gt;0,1,0)</f>
        <v>1</v>
      </c>
      <c r="T10" s="117">
        <f>SUM(G10,J10,M10,P10,S10)</f>
        <v>5</v>
      </c>
      <c r="U10" s="117">
        <f>IFERROR(SUM(F10,I10,L10,O10,R10)/T10,0)</f>
        <v>4</v>
      </c>
      <c r="V10" s="14"/>
      <c r="W10" s="128"/>
      <c r="X10" s="128"/>
      <c r="Y10" s="128"/>
      <c r="Z10" s="128"/>
      <c r="AA10" s="128" t="s">
        <v>202</v>
      </c>
      <c r="AB10" s="36">
        <f>IF(W10="X",5)+IF(X10="X",4)+IF(Y10="X",3)+IF(Z10="X",2)+IF(AA10="X",1)</f>
        <v>1</v>
      </c>
      <c r="AC10" s="9"/>
      <c r="AD10" s="128"/>
      <c r="AE10" s="128" t="s">
        <v>202</v>
      </c>
      <c r="AF10" s="128"/>
      <c r="AG10" s="152"/>
      <c r="AH10" s="128"/>
      <c r="AI10" s="36">
        <f>IF(AD10="X",5)+IF(AE10="X",4)+IF(AF10="X",3)+IF(AG10="X",2)+IF(AH10="X",1)</f>
        <v>4</v>
      </c>
      <c r="AJ10" s="9"/>
      <c r="AK10" s="128"/>
      <c r="AL10" s="128"/>
      <c r="AM10" s="128"/>
      <c r="AN10" s="128"/>
      <c r="AO10" s="173" t="s">
        <v>202</v>
      </c>
      <c r="AP10" s="36">
        <f>IF(AK10="X",5)+IF(AL10="X",4)+IF(AM10="X",3)+IF(AN10="X",2)+IF(AO10="X",1)</f>
        <v>1</v>
      </c>
      <c r="AQ10" s="117">
        <f>AB10+AI10+AP10</f>
        <v>6</v>
      </c>
      <c r="AR10" s="117">
        <f>(AQ10+U10)/2</f>
        <v>5</v>
      </c>
      <c r="AS10" s="117">
        <f>IF(AT10="",0,10)</f>
        <v>10</v>
      </c>
      <c r="AT10" s="39" t="str">
        <f>IF(AY10=TRUE,"Baixo",IF(AZ10=TRUE,"Médio",IF(BA10=TRUE,"Alto",IF(BB10=TRUE,"Muito Alto",""))))</f>
        <v>Alto</v>
      </c>
      <c r="AU10" s="185"/>
      <c r="AV10" s="195" t="s">
        <v>196</v>
      </c>
      <c r="AX10" s="20" t="s">
        <v>12</v>
      </c>
      <c r="AY10" s="130" t="b">
        <f>AND(U10&gt;0,U10&lt;=2,AQ10&gt;0,AQ10&lt;=7)</f>
        <v>0</v>
      </c>
      <c r="AZ10" s="130" t="b">
        <f>OR(AND(U10&gt;0,U10&lt;=2,AQ10&gt;0,AQ10&gt;7,AQ10&lt;=13),AND(U10&gt;0,U10&gt;2,U10&lt;=3,AQ10&gt;0,AQ10&lt;=10))</f>
        <v>0</v>
      </c>
      <c r="BA10" s="130" t="b">
        <f t="shared" ref="BA10:BA39" si="8">OR(AND(U10&gt;0,U10&lt;=2,AQ10&gt;0,AQ10&gt;12,AQ10&lt;=17),AND(U10&gt;0,U10&gt;2,U10&lt;=3,AQ10&gt;0,AQ10&gt;10,AQ10&lt;=13),AND(U10&gt;0,U10&gt;3,U10&lt;=5,AQ10&gt;0,AQ10&lt;=10),AND(U10&gt;0,U10&gt;5,U10&lt;=6,AQ10&gt;0,AQ10&lt;=7))</f>
        <v>1</v>
      </c>
      <c r="BB10" s="130" t="b">
        <f>OR(AND(U10&gt;0,U10&gt;2,U10&lt;=3,AQ10&gt;0,AQ10&gt;14,AQ10&lt;=20),AND(U10&gt;0,U10&gt;3,U10&lt;=5,AQ10&gt;0,AQ10&gt;10),AND(U10&gt;0,U10&gt;5,U10&lt;=6,AQ10&gt;0,AQ10&gt;7,AQ10&lt;=20))</f>
        <v>0</v>
      </c>
      <c r="BD10" s="20" t="s">
        <v>12</v>
      </c>
    </row>
    <row r="11" spans="2:57" ht="3.75" customHeight="1" x14ac:dyDescent="0.3">
      <c r="C11" s="116"/>
      <c r="E11" s="21"/>
      <c r="F11" s="38"/>
      <c r="G11" s="38"/>
      <c r="H11" s="21"/>
      <c r="I11" s="38">
        <f t="shared" si="2"/>
        <v>0</v>
      </c>
      <c r="J11" s="38">
        <f t="shared" si="3"/>
        <v>0</v>
      </c>
      <c r="K11" s="21"/>
      <c r="L11" s="38">
        <f>IF(K11="N.A.",0)+IF(K11="Baixo",1)+IF(K11="Moderado",2)+IF(K11="Significativo",4)+IF(K11="Alto",6)</f>
        <v>0</v>
      </c>
      <c r="M11" s="10"/>
      <c r="N11" s="37"/>
      <c r="O11" s="38"/>
      <c r="P11" s="38"/>
      <c r="Q11" s="37"/>
      <c r="R11" s="38">
        <f t="shared" si="6"/>
        <v>0</v>
      </c>
      <c r="S11" s="38">
        <f t="shared" si="7"/>
        <v>0</v>
      </c>
      <c r="T11" s="117">
        <f t="shared" ref="T11:T38" si="9">SUM(G11,J11,M11,P11,S11)</f>
        <v>0</v>
      </c>
      <c r="U11" s="117">
        <f t="shared" ref="U11:U38" si="10">IFERROR(SUM(F11,I11,L11,O11,R11)/T11,0)</f>
        <v>0</v>
      </c>
      <c r="V11" s="14"/>
      <c r="W11" s="128"/>
      <c r="X11" s="128"/>
      <c r="Y11" s="128"/>
      <c r="Z11" s="128"/>
      <c r="AA11" s="128"/>
      <c r="AB11" s="10"/>
      <c r="AC11" s="9"/>
      <c r="AD11" s="128"/>
      <c r="AE11" s="128"/>
      <c r="AF11" s="128"/>
      <c r="AG11" s="152"/>
      <c r="AH11" s="128"/>
      <c r="AI11" s="36"/>
      <c r="AJ11" s="9"/>
      <c r="AK11" s="128"/>
      <c r="AL11" s="128"/>
      <c r="AM11" s="128"/>
      <c r="AN11" s="128"/>
      <c r="AO11" s="131"/>
      <c r="AP11" s="36"/>
      <c r="AQ11" s="117">
        <f t="shared" ref="AQ11:AQ38" si="11">AB11+AI11+AP11</f>
        <v>0</v>
      </c>
      <c r="AR11" s="117"/>
      <c r="AS11" s="117"/>
      <c r="AT11" s="39" t="str">
        <f t="shared" ref="AT11:AT38" si="12">IF(AY11=TRUE,"Baixo",IF(AZ11=TRUE,"Médio",IF(BA11=TRUE,"Alto",IF(BB11=TRUE,"Muito Alto",""))))</f>
        <v/>
      </c>
      <c r="AU11" s="185"/>
      <c r="AV11" s="195"/>
      <c r="AX11" s="20" t="s">
        <v>28</v>
      </c>
      <c r="AY11" s="130"/>
      <c r="AZ11" s="130"/>
      <c r="BA11" s="130" t="b">
        <f t="shared" si="8"/>
        <v>0</v>
      </c>
      <c r="BB11" s="130" t="b">
        <f t="shared" ref="BB11:BB39" si="13">OR(AND(U11&gt;0,U11&gt;2,U11&lt;=3,AQ11&gt;0,AQ11&gt;14,AQ11&lt;=20),AND(U11&gt;0,U11&gt;3,U11&lt;=5,AQ11&gt;0,AQ11&gt;10),AND(U11&gt;0,U11&gt;5,U11&lt;=6,AQ11&gt;0,AQ11&gt;7,AQ11&lt;=20))</f>
        <v>0</v>
      </c>
      <c r="BD11" s="20" t="s">
        <v>28</v>
      </c>
    </row>
    <row r="12" spans="2:57" ht="25.5" customHeight="1" x14ac:dyDescent="0.3">
      <c r="B12" s="41" t="s">
        <v>36</v>
      </c>
      <c r="C12" s="51"/>
      <c r="E12" s="37"/>
      <c r="F12" s="38">
        <f t="shared" si="0"/>
        <v>0</v>
      </c>
      <c r="G12" s="38">
        <f t="shared" si="1"/>
        <v>0</v>
      </c>
      <c r="H12" s="37"/>
      <c r="I12" s="38">
        <f t="shared" si="2"/>
        <v>0</v>
      </c>
      <c r="J12" s="38">
        <f t="shared" si="3"/>
        <v>0</v>
      </c>
      <c r="K12" s="37"/>
      <c r="L12" s="38">
        <f>IF(K12="N.A.",0)+IF(K12="Baixo",1)+IF(K12="Moderado",2)+IF(K12="Significativo",4)+IF(K12="Alto",6)</f>
        <v>0</v>
      </c>
      <c r="M12" s="8">
        <f>IF(L12&gt;0,1,0)</f>
        <v>0</v>
      </c>
      <c r="N12" s="37"/>
      <c r="O12" s="38">
        <f t="shared" si="4"/>
        <v>0</v>
      </c>
      <c r="P12" s="38">
        <f t="shared" si="5"/>
        <v>0</v>
      </c>
      <c r="Q12" s="37"/>
      <c r="R12" s="38">
        <f t="shared" si="6"/>
        <v>0</v>
      </c>
      <c r="S12" s="38">
        <f t="shared" si="7"/>
        <v>0</v>
      </c>
      <c r="T12" s="117">
        <f t="shared" si="9"/>
        <v>0</v>
      </c>
      <c r="U12" s="117">
        <f t="shared" si="10"/>
        <v>0</v>
      </c>
      <c r="V12" s="14"/>
      <c r="W12" s="128"/>
      <c r="X12" s="128"/>
      <c r="Y12" s="128"/>
      <c r="Z12" s="128"/>
      <c r="AA12" s="128"/>
      <c r="AB12" s="36">
        <f>IF(W12="X",5)+IF(X12="X",4)+IF(Y12="X",3)+IF(Z12="X",2)+IF(AA12="X",1)</f>
        <v>0</v>
      </c>
      <c r="AC12" s="9"/>
      <c r="AD12" s="128"/>
      <c r="AE12" s="128"/>
      <c r="AF12" s="128"/>
      <c r="AG12" s="152"/>
      <c r="AH12" s="128"/>
      <c r="AI12" s="36">
        <f t="shared" ref="AI12:AI38" si="14">IF(AD12="X",5)+IF(AE12="X",4)+IF(AF12="X",3)+IF(AG12="X",2)+IF(AH12="X",1)</f>
        <v>0</v>
      </c>
      <c r="AJ12" s="9"/>
      <c r="AK12" s="128"/>
      <c r="AL12" s="128"/>
      <c r="AM12" s="128"/>
      <c r="AN12" s="128"/>
      <c r="AO12" s="131"/>
      <c r="AP12" s="36">
        <f t="shared" ref="AP12:AP38" si="15">IF(AK12="X",5)+IF(AL12="X",4)+IF(AM12="X",3)+IF(AN12="X",2)+IF(AO12="X",1)</f>
        <v>0</v>
      </c>
      <c r="AQ12" s="117">
        <f t="shared" si="11"/>
        <v>0</v>
      </c>
      <c r="AR12" s="117">
        <f>(AQ12+U12)/2</f>
        <v>0</v>
      </c>
      <c r="AS12" s="117">
        <f>IF(AT12="",0,10)</f>
        <v>0</v>
      </c>
      <c r="AT12" s="39" t="str">
        <f t="shared" si="12"/>
        <v/>
      </c>
      <c r="AU12" s="185"/>
      <c r="AV12" s="195"/>
      <c r="AX12" s="20" t="s">
        <v>29</v>
      </c>
      <c r="AY12" s="130" t="b">
        <f t="shared" ref="AY12:AY38" si="16">AND(U12&gt;0,U12&lt;=2,AQ12&gt;0,AQ12&lt;=7)</f>
        <v>0</v>
      </c>
      <c r="AZ12" s="130" t="b">
        <f t="shared" ref="AZ12:AZ38" si="17">OR(AND(U12&gt;0,U12&lt;=2,AQ12&gt;0,AQ12&gt;7,AQ12&lt;=13),AND(U12&gt;0,U12&gt;2,U12&lt;=3,AQ12&gt;0,AQ12&lt;=10))</f>
        <v>0</v>
      </c>
      <c r="BA12" s="130" t="b">
        <f t="shared" si="8"/>
        <v>0</v>
      </c>
      <c r="BB12" s="130" t="b">
        <f t="shared" si="13"/>
        <v>0</v>
      </c>
      <c r="BD12" s="20" t="s">
        <v>29</v>
      </c>
    </row>
    <row r="13" spans="2:57" ht="3.75" customHeight="1" x14ac:dyDescent="0.3">
      <c r="C13" s="116"/>
      <c r="E13" s="21"/>
      <c r="F13" s="38"/>
      <c r="G13" s="38"/>
      <c r="H13" s="21"/>
      <c r="I13" s="38"/>
      <c r="J13" s="38"/>
      <c r="K13" s="21"/>
      <c r="L13" s="38"/>
      <c r="M13" s="8"/>
      <c r="N13" s="37"/>
      <c r="O13" s="38"/>
      <c r="P13" s="38"/>
      <c r="Q13" s="37"/>
      <c r="R13" s="38"/>
      <c r="S13" s="38"/>
      <c r="T13" s="117">
        <f t="shared" si="9"/>
        <v>0</v>
      </c>
      <c r="U13" s="117">
        <f t="shared" si="10"/>
        <v>0</v>
      </c>
      <c r="V13" s="14"/>
      <c r="W13" s="128"/>
      <c r="X13" s="128"/>
      <c r="Y13" s="128"/>
      <c r="Z13" s="128"/>
      <c r="AA13" s="128"/>
      <c r="AB13" s="10"/>
      <c r="AC13" s="9"/>
      <c r="AD13" s="128"/>
      <c r="AE13" s="128"/>
      <c r="AF13" s="128"/>
      <c r="AG13" s="152"/>
      <c r="AH13" s="128"/>
      <c r="AI13" s="36"/>
      <c r="AJ13" s="9"/>
      <c r="AK13" s="128"/>
      <c r="AL13" s="128"/>
      <c r="AM13" s="128"/>
      <c r="AN13" s="128"/>
      <c r="AO13" s="131"/>
      <c r="AP13" s="36"/>
      <c r="AQ13" s="117">
        <f t="shared" si="11"/>
        <v>0</v>
      </c>
      <c r="AR13" s="117"/>
      <c r="AS13" s="117"/>
      <c r="AT13" s="39" t="str">
        <f t="shared" si="12"/>
        <v/>
      </c>
      <c r="AU13" s="185"/>
      <c r="AV13" s="195"/>
      <c r="AX13" s="20" t="s">
        <v>30</v>
      </c>
      <c r="AY13" s="130"/>
      <c r="AZ13" s="130"/>
      <c r="BA13" s="130" t="b">
        <f t="shared" si="8"/>
        <v>0</v>
      </c>
      <c r="BB13" s="130" t="b">
        <f t="shared" si="13"/>
        <v>0</v>
      </c>
      <c r="BD13" s="20" t="s">
        <v>30</v>
      </c>
    </row>
    <row r="14" spans="2:57" ht="25.5" customHeight="1" x14ac:dyDescent="0.3">
      <c r="B14" s="41" t="s">
        <v>37</v>
      </c>
      <c r="C14" s="51"/>
      <c r="E14" s="37"/>
      <c r="F14" s="38">
        <f t="shared" si="0"/>
        <v>0</v>
      </c>
      <c r="G14" s="38">
        <f t="shared" si="1"/>
        <v>0</v>
      </c>
      <c r="H14" s="37"/>
      <c r="I14" s="38">
        <f t="shared" si="2"/>
        <v>0</v>
      </c>
      <c r="J14" s="38">
        <f t="shared" si="3"/>
        <v>0</v>
      </c>
      <c r="K14" s="37"/>
      <c r="L14" s="38">
        <f t="shared" ref="L14:L38" si="18">IF(K14="N.A.",0)+IF(K14="Baixo",1)+IF(K14="Moderado",2)+IF(K14="Significativo",4)+IF(K14="Alto",6)</f>
        <v>0</v>
      </c>
      <c r="M14" s="8">
        <f t="shared" ref="M14:M38" si="19">IF(L14&gt;0,1,0)</f>
        <v>0</v>
      </c>
      <c r="N14" s="37"/>
      <c r="O14" s="38">
        <f t="shared" si="4"/>
        <v>0</v>
      </c>
      <c r="P14" s="38">
        <f t="shared" si="5"/>
        <v>0</v>
      </c>
      <c r="Q14" s="37"/>
      <c r="R14" s="38">
        <f>IF(Q14="N.A.",0)+IF(Q14="Baixo",1)+IF(Q14="Moderado",2)+IF(Q14="Significativo",4)+IF(Q14="Alto",6)</f>
        <v>0</v>
      </c>
      <c r="S14" s="38">
        <f t="shared" si="7"/>
        <v>0</v>
      </c>
      <c r="T14" s="117">
        <f t="shared" si="9"/>
        <v>0</v>
      </c>
      <c r="U14" s="117">
        <f t="shared" si="10"/>
        <v>0</v>
      </c>
      <c r="V14" s="14"/>
      <c r="W14" s="128"/>
      <c r="X14" s="128"/>
      <c r="Y14" s="128"/>
      <c r="Z14" s="128"/>
      <c r="AA14" s="128"/>
      <c r="AB14" s="36">
        <f>IF(W14="X",5)+IF(X14="X",4)+IF(Y14="X",3)+IF(Z14="X",2)+IF(AA14="X",1)</f>
        <v>0</v>
      </c>
      <c r="AC14" s="9"/>
      <c r="AD14" s="128"/>
      <c r="AE14" s="128"/>
      <c r="AF14" s="128"/>
      <c r="AG14" s="152"/>
      <c r="AH14" s="128"/>
      <c r="AI14" s="36">
        <f t="shared" si="14"/>
        <v>0</v>
      </c>
      <c r="AJ14" s="9"/>
      <c r="AK14" s="128"/>
      <c r="AL14" s="128"/>
      <c r="AM14" s="128"/>
      <c r="AN14" s="128"/>
      <c r="AO14" s="131"/>
      <c r="AP14" s="36">
        <f t="shared" si="15"/>
        <v>0</v>
      </c>
      <c r="AQ14" s="117">
        <f t="shared" si="11"/>
        <v>0</v>
      </c>
      <c r="AR14" s="117">
        <f>(AQ14+U14)/2</f>
        <v>0</v>
      </c>
      <c r="AS14" s="117">
        <f>IF(AT14="",0,10)</f>
        <v>0</v>
      </c>
      <c r="AT14" s="39" t="str">
        <f t="shared" si="12"/>
        <v/>
      </c>
      <c r="AU14" s="185"/>
      <c r="AV14" s="195"/>
      <c r="AX14" s="20" t="s">
        <v>31</v>
      </c>
      <c r="AY14" s="130" t="b">
        <f t="shared" si="16"/>
        <v>0</v>
      </c>
      <c r="AZ14" s="130" t="b">
        <f t="shared" si="17"/>
        <v>0</v>
      </c>
      <c r="BA14" s="130" t="b">
        <f t="shared" si="8"/>
        <v>0</v>
      </c>
      <c r="BB14" s="130" t="b">
        <f t="shared" si="13"/>
        <v>0</v>
      </c>
      <c r="BD14" s="20" t="s">
        <v>31</v>
      </c>
      <c r="BE14" s="3"/>
    </row>
    <row r="15" spans="2:57" ht="4.5" customHeight="1" x14ac:dyDescent="0.3">
      <c r="C15" s="116"/>
      <c r="E15" s="21"/>
      <c r="F15" s="38"/>
      <c r="G15" s="38"/>
      <c r="H15" s="21"/>
      <c r="I15" s="38"/>
      <c r="J15" s="38"/>
      <c r="K15" s="21"/>
      <c r="L15" s="38"/>
      <c r="M15" s="8"/>
      <c r="N15" s="37"/>
      <c r="O15" s="38"/>
      <c r="P15" s="38"/>
      <c r="Q15" s="37"/>
      <c r="R15" s="38"/>
      <c r="S15" s="38"/>
      <c r="T15" s="117">
        <f t="shared" si="9"/>
        <v>0</v>
      </c>
      <c r="U15" s="117">
        <f t="shared" si="10"/>
        <v>0</v>
      </c>
      <c r="V15" s="14"/>
      <c r="W15" s="128"/>
      <c r="X15" s="128"/>
      <c r="Y15" s="128"/>
      <c r="Z15" s="128"/>
      <c r="AA15" s="128"/>
      <c r="AB15" s="10"/>
      <c r="AC15" s="9"/>
      <c r="AD15" s="128"/>
      <c r="AE15" s="128"/>
      <c r="AF15" s="128"/>
      <c r="AG15" s="152"/>
      <c r="AH15" s="128"/>
      <c r="AI15" s="36"/>
      <c r="AJ15" s="9"/>
      <c r="AK15" s="128"/>
      <c r="AL15" s="128"/>
      <c r="AM15" s="128"/>
      <c r="AN15" s="128"/>
      <c r="AO15" s="131"/>
      <c r="AP15" s="36"/>
      <c r="AQ15" s="117">
        <f t="shared" si="11"/>
        <v>0</v>
      </c>
      <c r="AR15" s="117"/>
      <c r="AS15" s="117"/>
      <c r="AT15" s="39" t="str">
        <f t="shared" si="12"/>
        <v/>
      </c>
      <c r="AU15" s="185"/>
      <c r="AV15" s="195"/>
      <c r="AY15" s="130"/>
      <c r="AZ15" s="130"/>
      <c r="BA15" s="130" t="b">
        <f t="shared" si="8"/>
        <v>0</v>
      </c>
      <c r="BB15" s="130" t="b">
        <f t="shared" si="13"/>
        <v>0</v>
      </c>
    </row>
    <row r="16" spans="2:57" ht="22.5" customHeight="1" x14ac:dyDescent="0.3">
      <c r="B16" s="41" t="s">
        <v>38</v>
      </c>
      <c r="C16" s="51"/>
      <c r="E16" s="37"/>
      <c r="F16" s="38">
        <f t="shared" si="0"/>
        <v>0</v>
      </c>
      <c r="G16" s="38">
        <f t="shared" si="1"/>
        <v>0</v>
      </c>
      <c r="H16" s="37"/>
      <c r="I16" s="38">
        <f t="shared" si="2"/>
        <v>0</v>
      </c>
      <c r="J16" s="38">
        <f t="shared" si="3"/>
        <v>0</v>
      </c>
      <c r="K16" s="37"/>
      <c r="L16" s="38">
        <f t="shared" si="18"/>
        <v>0</v>
      </c>
      <c r="M16" s="8">
        <f t="shared" si="19"/>
        <v>0</v>
      </c>
      <c r="N16" s="37"/>
      <c r="O16" s="38">
        <f t="shared" si="4"/>
        <v>0</v>
      </c>
      <c r="P16" s="38">
        <f t="shared" si="5"/>
        <v>0</v>
      </c>
      <c r="Q16" s="37"/>
      <c r="R16" s="38">
        <f t="shared" si="6"/>
        <v>0</v>
      </c>
      <c r="S16" s="38">
        <f t="shared" si="7"/>
        <v>0</v>
      </c>
      <c r="T16" s="117">
        <f t="shared" si="9"/>
        <v>0</v>
      </c>
      <c r="U16" s="117">
        <f t="shared" si="10"/>
        <v>0</v>
      </c>
      <c r="V16" s="14"/>
      <c r="W16" s="128"/>
      <c r="X16" s="128"/>
      <c r="Y16" s="128"/>
      <c r="Z16" s="128"/>
      <c r="AA16" s="128"/>
      <c r="AB16" s="36">
        <f>IF(W16="X",5)+IF(X16="X",4)+IF(Y16="X",3)+IF(Z16="X",2)+IF(AA16="X",1)</f>
        <v>0</v>
      </c>
      <c r="AC16" s="9"/>
      <c r="AD16" s="128"/>
      <c r="AE16" s="128"/>
      <c r="AF16" s="128"/>
      <c r="AG16" s="152"/>
      <c r="AH16" s="128"/>
      <c r="AI16" s="36">
        <f t="shared" si="14"/>
        <v>0</v>
      </c>
      <c r="AJ16" s="9"/>
      <c r="AK16" s="128"/>
      <c r="AL16" s="128"/>
      <c r="AM16" s="128"/>
      <c r="AN16" s="128"/>
      <c r="AO16" s="131"/>
      <c r="AP16" s="36">
        <f t="shared" si="15"/>
        <v>0</v>
      </c>
      <c r="AQ16" s="117">
        <f t="shared" si="11"/>
        <v>0</v>
      </c>
      <c r="AR16" s="117">
        <f>(AQ16+U16)/2</f>
        <v>0</v>
      </c>
      <c r="AS16" s="117">
        <f>IF(AT16="",0,10)</f>
        <v>0</v>
      </c>
      <c r="AT16" s="39" t="str">
        <f t="shared" si="12"/>
        <v/>
      </c>
      <c r="AU16" s="185"/>
      <c r="AV16" s="195"/>
      <c r="AY16" s="130" t="b">
        <f t="shared" si="16"/>
        <v>0</v>
      </c>
      <c r="AZ16" s="130" t="b">
        <f t="shared" si="17"/>
        <v>0</v>
      </c>
      <c r="BA16" s="130" t="b">
        <f t="shared" si="8"/>
        <v>0</v>
      </c>
      <c r="BB16" s="130" t="b">
        <f t="shared" si="13"/>
        <v>0</v>
      </c>
      <c r="BE16" s="3"/>
    </row>
    <row r="17" spans="2:57" ht="5.25" customHeight="1" x14ac:dyDescent="0.3">
      <c r="C17" s="116"/>
      <c r="E17" s="21"/>
      <c r="F17" s="38"/>
      <c r="G17" s="38"/>
      <c r="H17" s="21"/>
      <c r="I17" s="38"/>
      <c r="J17" s="38"/>
      <c r="K17" s="21"/>
      <c r="L17" s="38"/>
      <c r="M17" s="8"/>
      <c r="N17" s="37"/>
      <c r="O17" s="38"/>
      <c r="P17" s="38"/>
      <c r="Q17" s="37"/>
      <c r="R17" s="38"/>
      <c r="S17" s="38"/>
      <c r="T17" s="117">
        <f t="shared" si="9"/>
        <v>0</v>
      </c>
      <c r="U17" s="117">
        <f t="shared" si="10"/>
        <v>0</v>
      </c>
      <c r="V17" s="14"/>
      <c r="W17" s="128"/>
      <c r="X17" s="128"/>
      <c r="Y17" s="128"/>
      <c r="Z17" s="128"/>
      <c r="AA17" s="128"/>
      <c r="AB17" s="10"/>
      <c r="AC17" s="9"/>
      <c r="AD17" s="128"/>
      <c r="AE17" s="128"/>
      <c r="AF17" s="128"/>
      <c r="AG17" s="152"/>
      <c r="AH17" s="128"/>
      <c r="AI17" s="36"/>
      <c r="AJ17" s="9"/>
      <c r="AK17" s="128"/>
      <c r="AL17" s="128"/>
      <c r="AM17" s="128"/>
      <c r="AN17" s="128"/>
      <c r="AO17" s="131"/>
      <c r="AP17" s="36"/>
      <c r="AQ17" s="117">
        <f t="shared" si="11"/>
        <v>0</v>
      </c>
      <c r="AR17" s="117"/>
      <c r="AS17" s="117"/>
      <c r="AT17" s="39" t="str">
        <f t="shared" si="12"/>
        <v/>
      </c>
      <c r="AU17" s="185"/>
      <c r="AV17" s="195"/>
      <c r="AY17" s="130"/>
      <c r="AZ17" s="130"/>
      <c r="BA17" s="130" t="b">
        <f t="shared" si="8"/>
        <v>0</v>
      </c>
      <c r="BB17" s="130" t="b">
        <f t="shared" si="13"/>
        <v>0</v>
      </c>
    </row>
    <row r="18" spans="2:57" x14ac:dyDescent="0.3">
      <c r="B18" s="41" t="s">
        <v>39</v>
      </c>
      <c r="C18" s="51"/>
      <c r="E18" s="37"/>
      <c r="F18" s="38">
        <f t="shared" si="0"/>
        <v>0</v>
      </c>
      <c r="G18" s="38">
        <f t="shared" si="1"/>
        <v>0</v>
      </c>
      <c r="H18" s="37"/>
      <c r="I18" s="38">
        <f t="shared" si="2"/>
        <v>0</v>
      </c>
      <c r="J18" s="38">
        <f t="shared" si="3"/>
        <v>0</v>
      </c>
      <c r="K18" s="37"/>
      <c r="L18" s="38">
        <f t="shared" si="18"/>
        <v>0</v>
      </c>
      <c r="M18" s="8">
        <f t="shared" si="19"/>
        <v>0</v>
      </c>
      <c r="N18" s="37"/>
      <c r="O18" s="38">
        <f t="shared" si="4"/>
        <v>0</v>
      </c>
      <c r="P18" s="38">
        <f t="shared" si="5"/>
        <v>0</v>
      </c>
      <c r="Q18" s="37"/>
      <c r="R18" s="38">
        <f t="shared" si="6"/>
        <v>0</v>
      </c>
      <c r="S18" s="38">
        <f>IF(R18&gt;0,1,0)</f>
        <v>0</v>
      </c>
      <c r="T18" s="117">
        <f t="shared" si="9"/>
        <v>0</v>
      </c>
      <c r="U18" s="117">
        <f t="shared" si="10"/>
        <v>0</v>
      </c>
      <c r="V18" s="14"/>
      <c r="W18" s="128"/>
      <c r="X18" s="128"/>
      <c r="Y18" s="128"/>
      <c r="Z18" s="128"/>
      <c r="AA18" s="128"/>
      <c r="AB18" s="36">
        <f>IF(W18="X",5)+IF(X18="X",4)+IF(Y18="X",3)+IF(Z18="X",2)+IF(AA18="X",1)</f>
        <v>0</v>
      </c>
      <c r="AC18" s="9"/>
      <c r="AD18" s="128"/>
      <c r="AE18" s="128"/>
      <c r="AF18" s="128"/>
      <c r="AG18" s="152"/>
      <c r="AH18" s="128"/>
      <c r="AI18" s="36">
        <f t="shared" si="14"/>
        <v>0</v>
      </c>
      <c r="AJ18" s="9"/>
      <c r="AK18" s="128"/>
      <c r="AL18" s="128"/>
      <c r="AM18" s="128"/>
      <c r="AN18" s="128"/>
      <c r="AO18" s="173"/>
      <c r="AP18" s="36">
        <f t="shared" si="15"/>
        <v>0</v>
      </c>
      <c r="AQ18" s="117">
        <f t="shared" si="11"/>
        <v>0</v>
      </c>
      <c r="AR18" s="117">
        <f>(AQ18+U18)/2</f>
        <v>0</v>
      </c>
      <c r="AS18" s="117">
        <f>IF(AT18="",0,10)</f>
        <v>0</v>
      </c>
      <c r="AT18" s="39" t="str">
        <f t="shared" si="12"/>
        <v/>
      </c>
      <c r="AU18" s="185"/>
      <c r="AV18" s="195"/>
      <c r="AX18" s="3" t="s">
        <v>24</v>
      </c>
      <c r="AY18" s="130" t="b">
        <f t="shared" si="16"/>
        <v>0</v>
      </c>
      <c r="AZ18" s="130" t="b">
        <f t="shared" si="17"/>
        <v>0</v>
      </c>
      <c r="BA18" s="130" t="b">
        <f>OR(AND(U18&gt;0,U18&lt;=2,AQ18&gt;0,AQ18&gt;12,AQ18&lt;=17),AND(U18&gt;0,U18&gt;2,U18&lt;=3,AQ18&gt;0,AQ18&gt;10,AQ18&lt;=13),AND(U18&gt;0,U18&gt;3,U18&lt;=5,AQ18&gt;0,AQ18&lt;=10),AND(U18&gt;0,U18&gt;5,U18&lt;=6,AQ18&gt;0,AQ18&lt;=7))</f>
        <v>0</v>
      </c>
      <c r="BB18" s="130" t="b">
        <f t="shared" si="13"/>
        <v>0</v>
      </c>
      <c r="BD18" s="3" t="s">
        <v>24</v>
      </c>
      <c r="BE18" s="3"/>
    </row>
    <row r="19" spans="2:57" ht="4.5" customHeight="1" x14ac:dyDescent="0.3">
      <c r="C19" s="116"/>
      <c r="E19" s="21"/>
      <c r="F19" s="38"/>
      <c r="G19" s="38"/>
      <c r="H19" s="21"/>
      <c r="I19" s="38"/>
      <c r="J19" s="38"/>
      <c r="K19" s="21"/>
      <c r="L19" s="38"/>
      <c r="M19" s="8"/>
      <c r="N19" s="37"/>
      <c r="O19" s="38"/>
      <c r="P19" s="38"/>
      <c r="Q19" s="37"/>
      <c r="R19" s="38"/>
      <c r="S19" s="10"/>
      <c r="T19" s="117"/>
      <c r="U19" s="117"/>
      <c r="V19" s="14"/>
      <c r="W19" s="128"/>
      <c r="X19" s="128"/>
      <c r="Y19" s="128"/>
      <c r="Z19" s="128"/>
      <c r="AA19" s="128"/>
      <c r="AB19" s="10"/>
      <c r="AC19" s="9"/>
      <c r="AD19" s="128"/>
      <c r="AE19" s="128"/>
      <c r="AF19" s="128"/>
      <c r="AG19" s="152"/>
      <c r="AH19" s="128"/>
      <c r="AI19" s="36"/>
      <c r="AJ19" s="9"/>
      <c r="AK19" s="128"/>
      <c r="AL19" s="128"/>
      <c r="AM19" s="128"/>
      <c r="AN19" s="128"/>
      <c r="AO19" s="131"/>
      <c r="AP19" s="36"/>
      <c r="AQ19" s="117"/>
      <c r="AR19" s="117"/>
      <c r="AS19" s="117"/>
      <c r="AT19" s="39"/>
      <c r="AU19" s="185"/>
      <c r="AV19" s="195"/>
      <c r="AY19" s="130"/>
      <c r="AZ19" s="130"/>
      <c r="BA19" s="130" t="b">
        <f t="shared" si="8"/>
        <v>0</v>
      </c>
      <c r="BB19" s="130" t="b">
        <f t="shared" si="13"/>
        <v>0</v>
      </c>
    </row>
    <row r="20" spans="2:57" ht="14.25" customHeight="1" x14ac:dyDescent="0.3">
      <c r="B20" s="41" t="s">
        <v>40</v>
      </c>
      <c r="C20" s="51"/>
      <c r="E20" s="37"/>
      <c r="F20" s="38">
        <f t="shared" si="0"/>
        <v>0</v>
      </c>
      <c r="G20" s="38">
        <f t="shared" si="1"/>
        <v>0</v>
      </c>
      <c r="H20" s="37"/>
      <c r="I20" s="38">
        <f t="shared" si="2"/>
        <v>0</v>
      </c>
      <c r="J20" s="38">
        <f t="shared" si="3"/>
        <v>0</v>
      </c>
      <c r="K20" s="37"/>
      <c r="L20" s="38">
        <f t="shared" si="18"/>
        <v>0</v>
      </c>
      <c r="M20" s="8">
        <f t="shared" si="19"/>
        <v>0</v>
      </c>
      <c r="N20" s="37"/>
      <c r="O20" s="38">
        <f t="shared" si="4"/>
        <v>0</v>
      </c>
      <c r="P20" s="38">
        <f t="shared" si="5"/>
        <v>0</v>
      </c>
      <c r="Q20" s="37"/>
      <c r="R20" s="38">
        <f t="shared" si="6"/>
        <v>0</v>
      </c>
      <c r="S20" s="38">
        <f>IF(R20&gt;0,1,0)</f>
        <v>0</v>
      </c>
      <c r="T20" s="117">
        <f t="shared" si="9"/>
        <v>0</v>
      </c>
      <c r="U20" s="117">
        <f t="shared" si="10"/>
        <v>0</v>
      </c>
      <c r="V20" s="14"/>
      <c r="W20" s="128"/>
      <c r="X20" s="128"/>
      <c r="Y20" s="128"/>
      <c r="Z20" s="128"/>
      <c r="AA20" s="128"/>
      <c r="AB20" s="36">
        <f>IF(W20="X",5)+IF(X20="X",4)+IF(Y20="X",3)+IF(Z20="X",2)+IF(AA20="X",1)</f>
        <v>0</v>
      </c>
      <c r="AC20" s="9"/>
      <c r="AD20" s="128"/>
      <c r="AE20" s="128"/>
      <c r="AF20" s="128"/>
      <c r="AG20" s="152"/>
      <c r="AH20" s="128"/>
      <c r="AI20" s="36">
        <f t="shared" si="14"/>
        <v>0</v>
      </c>
      <c r="AJ20" s="9"/>
      <c r="AK20" s="128"/>
      <c r="AL20" s="128"/>
      <c r="AM20" s="128"/>
      <c r="AN20" s="128"/>
      <c r="AO20" s="131"/>
      <c r="AP20" s="36">
        <f t="shared" si="15"/>
        <v>0</v>
      </c>
      <c r="AQ20" s="117">
        <f t="shared" si="11"/>
        <v>0</v>
      </c>
      <c r="AR20" s="117">
        <f>(AQ20+U20)/2</f>
        <v>0</v>
      </c>
      <c r="AS20" s="117">
        <f>IF(AT20="",0,10)</f>
        <v>0</v>
      </c>
      <c r="AT20" s="39" t="str">
        <f t="shared" si="12"/>
        <v/>
      </c>
      <c r="AU20" s="185"/>
      <c r="AV20" s="195"/>
      <c r="AY20" s="130" t="b">
        <f t="shared" si="16"/>
        <v>0</v>
      </c>
      <c r="AZ20" s="130" t="b">
        <f t="shared" si="17"/>
        <v>0</v>
      </c>
      <c r="BA20" s="130" t="b">
        <f t="shared" si="8"/>
        <v>0</v>
      </c>
      <c r="BB20" s="130" t="b">
        <f t="shared" si="13"/>
        <v>0</v>
      </c>
      <c r="BE20" s="3"/>
    </row>
    <row r="21" spans="2:57" ht="6" customHeight="1" x14ac:dyDescent="0.3">
      <c r="C21" s="129"/>
      <c r="E21" s="21"/>
      <c r="F21" s="38"/>
      <c r="G21" s="38"/>
      <c r="H21" s="21"/>
      <c r="I21" s="38"/>
      <c r="J21" s="38"/>
      <c r="K21" s="21"/>
      <c r="L21" s="38"/>
      <c r="M21" s="8"/>
      <c r="N21" s="37"/>
      <c r="O21" s="38"/>
      <c r="P21" s="38"/>
      <c r="Q21" s="37"/>
      <c r="R21" s="38"/>
      <c r="S21" s="10"/>
      <c r="T21" s="117"/>
      <c r="U21" s="117"/>
      <c r="V21" s="14"/>
      <c r="W21" s="128"/>
      <c r="X21" s="128"/>
      <c r="Y21" s="128"/>
      <c r="Z21" s="128"/>
      <c r="AA21" s="128"/>
      <c r="AB21" s="10"/>
      <c r="AC21" s="9"/>
      <c r="AD21" s="128"/>
      <c r="AE21" s="128"/>
      <c r="AF21" s="128"/>
      <c r="AG21" s="152"/>
      <c r="AH21" s="128"/>
      <c r="AI21" s="36"/>
      <c r="AJ21" s="9"/>
      <c r="AK21" s="128"/>
      <c r="AL21" s="128"/>
      <c r="AM21" s="128"/>
      <c r="AN21" s="128"/>
      <c r="AO21" s="131"/>
      <c r="AP21" s="36"/>
      <c r="AQ21" s="117"/>
      <c r="AR21" s="117"/>
      <c r="AS21" s="117"/>
      <c r="AT21" s="39"/>
      <c r="AU21" s="185"/>
      <c r="AV21" s="195"/>
      <c r="AY21" s="130"/>
      <c r="AZ21" s="130"/>
      <c r="BA21" s="130" t="b">
        <f t="shared" si="8"/>
        <v>0</v>
      </c>
      <c r="BB21" s="130" t="b">
        <f t="shared" si="13"/>
        <v>0</v>
      </c>
    </row>
    <row r="22" spans="2:57" x14ac:dyDescent="0.3">
      <c r="B22" s="41" t="s">
        <v>41</v>
      </c>
      <c r="C22" s="51"/>
      <c r="E22" s="37"/>
      <c r="F22" s="38">
        <f t="shared" si="0"/>
        <v>0</v>
      </c>
      <c r="G22" s="38">
        <f t="shared" si="1"/>
        <v>0</v>
      </c>
      <c r="H22" s="37"/>
      <c r="I22" s="38">
        <f t="shared" si="2"/>
        <v>0</v>
      </c>
      <c r="J22" s="38">
        <f t="shared" si="3"/>
        <v>0</v>
      </c>
      <c r="K22" s="37"/>
      <c r="L22" s="38">
        <f t="shared" si="18"/>
        <v>0</v>
      </c>
      <c r="M22" s="8">
        <f t="shared" si="19"/>
        <v>0</v>
      </c>
      <c r="N22" s="37"/>
      <c r="O22" s="38">
        <f t="shared" si="4"/>
        <v>0</v>
      </c>
      <c r="P22" s="38">
        <f t="shared" si="5"/>
        <v>0</v>
      </c>
      <c r="Q22" s="37"/>
      <c r="R22" s="38">
        <f t="shared" si="6"/>
        <v>0</v>
      </c>
      <c r="S22" s="38">
        <f>IF(R22&gt;0,1,0)</f>
        <v>0</v>
      </c>
      <c r="T22" s="117">
        <f t="shared" si="9"/>
        <v>0</v>
      </c>
      <c r="U22" s="117">
        <f t="shared" si="10"/>
        <v>0</v>
      </c>
      <c r="V22" s="14"/>
      <c r="W22" s="128"/>
      <c r="X22" s="128"/>
      <c r="Y22" s="128"/>
      <c r="Z22" s="128"/>
      <c r="AA22" s="128"/>
      <c r="AB22" s="36">
        <f>IF(W22="X",5)+IF(X22="X",4)+IF(Y22="X",3)+IF(Z22="X",2)+IF(AA22="X",1)</f>
        <v>0</v>
      </c>
      <c r="AC22" s="9"/>
      <c r="AD22" s="128"/>
      <c r="AE22" s="128"/>
      <c r="AF22" s="128"/>
      <c r="AG22" s="152"/>
      <c r="AH22" s="128"/>
      <c r="AI22" s="36">
        <f t="shared" si="14"/>
        <v>0</v>
      </c>
      <c r="AJ22" s="9"/>
      <c r="AK22" s="128"/>
      <c r="AL22" s="128"/>
      <c r="AM22" s="128"/>
      <c r="AN22" s="128"/>
      <c r="AO22" s="131"/>
      <c r="AP22" s="36">
        <f t="shared" si="15"/>
        <v>0</v>
      </c>
      <c r="AQ22" s="117">
        <f t="shared" si="11"/>
        <v>0</v>
      </c>
      <c r="AR22" s="117">
        <f>(AQ22+U22)/2</f>
        <v>0</v>
      </c>
      <c r="AS22" s="117">
        <f>IF(AT22="",0,10)</f>
        <v>0</v>
      </c>
      <c r="AT22" s="39" t="str">
        <f t="shared" si="12"/>
        <v/>
      </c>
      <c r="AU22" s="185"/>
      <c r="AV22" s="195"/>
      <c r="AY22" s="130" t="b">
        <f t="shared" si="16"/>
        <v>0</v>
      </c>
      <c r="AZ22" s="130" t="b">
        <f t="shared" si="17"/>
        <v>0</v>
      </c>
      <c r="BA22" s="130" t="b">
        <f t="shared" si="8"/>
        <v>0</v>
      </c>
      <c r="BB22" s="130" t="b">
        <f t="shared" si="13"/>
        <v>0</v>
      </c>
    </row>
    <row r="23" spans="2:57" ht="6" customHeight="1" x14ac:dyDescent="0.3">
      <c r="C23" s="129"/>
      <c r="E23" s="21"/>
      <c r="F23" s="38"/>
      <c r="G23" s="38"/>
      <c r="H23" s="21"/>
      <c r="I23" s="38"/>
      <c r="J23" s="38"/>
      <c r="K23" s="21"/>
      <c r="L23" s="38"/>
      <c r="M23" s="8"/>
      <c r="N23" s="37"/>
      <c r="O23" s="38"/>
      <c r="P23" s="38"/>
      <c r="Q23" s="37"/>
      <c r="R23" s="38"/>
      <c r="S23" s="10"/>
      <c r="T23" s="117"/>
      <c r="U23" s="117"/>
      <c r="V23" s="14"/>
      <c r="W23" s="128"/>
      <c r="X23" s="128"/>
      <c r="Y23" s="128"/>
      <c r="Z23" s="128"/>
      <c r="AA23" s="128"/>
      <c r="AB23" s="10"/>
      <c r="AC23" s="9"/>
      <c r="AD23" s="128"/>
      <c r="AE23" s="128"/>
      <c r="AF23" s="128"/>
      <c r="AG23" s="152"/>
      <c r="AH23" s="128"/>
      <c r="AI23" s="36"/>
      <c r="AJ23" s="9"/>
      <c r="AK23" s="128"/>
      <c r="AL23" s="128"/>
      <c r="AM23" s="128"/>
      <c r="AN23" s="128"/>
      <c r="AO23" s="131"/>
      <c r="AP23" s="36"/>
      <c r="AQ23" s="117"/>
      <c r="AR23" s="117"/>
      <c r="AS23" s="117"/>
      <c r="AT23" s="39"/>
      <c r="AU23" s="185"/>
      <c r="AV23" s="195"/>
      <c r="AY23" s="130"/>
      <c r="AZ23" s="130"/>
      <c r="BA23" s="130" t="b">
        <f t="shared" si="8"/>
        <v>0</v>
      </c>
      <c r="BB23" s="130" t="b">
        <f t="shared" si="13"/>
        <v>0</v>
      </c>
    </row>
    <row r="24" spans="2:57" ht="13.5" customHeight="1" x14ac:dyDescent="0.3">
      <c r="B24" s="41" t="s">
        <v>42</v>
      </c>
      <c r="C24" s="51"/>
      <c r="E24" s="37"/>
      <c r="F24" s="38">
        <f t="shared" si="0"/>
        <v>0</v>
      </c>
      <c r="G24" s="38">
        <f t="shared" si="1"/>
        <v>0</v>
      </c>
      <c r="H24" s="37"/>
      <c r="I24" s="38">
        <f t="shared" si="2"/>
        <v>0</v>
      </c>
      <c r="J24" s="38">
        <f t="shared" si="3"/>
        <v>0</v>
      </c>
      <c r="K24" s="37"/>
      <c r="L24" s="38">
        <f t="shared" si="18"/>
        <v>0</v>
      </c>
      <c r="M24" s="8">
        <f t="shared" si="19"/>
        <v>0</v>
      </c>
      <c r="N24" s="37"/>
      <c r="O24" s="38">
        <f t="shared" si="4"/>
        <v>0</v>
      </c>
      <c r="P24" s="38">
        <f t="shared" si="5"/>
        <v>0</v>
      </c>
      <c r="Q24" s="37"/>
      <c r="R24" s="38">
        <f t="shared" si="6"/>
        <v>0</v>
      </c>
      <c r="S24" s="38">
        <f>IF(R24&gt;0,1,0)</f>
        <v>0</v>
      </c>
      <c r="T24" s="117">
        <f t="shared" si="9"/>
        <v>0</v>
      </c>
      <c r="U24" s="117">
        <f t="shared" si="10"/>
        <v>0</v>
      </c>
      <c r="V24" s="14"/>
      <c r="W24" s="128"/>
      <c r="X24" s="128"/>
      <c r="Y24" s="128"/>
      <c r="Z24" s="128"/>
      <c r="AA24" s="128"/>
      <c r="AB24" s="36">
        <f>IF(W24="X",5)+IF(X24="X",4)+IF(Y24="X",3)+IF(Z24="X",2)+IF(AA24="X",1)</f>
        <v>0</v>
      </c>
      <c r="AC24" s="9"/>
      <c r="AD24" s="128"/>
      <c r="AE24" s="128"/>
      <c r="AF24" s="128"/>
      <c r="AG24" s="152"/>
      <c r="AH24" s="128"/>
      <c r="AI24" s="36">
        <f t="shared" si="14"/>
        <v>0</v>
      </c>
      <c r="AJ24" s="9"/>
      <c r="AK24" s="128"/>
      <c r="AL24" s="128"/>
      <c r="AM24" s="128"/>
      <c r="AN24" s="128"/>
      <c r="AO24" s="131"/>
      <c r="AP24" s="36">
        <f t="shared" si="15"/>
        <v>0</v>
      </c>
      <c r="AQ24" s="117">
        <f t="shared" si="11"/>
        <v>0</v>
      </c>
      <c r="AR24" s="117">
        <f>(AQ24+U24)/2</f>
        <v>0</v>
      </c>
      <c r="AS24" s="117">
        <f>IF(AT24="",0,10)</f>
        <v>0</v>
      </c>
      <c r="AT24" s="39" t="str">
        <f t="shared" si="12"/>
        <v/>
      </c>
      <c r="AU24" s="185"/>
      <c r="AV24" s="195"/>
      <c r="AY24" s="130" t="b">
        <f t="shared" si="16"/>
        <v>0</v>
      </c>
      <c r="AZ24" s="130" t="b">
        <f t="shared" si="17"/>
        <v>0</v>
      </c>
      <c r="BA24" s="130" t="b">
        <f t="shared" si="8"/>
        <v>0</v>
      </c>
      <c r="BB24" s="130" t="b">
        <f t="shared" si="13"/>
        <v>0</v>
      </c>
    </row>
    <row r="25" spans="2:57" ht="3.75" customHeight="1" x14ac:dyDescent="0.3">
      <c r="C25" s="129"/>
      <c r="E25" s="21"/>
      <c r="F25" s="38"/>
      <c r="G25" s="38"/>
      <c r="H25" s="21"/>
      <c r="I25" s="38"/>
      <c r="J25" s="38"/>
      <c r="K25" s="21"/>
      <c r="L25" s="38"/>
      <c r="M25" s="8"/>
      <c r="N25" s="37"/>
      <c r="O25" s="38"/>
      <c r="P25" s="38"/>
      <c r="Q25" s="37"/>
      <c r="R25" s="38"/>
      <c r="S25" s="10"/>
      <c r="T25" s="117"/>
      <c r="U25" s="117"/>
      <c r="V25" s="14"/>
      <c r="W25" s="128"/>
      <c r="X25" s="128"/>
      <c r="Y25" s="128"/>
      <c r="Z25" s="128"/>
      <c r="AA25" s="128"/>
      <c r="AB25" s="10"/>
      <c r="AC25" s="9"/>
      <c r="AD25" s="128"/>
      <c r="AE25" s="128"/>
      <c r="AF25" s="128"/>
      <c r="AG25" s="152"/>
      <c r="AH25" s="128"/>
      <c r="AI25" s="36"/>
      <c r="AJ25" s="9"/>
      <c r="AK25" s="128"/>
      <c r="AL25" s="128"/>
      <c r="AM25" s="128"/>
      <c r="AN25" s="128"/>
      <c r="AO25" s="131"/>
      <c r="AP25" s="36"/>
      <c r="AQ25" s="117"/>
      <c r="AR25" s="117"/>
      <c r="AS25" s="117"/>
      <c r="AT25" s="39"/>
      <c r="AU25" s="185"/>
      <c r="AV25" s="195"/>
      <c r="AY25" s="130"/>
      <c r="AZ25" s="130"/>
      <c r="BA25" s="130" t="b">
        <f t="shared" si="8"/>
        <v>0</v>
      </c>
      <c r="BB25" s="130" t="b">
        <f t="shared" si="13"/>
        <v>0</v>
      </c>
    </row>
    <row r="26" spans="2:57" x14ac:dyDescent="0.3">
      <c r="B26" s="41" t="s">
        <v>43</v>
      </c>
      <c r="C26" s="51"/>
      <c r="E26" s="37"/>
      <c r="F26" s="38">
        <f t="shared" si="0"/>
        <v>0</v>
      </c>
      <c r="G26" s="38">
        <f t="shared" si="1"/>
        <v>0</v>
      </c>
      <c r="H26" s="37"/>
      <c r="I26" s="38">
        <f t="shared" si="2"/>
        <v>0</v>
      </c>
      <c r="J26" s="38">
        <f t="shared" si="3"/>
        <v>0</v>
      </c>
      <c r="K26" s="37"/>
      <c r="L26" s="38">
        <f t="shared" si="18"/>
        <v>0</v>
      </c>
      <c r="M26" s="8">
        <f t="shared" si="19"/>
        <v>0</v>
      </c>
      <c r="N26" s="37"/>
      <c r="O26" s="38">
        <f t="shared" si="4"/>
        <v>0</v>
      </c>
      <c r="P26" s="38">
        <f t="shared" si="5"/>
        <v>0</v>
      </c>
      <c r="Q26" s="37"/>
      <c r="R26" s="38">
        <f t="shared" si="6"/>
        <v>0</v>
      </c>
      <c r="S26" s="38">
        <f>IF(R26&gt;0,1,0)</f>
        <v>0</v>
      </c>
      <c r="T26" s="117">
        <f t="shared" si="9"/>
        <v>0</v>
      </c>
      <c r="U26" s="117">
        <f t="shared" si="10"/>
        <v>0</v>
      </c>
      <c r="V26" s="14"/>
      <c r="W26" s="128"/>
      <c r="X26" s="128"/>
      <c r="Y26" s="128"/>
      <c r="Z26" s="128"/>
      <c r="AA26" s="128"/>
      <c r="AB26" s="36">
        <f>IF(W26="X",5)+IF(X26="X",4)+IF(Y26="X",3)+IF(Z26="X",2)+IF(AA26="X",1)</f>
        <v>0</v>
      </c>
      <c r="AC26" s="9"/>
      <c r="AD26" s="128"/>
      <c r="AE26" s="128"/>
      <c r="AF26" s="128"/>
      <c r="AG26" s="152"/>
      <c r="AH26" s="128"/>
      <c r="AI26" s="36">
        <f t="shared" si="14"/>
        <v>0</v>
      </c>
      <c r="AJ26" s="9"/>
      <c r="AK26" s="128"/>
      <c r="AL26" s="128"/>
      <c r="AM26" s="128"/>
      <c r="AN26" s="128"/>
      <c r="AO26" s="131"/>
      <c r="AP26" s="36">
        <f t="shared" si="15"/>
        <v>0</v>
      </c>
      <c r="AQ26" s="117">
        <f t="shared" si="11"/>
        <v>0</v>
      </c>
      <c r="AR26" s="117">
        <f>(AQ26+U26)/2</f>
        <v>0</v>
      </c>
      <c r="AS26" s="117">
        <f>IF(AT26="",0,10)</f>
        <v>0</v>
      </c>
      <c r="AT26" s="39" t="str">
        <f t="shared" si="12"/>
        <v/>
      </c>
      <c r="AU26" s="185"/>
      <c r="AV26" s="195"/>
      <c r="AY26" s="130" t="b">
        <f t="shared" si="16"/>
        <v>0</v>
      </c>
      <c r="AZ26" s="130" t="b">
        <f t="shared" si="17"/>
        <v>0</v>
      </c>
      <c r="BA26" s="130" t="b">
        <f t="shared" si="8"/>
        <v>0</v>
      </c>
      <c r="BB26" s="130" t="b">
        <f t="shared" si="13"/>
        <v>0</v>
      </c>
    </row>
    <row r="27" spans="2:57" ht="3" customHeight="1" x14ac:dyDescent="0.3">
      <c r="C27" s="47"/>
      <c r="E27" s="21"/>
      <c r="F27" s="38"/>
      <c r="G27" s="38"/>
      <c r="H27" s="21"/>
      <c r="I27" s="38"/>
      <c r="J27" s="38"/>
      <c r="K27" s="21"/>
      <c r="L27" s="38"/>
      <c r="M27" s="8"/>
      <c r="N27" s="37"/>
      <c r="O27" s="38"/>
      <c r="P27" s="38"/>
      <c r="Q27" s="37"/>
      <c r="R27" s="38"/>
      <c r="S27" s="10"/>
      <c r="T27" s="117"/>
      <c r="U27" s="117"/>
      <c r="V27" s="14"/>
      <c r="W27" s="128"/>
      <c r="X27" s="128"/>
      <c r="Y27" s="128"/>
      <c r="Z27" s="128"/>
      <c r="AA27" s="128"/>
      <c r="AB27" s="10"/>
      <c r="AC27" s="9"/>
      <c r="AD27" s="128"/>
      <c r="AE27" s="128"/>
      <c r="AF27" s="128"/>
      <c r="AG27" s="152"/>
      <c r="AH27" s="128"/>
      <c r="AI27" s="36"/>
      <c r="AJ27" s="9"/>
      <c r="AK27" s="128"/>
      <c r="AL27" s="128"/>
      <c r="AM27" s="128"/>
      <c r="AN27" s="128"/>
      <c r="AO27" s="131"/>
      <c r="AP27" s="36"/>
      <c r="AQ27" s="117"/>
      <c r="AR27" s="117"/>
      <c r="AS27" s="117"/>
      <c r="AT27" s="39"/>
      <c r="AU27" s="185"/>
      <c r="AV27" s="195"/>
      <c r="AY27" s="130"/>
      <c r="AZ27" s="130"/>
      <c r="BA27" s="130" t="b">
        <f t="shared" si="8"/>
        <v>0</v>
      </c>
      <c r="BB27" s="130" t="b">
        <f t="shared" si="13"/>
        <v>0</v>
      </c>
    </row>
    <row r="28" spans="2:57" x14ac:dyDescent="0.3">
      <c r="B28" s="41" t="s">
        <v>44</v>
      </c>
      <c r="C28" s="51"/>
      <c r="E28" s="37"/>
      <c r="F28" s="38">
        <f t="shared" si="0"/>
        <v>0</v>
      </c>
      <c r="G28" s="38">
        <f t="shared" si="1"/>
        <v>0</v>
      </c>
      <c r="H28" s="37"/>
      <c r="I28" s="38">
        <f t="shared" si="2"/>
        <v>0</v>
      </c>
      <c r="J28" s="38">
        <f t="shared" si="3"/>
        <v>0</v>
      </c>
      <c r="K28" s="37"/>
      <c r="L28" s="38">
        <f t="shared" si="18"/>
        <v>0</v>
      </c>
      <c r="M28" s="8">
        <f t="shared" si="19"/>
        <v>0</v>
      </c>
      <c r="N28" s="37"/>
      <c r="O28" s="38">
        <f t="shared" si="4"/>
        <v>0</v>
      </c>
      <c r="P28" s="38">
        <f t="shared" si="5"/>
        <v>0</v>
      </c>
      <c r="Q28" s="37"/>
      <c r="R28" s="38">
        <f t="shared" si="6"/>
        <v>0</v>
      </c>
      <c r="S28" s="38">
        <f>IF(R28&gt;0,1,0)</f>
        <v>0</v>
      </c>
      <c r="T28" s="117">
        <f t="shared" si="9"/>
        <v>0</v>
      </c>
      <c r="U28" s="117">
        <f t="shared" si="10"/>
        <v>0</v>
      </c>
      <c r="V28" s="14"/>
      <c r="W28" s="128"/>
      <c r="X28" s="128"/>
      <c r="Y28" s="128"/>
      <c r="Z28" s="128"/>
      <c r="AA28" s="128"/>
      <c r="AB28" s="36">
        <f>IF(W28="X",5)+IF(X28="X",4)+IF(Y28="X",3)+IF(Z28="X",2)+IF(AA28="X",1)</f>
        <v>0</v>
      </c>
      <c r="AC28" s="9"/>
      <c r="AD28" s="128"/>
      <c r="AE28" s="128"/>
      <c r="AF28" s="128"/>
      <c r="AG28" s="152"/>
      <c r="AH28" s="128"/>
      <c r="AI28" s="36">
        <f t="shared" si="14"/>
        <v>0</v>
      </c>
      <c r="AJ28" s="9"/>
      <c r="AK28" s="128"/>
      <c r="AL28" s="128"/>
      <c r="AM28" s="128"/>
      <c r="AN28" s="128"/>
      <c r="AO28" s="131"/>
      <c r="AP28" s="36">
        <f t="shared" si="15"/>
        <v>0</v>
      </c>
      <c r="AQ28" s="117">
        <f t="shared" si="11"/>
        <v>0</v>
      </c>
      <c r="AR28" s="117">
        <f>(AQ28+U28)/2</f>
        <v>0</v>
      </c>
      <c r="AS28" s="117">
        <f>IF(AT28="",0,10)</f>
        <v>0</v>
      </c>
      <c r="AT28" s="39" t="str">
        <f t="shared" si="12"/>
        <v/>
      </c>
      <c r="AU28" s="185"/>
      <c r="AV28" s="195"/>
      <c r="AY28" s="130" t="b">
        <f t="shared" si="16"/>
        <v>0</v>
      </c>
      <c r="AZ28" s="130" t="b">
        <f t="shared" si="17"/>
        <v>0</v>
      </c>
      <c r="BA28" s="130" t="b">
        <f t="shared" si="8"/>
        <v>0</v>
      </c>
      <c r="BB28" s="130" t="b">
        <f t="shared" si="13"/>
        <v>0</v>
      </c>
    </row>
    <row r="29" spans="2:57" ht="3" customHeight="1" x14ac:dyDescent="0.3">
      <c r="C29" s="170"/>
      <c r="E29" s="21"/>
      <c r="F29" s="38"/>
      <c r="G29" s="38"/>
      <c r="H29" s="21"/>
      <c r="I29" s="38"/>
      <c r="J29" s="38"/>
      <c r="K29" s="21"/>
      <c r="L29" s="38"/>
      <c r="M29" s="8"/>
      <c r="N29" s="37"/>
      <c r="O29" s="38"/>
      <c r="P29" s="38"/>
      <c r="Q29" s="37"/>
      <c r="R29" s="38"/>
      <c r="S29" s="10"/>
      <c r="T29" s="117"/>
      <c r="U29" s="117"/>
      <c r="V29" s="14"/>
      <c r="W29" s="128"/>
      <c r="X29" s="128"/>
      <c r="Y29" s="128"/>
      <c r="Z29" s="128"/>
      <c r="AA29" s="128"/>
      <c r="AB29" s="10"/>
      <c r="AC29" s="9"/>
      <c r="AD29" s="128"/>
      <c r="AE29" s="128"/>
      <c r="AF29" s="128"/>
      <c r="AG29" s="152"/>
      <c r="AH29" s="128"/>
      <c r="AI29" s="36"/>
      <c r="AJ29" s="9"/>
      <c r="AK29" s="128"/>
      <c r="AL29" s="128"/>
      <c r="AM29" s="128"/>
      <c r="AN29" s="128"/>
      <c r="AO29" s="131"/>
      <c r="AP29" s="36"/>
      <c r="AQ29" s="117"/>
      <c r="AR29" s="117"/>
      <c r="AS29" s="117"/>
      <c r="AT29" s="39"/>
      <c r="AU29" s="185"/>
      <c r="AV29" s="195"/>
      <c r="AY29" s="130"/>
      <c r="AZ29" s="130"/>
      <c r="BA29" s="130" t="b">
        <f t="shared" si="8"/>
        <v>0</v>
      </c>
      <c r="BB29" s="130" t="b">
        <f t="shared" si="13"/>
        <v>0</v>
      </c>
    </row>
    <row r="30" spans="2:57" x14ac:dyDescent="0.3">
      <c r="B30" s="41" t="s">
        <v>47</v>
      </c>
      <c r="C30" s="51"/>
      <c r="E30" s="37"/>
      <c r="F30" s="38">
        <f t="shared" si="0"/>
        <v>0</v>
      </c>
      <c r="G30" s="38">
        <f t="shared" si="1"/>
        <v>0</v>
      </c>
      <c r="H30" s="37"/>
      <c r="I30" s="38">
        <f t="shared" si="2"/>
        <v>0</v>
      </c>
      <c r="J30" s="38">
        <f t="shared" si="3"/>
        <v>0</v>
      </c>
      <c r="K30" s="37"/>
      <c r="L30" s="38">
        <f t="shared" si="18"/>
        <v>0</v>
      </c>
      <c r="M30" s="8">
        <f t="shared" si="19"/>
        <v>0</v>
      </c>
      <c r="N30" s="37"/>
      <c r="O30" s="38">
        <f t="shared" si="4"/>
        <v>0</v>
      </c>
      <c r="P30" s="38">
        <f t="shared" si="5"/>
        <v>0</v>
      </c>
      <c r="Q30" s="37"/>
      <c r="R30" s="38">
        <f t="shared" si="6"/>
        <v>0</v>
      </c>
      <c r="S30" s="38">
        <f>IF(R30&gt;0,1,0)</f>
        <v>0</v>
      </c>
      <c r="T30" s="117">
        <f t="shared" si="9"/>
        <v>0</v>
      </c>
      <c r="U30" s="117">
        <f t="shared" si="10"/>
        <v>0</v>
      </c>
      <c r="V30" s="14"/>
      <c r="W30" s="128"/>
      <c r="X30" s="128"/>
      <c r="Y30" s="128"/>
      <c r="Z30" s="128"/>
      <c r="AA30" s="128"/>
      <c r="AB30" s="36">
        <f>IF(W30="X",5)+IF(X30="X",4)+IF(Y30="X",3)+IF(Z30="X",2)+IF(AA30="X",1)</f>
        <v>0</v>
      </c>
      <c r="AC30" s="9"/>
      <c r="AD30" s="128"/>
      <c r="AE30" s="128"/>
      <c r="AF30" s="128"/>
      <c r="AG30" s="152"/>
      <c r="AH30" s="128"/>
      <c r="AI30" s="36">
        <f t="shared" si="14"/>
        <v>0</v>
      </c>
      <c r="AJ30" s="9"/>
      <c r="AK30" s="128"/>
      <c r="AL30" s="128"/>
      <c r="AM30" s="128"/>
      <c r="AN30" s="128"/>
      <c r="AO30" s="131"/>
      <c r="AP30" s="36">
        <f t="shared" si="15"/>
        <v>0</v>
      </c>
      <c r="AQ30" s="117">
        <f t="shared" si="11"/>
        <v>0</v>
      </c>
      <c r="AR30" s="117">
        <f>(AQ30+U30)/2</f>
        <v>0</v>
      </c>
      <c r="AS30" s="117">
        <f>IF(AT30="",0,10)</f>
        <v>0</v>
      </c>
      <c r="AT30" s="39" t="str">
        <f t="shared" si="12"/>
        <v/>
      </c>
      <c r="AU30" s="185"/>
      <c r="AV30" s="195"/>
      <c r="AY30" s="130" t="b">
        <f t="shared" si="16"/>
        <v>0</v>
      </c>
      <c r="AZ30" s="130" t="b">
        <f t="shared" si="17"/>
        <v>0</v>
      </c>
      <c r="BA30" s="130" t="b">
        <f t="shared" si="8"/>
        <v>0</v>
      </c>
      <c r="BB30" s="130" t="b">
        <f t="shared" si="13"/>
        <v>0</v>
      </c>
    </row>
    <row r="31" spans="2:57" ht="3" customHeight="1" x14ac:dyDescent="0.3">
      <c r="C31" s="129"/>
      <c r="E31" s="21"/>
      <c r="F31" s="38"/>
      <c r="G31" s="38"/>
      <c r="H31" s="21"/>
      <c r="I31" s="38"/>
      <c r="J31" s="38"/>
      <c r="K31" s="21"/>
      <c r="L31" s="38"/>
      <c r="M31" s="8"/>
      <c r="N31" s="37"/>
      <c r="O31" s="38"/>
      <c r="P31" s="38"/>
      <c r="Q31" s="37"/>
      <c r="R31" s="38"/>
      <c r="S31" s="10"/>
      <c r="T31" s="117"/>
      <c r="U31" s="117"/>
      <c r="V31" s="14"/>
      <c r="W31" s="128"/>
      <c r="X31" s="128"/>
      <c r="Y31" s="128"/>
      <c r="Z31" s="128"/>
      <c r="AA31" s="128"/>
      <c r="AB31" s="10"/>
      <c r="AC31" s="9"/>
      <c r="AD31" s="128"/>
      <c r="AE31" s="128"/>
      <c r="AF31" s="128"/>
      <c r="AG31" s="152"/>
      <c r="AH31" s="128"/>
      <c r="AI31" s="36"/>
      <c r="AJ31" s="9"/>
      <c r="AK31" s="128"/>
      <c r="AL31" s="128"/>
      <c r="AM31" s="128"/>
      <c r="AN31" s="128"/>
      <c r="AO31" s="131"/>
      <c r="AP31" s="36"/>
      <c r="AQ31" s="117"/>
      <c r="AR31" s="117"/>
      <c r="AS31" s="117"/>
      <c r="AT31" s="39"/>
      <c r="AU31" s="185"/>
      <c r="AV31" s="195"/>
      <c r="AY31" s="130"/>
      <c r="AZ31" s="130"/>
      <c r="BA31" s="130" t="b">
        <f t="shared" si="8"/>
        <v>0</v>
      </c>
      <c r="BB31" s="130" t="b">
        <f t="shared" si="13"/>
        <v>0</v>
      </c>
    </row>
    <row r="32" spans="2:57" x14ac:dyDescent="0.3">
      <c r="B32" s="41" t="s">
        <v>48</v>
      </c>
      <c r="C32" s="51"/>
      <c r="E32" s="37"/>
      <c r="F32" s="38">
        <f t="shared" si="0"/>
        <v>0</v>
      </c>
      <c r="G32" s="38">
        <f t="shared" si="1"/>
        <v>0</v>
      </c>
      <c r="H32" s="37"/>
      <c r="I32" s="38">
        <f t="shared" si="2"/>
        <v>0</v>
      </c>
      <c r="J32" s="38">
        <f t="shared" si="3"/>
        <v>0</v>
      </c>
      <c r="K32" s="37"/>
      <c r="L32" s="38">
        <f t="shared" si="18"/>
        <v>0</v>
      </c>
      <c r="M32" s="8">
        <f t="shared" si="19"/>
        <v>0</v>
      </c>
      <c r="N32" s="37"/>
      <c r="O32" s="38">
        <f t="shared" si="4"/>
        <v>0</v>
      </c>
      <c r="P32" s="38">
        <f t="shared" si="5"/>
        <v>0</v>
      </c>
      <c r="Q32" s="37"/>
      <c r="R32" s="38">
        <f t="shared" si="6"/>
        <v>0</v>
      </c>
      <c r="S32" s="38">
        <f>IF(R32&gt;0,1,0)</f>
        <v>0</v>
      </c>
      <c r="T32" s="117">
        <f t="shared" si="9"/>
        <v>0</v>
      </c>
      <c r="U32" s="117">
        <f t="shared" si="10"/>
        <v>0</v>
      </c>
      <c r="V32" s="14"/>
      <c r="W32" s="128"/>
      <c r="X32" s="128"/>
      <c r="Y32" s="128"/>
      <c r="Z32" s="128"/>
      <c r="AA32" s="128"/>
      <c r="AB32" s="36">
        <f>IF(W32="X",5)+IF(X32="X",4)+IF(Y32="X",3)+IF(Z32="X",2)+IF(AA32="X",1)</f>
        <v>0</v>
      </c>
      <c r="AC32" s="9"/>
      <c r="AD32" s="128"/>
      <c r="AE32" s="128"/>
      <c r="AF32" s="128"/>
      <c r="AG32" s="152"/>
      <c r="AH32" s="128"/>
      <c r="AI32" s="36">
        <f t="shared" si="14"/>
        <v>0</v>
      </c>
      <c r="AJ32" s="9"/>
      <c r="AK32" s="128"/>
      <c r="AL32" s="128"/>
      <c r="AM32" s="128"/>
      <c r="AN32" s="128"/>
      <c r="AO32" s="131"/>
      <c r="AP32" s="36">
        <f t="shared" si="15"/>
        <v>0</v>
      </c>
      <c r="AQ32" s="117">
        <f t="shared" si="11"/>
        <v>0</v>
      </c>
      <c r="AR32" s="117">
        <f>(AQ32+U32)/2</f>
        <v>0</v>
      </c>
      <c r="AS32" s="117">
        <f>IF(AT32="",0,10)</f>
        <v>0</v>
      </c>
      <c r="AT32" s="39" t="str">
        <f t="shared" si="12"/>
        <v/>
      </c>
      <c r="AU32" s="185"/>
      <c r="AV32" s="195"/>
      <c r="AY32" s="130" t="b">
        <f t="shared" si="16"/>
        <v>0</v>
      </c>
      <c r="AZ32" s="130" t="b">
        <f t="shared" si="17"/>
        <v>0</v>
      </c>
      <c r="BA32" s="130" t="b">
        <f t="shared" si="8"/>
        <v>0</v>
      </c>
      <c r="BB32" s="130" t="b">
        <f t="shared" si="13"/>
        <v>0</v>
      </c>
    </row>
    <row r="33" spans="2:54" ht="3" customHeight="1" x14ac:dyDescent="0.3">
      <c r="C33" s="47"/>
      <c r="E33" s="21"/>
      <c r="F33" s="38"/>
      <c r="G33" s="38"/>
      <c r="H33" s="21"/>
      <c r="I33" s="38"/>
      <c r="J33" s="38"/>
      <c r="K33" s="21"/>
      <c r="L33" s="38"/>
      <c r="M33" s="8"/>
      <c r="N33" s="37"/>
      <c r="O33" s="38"/>
      <c r="P33" s="38"/>
      <c r="Q33" s="37"/>
      <c r="R33" s="38"/>
      <c r="S33" s="10"/>
      <c r="T33" s="117"/>
      <c r="U33" s="117"/>
      <c r="V33" s="14"/>
      <c r="W33" s="128"/>
      <c r="X33" s="128"/>
      <c r="Y33" s="128"/>
      <c r="Z33" s="128"/>
      <c r="AA33" s="128"/>
      <c r="AB33" s="10"/>
      <c r="AC33" s="9"/>
      <c r="AD33" s="128"/>
      <c r="AE33" s="128"/>
      <c r="AF33" s="128"/>
      <c r="AG33" s="152"/>
      <c r="AH33" s="128"/>
      <c r="AI33" s="36"/>
      <c r="AJ33" s="9"/>
      <c r="AK33" s="128"/>
      <c r="AL33" s="128"/>
      <c r="AM33" s="128"/>
      <c r="AN33" s="128"/>
      <c r="AO33" s="131"/>
      <c r="AP33" s="36"/>
      <c r="AQ33" s="117"/>
      <c r="AR33" s="117"/>
      <c r="AS33" s="117"/>
      <c r="AT33" s="39"/>
      <c r="AU33" s="185"/>
      <c r="AV33" s="195"/>
      <c r="AY33" s="130"/>
      <c r="AZ33" s="130"/>
      <c r="BA33" s="130" t="b">
        <f t="shared" si="8"/>
        <v>0</v>
      </c>
      <c r="BB33" s="130" t="b">
        <f t="shared" si="13"/>
        <v>0</v>
      </c>
    </row>
    <row r="34" spans="2:54" x14ac:dyDescent="0.3">
      <c r="B34" s="41" t="s">
        <v>51</v>
      </c>
      <c r="C34" s="45"/>
      <c r="E34" s="37"/>
      <c r="F34" s="38">
        <f t="shared" si="0"/>
        <v>0</v>
      </c>
      <c r="G34" s="38">
        <f t="shared" si="1"/>
        <v>0</v>
      </c>
      <c r="H34" s="37"/>
      <c r="I34" s="38">
        <f t="shared" si="2"/>
        <v>0</v>
      </c>
      <c r="J34" s="38">
        <f t="shared" si="3"/>
        <v>0</v>
      </c>
      <c r="K34" s="37"/>
      <c r="L34" s="38">
        <f t="shared" si="18"/>
        <v>0</v>
      </c>
      <c r="M34" s="8">
        <f t="shared" si="19"/>
        <v>0</v>
      </c>
      <c r="N34" s="37"/>
      <c r="O34" s="38">
        <f t="shared" si="4"/>
        <v>0</v>
      </c>
      <c r="P34" s="38">
        <f t="shared" si="5"/>
        <v>0</v>
      </c>
      <c r="Q34" s="37"/>
      <c r="R34" s="38">
        <f t="shared" si="6"/>
        <v>0</v>
      </c>
      <c r="S34" s="38">
        <f>IF(R34&gt;0,1,0)</f>
        <v>0</v>
      </c>
      <c r="T34" s="117">
        <f t="shared" si="9"/>
        <v>0</v>
      </c>
      <c r="U34" s="117">
        <f t="shared" si="10"/>
        <v>0</v>
      </c>
      <c r="V34" s="14"/>
      <c r="W34" s="128"/>
      <c r="X34" s="128"/>
      <c r="Y34" s="128"/>
      <c r="Z34" s="128"/>
      <c r="AA34" s="128"/>
      <c r="AB34" s="36">
        <f>IF(W34="X",5)+IF(X34="X",4)+IF(Y34="X",3)+IF(Z34="X",2)+IF(AA34="X",1)</f>
        <v>0</v>
      </c>
      <c r="AC34" s="9"/>
      <c r="AD34" s="128"/>
      <c r="AE34" s="128"/>
      <c r="AF34" s="128"/>
      <c r="AG34" s="152"/>
      <c r="AH34" s="128"/>
      <c r="AI34" s="36">
        <f t="shared" si="14"/>
        <v>0</v>
      </c>
      <c r="AJ34" s="9"/>
      <c r="AK34" s="128"/>
      <c r="AL34" s="128"/>
      <c r="AM34" s="128"/>
      <c r="AN34" s="128"/>
      <c r="AO34" s="131"/>
      <c r="AP34" s="36">
        <f t="shared" si="15"/>
        <v>0</v>
      </c>
      <c r="AQ34" s="117">
        <f t="shared" si="11"/>
        <v>0</v>
      </c>
      <c r="AR34" s="117">
        <f>(AQ34+U34)/2</f>
        <v>0</v>
      </c>
      <c r="AS34" s="117">
        <f>IF(AT34="",0,10)</f>
        <v>0</v>
      </c>
      <c r="AT34" s="39" t="str">
        <f t="shared" si="12"/>
        <v/>
      </c>
      <c r="AU34" s="185"/>
      <c r="AV34" s="195"/>
      <c r="AY34" s="130" t="b">
        <f t="shared" si="16"/>
        <v>0</v>
      </c>
      <c r="AZ34" s="130" t="b">
        <f t="shared" si="17"/>
        <v>0</v>
      </c>
      <c r="BA34" s="130" t="b">
        <f t="shared" si="8"/>
        <v>0</v>
      </c>
      <c r="BB34" s="130" t="b">
        <f t="shared" si="13"/>
        <v>0</v>
      </c>
    </row>
    <row r="35" spans="2:54" ht="3" customHeight="1" x14ac:dyDescent="0.3">
      <c r="C35" s="47"/>
      <c r="E35" s="21"/>
      <c r="F35" s="38"/>
      <c r="G35" s="38"/>
      <c r="H35" s="21"/>
      <c r="I35" s="38"/>
      <c r="J35" s="38"/>
      <c r="K35" s="21"/>
      <c r="L35" s="38"/>
      <c r="M35" s="8"/>
      <c r="N35" s="37"/>
      <c r="O35" s="38"/>
      <c r="P35" s="38"/>
      <c r="Q35" s="37"/>
      <c r="R35" s="38"/>
      <c r="S35" s="10"/>
      <c r="T35" s="117"/>
      <c r="U35" s="117"/>
      <c r="V35" s="14"/>
      <c r="W35" s="128"/>
      <c r="X35" s="128"/>
      <c r="Y35" s="128"/>
      <c r="Z35" s="128"/>
      <c r="AA35" s="128"/>
      <c r="AB35" s="10"/>
      <c r="AC35" s="9"/>
      <c r="AD35" s="128"/>
      <c r="AE35" s="128"/>
      <c r="AF35" s="128"/>
      <c r="AG35" s="152"/>
      <c r="AH35" s="128"/>
      <c r="AI35" s="36"/>
      <c r="AJ35" s="9"/>
      <c r="AK35" s="128"/>
      <c r="AL35" s="128"/>
      <c r="AM35" s="128"/>
      <c r="AN35" s="128"/>
      <c r="AO35" s="131"/>
      <c r="AP35" s="36"/>
      <c r="AQ35" s="117"/>
      <c r="AR35" s="117"/>
      <c r="AS35" s="117"/>
      <c r="AT35" s="39"/>
      <c r="AU35" s="185"/>
      <c r="AV35" s="195"/>
      <c r="AY35" s="130"/>
      <c r="AZ35" s="130"/>
      <c r="BA35" s="130" t="b">
        <f t="shared" si="8"/>
        <v>0</v>
      </c>
      <c r="BB35" s="130" t="b">
        <f t="shared" si="13"/>
        <v>0</v>
      </c>
    </row>
    <row r="36" spans="2:54" x14ac:dyDescent="0.3">
      <c r="B36" s="41" t="s">
        <v>49</v>
      </c>
      <c r="C36" s="49"/>
      <c r="E36" s="37"/>
      <c r="F36" s="38">
        <f t="shared" si="0"/>
        <v>0</v>
      </c>
      <c r="G36" s="38">
        <f t="shared" si="1"/>
        <v>0</v>
      </c>
      <c r="H36" s="37"/>
      <c r="I36" s="38">
        <f t="shared" si="2"/>
        <v>0</v>
      </c>
      <c r="J36" s="38">
        <f t="shared" si="3"/>
        <v>0</v>
      </c>
      <c r="K36" s="37"/>
      <c r="L36" s="38">
        <f t="shared" si="18"/>
        <v>0</v>
      </c>
      <c r="M36" s="8">
        <f t="shared" si="19"/>
        <v>0</v>
      </c>
      <c r="N36" s="37"/>
      <c r="O36" s="38">
        <f t="shared" si="4"/>
        <v>0</v>
      </c>
      <c r="P36" s="38">
        <f t="shared" si="5"/>
        <v>0</v>
      </c>
      <c r="Q36" s="37"/>
      <c r="R36" s="38">
        <f t="shared" si="6"/>
        <v>0</v>
      </c>
      <c r="S36" s="38">
        <f>IF(R36&gt;0,1,0)</f>
        <v>0</v>
      </c>
      <c r="T36" s="117">
        <f t="shared" si="9"/>
        <v>0</v>
      </c>
      <c r="U36" s="117">
        <f t="shared" si="10"/>
        <v>0</v>
      </c>
      <c r="V36" s="14"/>
      <c r="W36" s="128"/>
      <c r="X36" s="128"/>
      <c r="Y36" s="128"/>
      <c r="Z36" s="128"/>
      <c r="AA36" s="128"/>
      <c r="AB36" s="36">
        <f>IF(W36="X",5)+IF(X36="X",4)+IF(Y36="X",3)+IF(Z36="X",2)+IF(AA36="X",1)</f>
        <v>0</v>
      </c>
      <c r="AC36" s="9"/>
      <c r="AD36" s="128"/>
      <c r="AE36" s="128"/>
      <c r="AF36" s="128"/>
      <c r="AG36" s="152"/>
      <c r="AH36" s="128"/>
      <c r="AI36" s="36">
        <f t="shared" si="14"/>
        <v>0</v>
      </c>
      <c r="AJ36" s="9"/>
      <c r="AK36" s="128"/>
      <c r="AL36" s="128"/>
      <c r="AM36" s="128"/>
      <c r="AN36" s="128"/>
      <c r="AO36" s="131"/>
      <c r="AP36" s="36">
        <f t="shared" si="15"/>
        <v>0</v>
      </c>
      <c r="AQ36" s="117">
        <f t="shared" si="11"/>
        <v>0</v>
      </c>
      <c r="AR36" s="117">
        <f>(AQ36+U36)/2</f>
        <v>0</v>
      </c>
      <c r="AS36" s="117">
        <f>IF(AT36="",0,10)</f>
        <v>0</v>
      </c>
      <c r="AT36" s="39" t="str">
        <f t="shared" si="12"/>
        <v/>
      </c>
      <c r="AU36" s="185"/>
      <c r="AV36" s="195"/>
      <c r="AY36" s="130" t="b">
        <f t="shared" si="16"/>
        <v>0</v>
      </c>
      <c r="AZ36" s="130" t="b">
        <f t="shared" si="17"/>
        <v>0</v>
      </c>
      <c r="BA36" s="130" t="b">
        <f t="shared" si="8"/>
        <v>0</v>
      </c>
      <c r="BB36" s="130" t="b">
        <f t="shared" si="13"/>
        <v>0</v>
      </c>
    </row>
    <row r="37" spans="2:54" ht="3" customHeight="1" x14ac:dyDescent="0.3">
      <c r="C37" s="48"/>
      <c r="E37" s="21"/>
      <c r="F37" s="38"/>
      <c r="G37" s="38"/>
      <c r="H37" s="21"/>
      <c r="I37" s="38"/>
      <c r="J37" s="38"/>
      <c r="K37" s="21"/>
      <c r="L37" s="38"/>
      <c r="M37" s="8"/>
      <c r="N37" s="37"/>
      <c r="O37" s="38"/>
      <c r="P37" s="38"/>
      <c r="Q37" s="37"/>
      <c r="R37" s="38"/>
      <c r="S37" s="10"/>
      <c r="T37" s="117"/>
      <c r="U37" s="117"/>
      <c r="V37" s="14"/>
      <c r="W37" s="128"/>
      <c r="X37" s="128"/>
      <c r="Y37" s="128"/>
      <c r="Z37" s="128"/>
      <c r="AA37" s="128"/>
      <c r="AB37" s="10"/>
      <c r="AC37" s="9"/>
      <c r="AD37" s="128"/>
      <c r="AE37" s="128"/>
      <c r="AF37" s="128"/>
      <c r="AG37" s="152"/>
      <c r="AH37" s="128"/>
      <c r="AI37" s="36"/>
      <c r="AJ37" s="9"/>
      <c r="AK37" s="128"/>
      <c r="AL37" s="128"/>
      <c r="AM37" s="128"/>
      <c r="AN37" s="128"/>
      <c r="AO37" s="131"/>
      <c r="AP37" s="36"/>
      <c r="AQ37" s="117"/>
      <c r="AR37" s="117"/>
      <c r="AS37" s="117"/>
      <c r="AT37" s="39"/>
      <c r="AU37" s="185"/>
      <c r="AV37" s="195"/>
      <c r="AY37" s="130"/>
      <c r="AZ37" s="130"/>
      <c r="BA37" s="130" t="b">
        <f t="shared" si="8"/>
        <v>0</v>
      </c>
      <c r="BB37" s="130" t="b">
        <f t="shared" si="13"/>
        <v>0</v>
      </c>
    </row>
    <row r="38" spans="2:54" x14ac:dyDescent="0.3">
      <c r="B38" s="41" t="s">
        <v>50</v>
      </c>
      <c r="C38" s="49"/>
      <c r="E38" s="37"/>
      <c r="F38" s="38">
        <f t="shared" si="0"/>
        <v>0</v>
      </c>
      <c r="G38" s="38">
        <f t="shared" si="1"/>
        <v>0</v>
      </c>
      <c r="H38" s="37"/>
      <c r="I38" s="38">
        <f t="shared" si="2"/>
        <v>0</v>
      </c>
      <c r="J38" s="38">
        <f t="shared" si="3"/>
        <v>0</v>
      </c>
      <c r="K38" s="37"/>
      <c r="L38" s="38">
        <f t="shared" si="18"/>
        <v>0</v>
      </c>
      <c r="M38" s="8">
        <f t="shared" si="19"/>
        <v>0</v>
      </c>
      <c r="N38" s="37"/>
      <c r="O38" s="38">
        <f t="shared" si="4"/>
        <v>0</v>
      </c>
      <c r="P38" s="38">
        <f t="shared" si="5"/>
        <v>0</v>
      </c>
      <c r="Q38" s="37"/>
      <c r="R38" s="38">
        <f t="shared" si="6"/>
        <v>0</v>
      </c>
      <c r="S38" s="38">
        <f>IF(R38&gt;0,1,0)</f>
        <v>0</v>
      </c>
      <c r="T38" s="117">
        <f t="shared" si="9"/>
        <v>0</v>
      </c>
      <c r="U38" s="117">
        <f t="shared" si="10"/>
        <v>0</v>
      </c>
      <c r="V38" s="14"/>
      <c r="W38" s="128"/>
      <c r="X38" s="128"/>
      <c r="Y38" s="128"/>
      <c r="Z38" s="128"/>
      <c r="AA38" s="128"/>
      <c r="AB38" s="36">
        <f>IF(W38="X",5)+IF(X38="X",4)+IF(Y38="X",3)+IF(Z38="X",2)+IF(AA38="X",1)</f>
        <v>0</v>
      </c>
      <c r="AC38" s="9"/>
      <c r="AD38" s="128"/>
      <c r="AE38" s="128"/>
      <c r="AF38" s="128"/>
      <c r="AG38" s="152"/>
      <c r="AH38" s="128"/>
      <c r="AI38" s="36">
        <f t="shared" si="14"/>
        <v>0</v>
      </c>
      <c r="AJ38" s="9"/>
      <c r="AK38" s="128"/>
      <c r="AL38" s="128"/>
      <c r="AM38" s="128"/>
      <c r="AN38" s="128"/>
      <c r="AO38" s="131"/>
      <c r="AP38" s="36">
        <f t="shared" si="15"/>
        <v>0</v>
      </c>
      <c r="AQ38" s="117">
        <f t="shared" si="11"/>
        <v>0</v>
      </c>
      <c r="AR38" s="117">
        <f>(AQ38+U38)/2</f>
        <v>0</v>
      </c>
      <c r="AS38" s="117">
        <f>IF(AT38="",0,10)</f>
        <v>0</v>
      </c>
      <c r="AT38" s="39" t="str">
        <f t="shared" si="12"/>
        <v/>
      </c>
      <c r="AU38" s="185"/>
      <c r="AV38" s="195"/>
      <c r="AY38" s="130" t="b">
        <f t="shared" si="16"/>
        <v>0</v>
      </c>
      <c r="AZ38" s="130" t="b">
        <f t="shared" si="17"/>
        <v>0</v>
      </c>
      <c r="BA38" s="130" t="b">
        <f t="shared" si="8"/>
        <v>0</v>
      </c>
      <c r="BB38" s="130" t="b">
        <f t="shared" si="13"/>
        <v>0</v>
      </c>
    </row>
    <row r="39" spans="2:54" ht="3.75" customHeight="1" x14ac:dyDescent="0.3">
      <c r="C39" s="48"/>
      <c r="E39" s="21"/>
      <c r="F39" s="38"/>
      <c r="G39" s="10"/>
      <c r="H39" s="21"/>
      <c r="I39" s="38"/>
      <c r="J39" s="10"/>
      <c r="K39" s="21"/>
      <c r="L39" s="38"/>
      <c r="M39" s="10"/>
      <c r="N39" s="37"/>
      <c r="O39" s="38"/>
      <c r="P39" s="38"/>
      <c r="Q39" s="37"/>
      <c r="R39" s="38"/>
      <c r="S39" s="10"/>
      <c r="T39" s="117"/>
      <c r="U39" s="117"/>
      <c r="V39" s="14"/>
      <c r="W39" s="21"/>
      <c r="X39" s="21"/>
      <c r="Y39" s="21"/>
      <c r="Z39" s="21"/>
      <c r="AA39" s="10"/>
      <c r="AB39" s="9"/>
      <c r="AC39" s="21"/>
      <c r="AD39" s="21"/>
      <c r="AE39" s="150"/>
      <c r="AF39" s="151"/>
      <c r="AG39" s="9"/>
      <c r="AH39" s="21"/>
      <c r="AI39" s="21"/>
      <c r="AJ39" s="21"/>
      <c r="AK39" s="21"/>
      <c r="AL39" s="21"/>
      <c r="AM39" s="21"/>
      <c r="AN39" s="10"/>
      <c r="AO39" s="125"/>
      <c r="AP39" s="21"/>
      <c r="AQ39" s="117"/>
      <c r="AR39" s="117"/>
      <c r="AS39" s="117"/>
      <c r="AT39" s="19"/>
      <c r="AU39" s="190"/>
      <c r="AV39" s="188"/>
      <c r="AY39" s="130"/>
      <c r="AZ39" s="130"/>
      <c r="BA39" s="130" t="b">
        <f t="shared" si="8"/>
        <v>0</v>
      </c>
      <c r="BB39" s="130" t="b">
        <f t="shared" si="13"/>
        <v>0</v>
      </c>
    </row>
  </sheetData>
  <sheetProtection formatCells="0" formatColumns="0" formatRows="0" selectLockedCells="1" pivotTables="0"/>
  <mergeCells count="31">
    <mergeCell ref="B1:C4"/>
    <mergeCell ref="E1:AV2"/>
    <mergeCell ref="E4:AV4"/>
    <mergeCell ref="B6:B8"/>
    <mergeCell ref="C6:C8"/>
    <mergeCell ref="E6:Q6"/>
    <mergeCell ref="W6:AO6"/>
    <mergeCell ref="AT6:AT8"/>
    <mergeCell ref="AV6:AV8"/>
    <mergeCell ref="N7:N8"/>
    <mergeCell ref="W7:AA7"/>
    <mergeCell ref="AD7:AH7"/>
    <mergeCell ref="AI7:AI8"/>
    <mergeCell ref="AK7:AO7"/>
    <mergeCell ref="AP7:AP8"/>
    <mergeCell ref="AY6:BB7"/>
    <mergeCell ref="E7:E8"/>
    <mergeCell ref="F7:F8"/>
    <mergeCell ref="G7:G8"/>
    <mergeCell ref="H7:H8"/>
    <mergeCell ref="I7:I8"/>
    <mergeCell ref="J7:J8"/>
    <mergeCell ref="K7:K8"/>
    <mergeCell ref="L7:L8"/>
    <mergeCell ref="M7:M8"/>
    <mergeCell ref="O7:O8"/>
    <mergeCell ref="P7:P8"/>
    <mergeCell ref="Q7:Q8"/>
    <mergeCell ref="R7:R8"/>
    <mergeCell ref="S7:S8"/>
    <mergeCell ref="AB7:AB8"/>
  </mergeCells>
  <conditionalFormatting sqref="Q10">
    <cfRule type="containsText" dxfId="145" priority="1" operator="containsText" text="Baixo">
      <formula>NOT(ISERROR(SEARCH("Baixo",Q10)))</formula>
    </cfRule>
  </conditionalFormatting>
  <conditionalFormatting sqref="AT11:AU38">
    <cfRule type="containsText" dxfId="144" priority="14" operator="containsText" text="Baixo">
      <formula>NOT(ISERROR(SEARCH("Baixo",AT11)))</formula>
    </cfRule>
    <cfRule type="containsText" dxfId="143" priority="15" operator="containsText" text="Médio">
      <formula>NOT(ISERROR(SEARCH("Médio",AT11)))</formula>
    </cfRule>
    <cfRule type="beginsWith" dxfId="142" priority="16" operator="beginsWith" text="Alto">
      <formula>LEFT(AT11,LEN("Alto"))="Alto"</formula>
    </cfRule>
    <cfRule type="containsText" dxfId="141" priority="17" operator="containsText" text="Muito Alto">
      <formula>NOT(ISERROR(SEARCH("Muito Alto",AT11)))</formula>
    </cfRule>
  </conditionalFormatting>
  <conditionalFormatting sqref="AT3:AV3 AT5:AV6 AT7:AU8">
    <cfRule type="cellIs" dxfId="140" priority="30" operator="equal">
      <formula>"Desprezível"</formula>
    </cfRule>
    <cfRule type="cellIs" dxfId="139" priority="31" operator="equal">
      <formula>"Intolerável"</formula>
    </cfRule>
    <cfRule type="cellIs" dxfId="138" priority="32" operator="equal">
      <formula>"Indesejável"</formula>
    </cfRule>
    <cfRule type="cellIs" dxfId="137" priority="33" operator="equal">
      <formula>"Administrável"</formula>
    </cfRule>
  </conditionalFormatting>
  <conditionalFormatting sqref="AT9:AV1048576">
    <cfRule type="cellIs" dxfId="136" priority="22" operator="equal">
      <formula>"Desprezível"</formula>
    </cfRule>
    <cfRule type="cellIs" dxfId="135" priority="23" operator="equal">
      <formula>"Intolerável"</formula>
    </cfRule>
    <cfRule type="cellIs" dxfId="134" priority="24" operator="equal">
      <formula>"Indesejável"</formula>
    </cfRule>
    <cfRule type="cellIs" dxfId="133" priority="25" operator="equal">
      <formula>"Administrável"</formula>
    </cfRule>
  </conditionalFormatting>
  <conditionalFormatting sqref="AT10:AV10 AV11:AV39">
    <cfRule type="containsText" dxfId="132" priority="18" operator="containsText" text="Baixo">
      <formula>NOT(ISERROR(SEARCH("Baixo",AT10)))</formula>
    </cfRule>
    <cfRule type="containsText" dxfId="131" priority="19" operator="containsText" text="Médio">
      <formula>NOT(ISERROR(SEARCH("Médio",AT10)))</formula>
    </cfRule>
    <cfRule type="beginsWith" dxfId="130" priority="20" operator="beginsWith" text="Alto">
      <formula>LEFT(AT10,LEN("Alto"))="Alto"</formula>
    </cfRule>
    <cfRule type="containsText" dxfId="129" priority="21" operator="containsText" text="Muito Alto">
      <formula>NOT(ISERROR(SEARCH("Muito Alto",AT10)))</formula>
    </cfRule>
  </conditionalFormatting>
  <conditionalFormatting sqref="AZ8">
    <cfRule type="containsText" dxfId="128" priority="2" operator="containsText" text="Baixo">
      <formula>NOT(ISERROR(SEARCH("Baixo",AZ8)))</formula>
    </cfRule>
    <cfRule type="containsText" dxfId="127" priority="3" operator="containsText" text="Médio">
      <formula>NOT(ISERROR(SEARCH("Médio",AZ8)))</formula>
    </cfRule>
    <cfRule type="beginsWith" dxfId="126" priority="4" operator="beginsWith" text="Alto">
      <formula>LEFT(AZ8,LEN("Alto"))="Alto"</formula>
    </cfRule>
    <cfRule type="containsText" dxfId="125" priority="5" operator="containsText" text="Muito Alto">
      <formula>NOT(ISERROR(SEARCH("Muito Alto",AZ8)))</formula>
    </cfRule>
    <cfRule type="cellIs" dxfId="124" priority="6" operator="equal">
      <formula>"Desprezível"</formula>
    </cfRule>
    <cfRule type="cellIs" dxfId="123" priority="7" operator="equal">
      <formula>"Intolerável"</formula>
    </cfRule>
    <cfRule type="cellIs" dxfId="122" priority="8" operator="equal">
      <formula>"Indesejável"</formula>
    </cfRule>
    <cfRule type="cellIs" dxfId="121" priority="9" operator="equal">
      <formula>"Administrável"</formula>
    </cfRule>
  </conditionalFormatting>
  <dataValidations count="4">
    <dataValidation type="list" allowBlank="1" showInputMessage="1" showErrorMessage="1" sqref="AV10:AV39" xr:uid="{87A4091F-2C9B-4129-A24D-4533AA165124}">
      <formula1>EstrategiasOport</formula1>
    </dataValidation>
    <dataValidation type="list" allowBlank="1" showInputMessage="1" showErrorMessage="1" sqref="AT9:AV9 AT39:AU39" xr:uid="{FB597153-A1DF-4A45-AB4A-67F824EB766D}">
      <formula1>$BG$14:$BG$20</formula1>
    </dataValidation>
    <dataValidation allowBlank="1" showErrorMessage="1" sqref="AT6:AU8 AV6" xr:uid="{2567E68A-128B-403C-8809-0A29B4B49C59}"/>
    <dataValidation type="list" allowBlank="1" showInputMessage="1" showErrorMessage="1" sqref="H28 K26 K38 K30 K32 K34 K36 K28 K12 K14 K10 K16 K18 K20 E10 E12 E14 E16 E18 E20 E22 E24 E26 E28 H10 H12 H14 H16 H18 H20 H22 H24 H26 H36 E30 E32 E34 E36 H30 H32 H34 H38 E38 K22 K24 N10:N39 Q10:Q39" xr:uid="{BBE7E141-5A2A-44C1-88ED-C97ED722CA7B}">
      <formula1>$BD$10:$BD$14</formula1>
    </dataValidation>
  </dataValidations>
  <pageMargins left="0" right="0" top="0" bottom="0" header="0" footer="0"/>
  <pageSetup paperSize="9" scale="73" fitToHeight="2" orientation="landscape"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D7960-CA77-41C9-99C4-534B80DB1956}">
  <dimension ref="B2:J49"/>
  <sheetViews>
    <sheetView showGridLines="0" zoomScale="80" zoomScaleNormal="80" workbookViewId="0">
      <pane xSplit="5" ySplit="9" topLeftCell="F10" activePane="bottomRight" state="frozen"/>
      <selection pane="topRight" activeCell="G1" sqref="G1"/>
      <selection pane="bottomLeft" activeCell="A10" sqref="A10"/>
      <selection pane="bottomRight" activeCell="D11" sqref="D11"/>
    </sheetView>
  </sheetViews>
  <sheetFormatPr defaultColWidth="9.109375" defaultRowHeight="13.8" x14ac:dyDescent="0.3"/>
  <cols>
    <col min="1" max="1" width="1.88671875" style="1" customWidth="1"/>
    <col min="2" max="2" width="9.88671875" style="1" bestFit="1" customWidth="1"/>
    <col min="3" max="3" width="39.5546875" style="2" customWidth="1"/>
    <col min="4" max="5" width="0.5546875" style="2" customWidth="1"/>
    <col min="6" max="6" width="17.6640625" style="2" customWidth="1"/>
    <col min="7" max="7" width="0.5546875" style="2" customWidth="1"/>
    <col min="8" max="8" width="17.6640625" style="2" customWidth="1"/>
    <col min="9" max="9" width="0.5546875" style="2" customWidth="1"/>
    <col min="10" max="10" width="85.6640625" style="2" customWidth="1"/>
    <col min="11" max="16384" width="9.109375" style="1"/>
  </cols>
  <sheetData>
    <row r="2" spans="2:10" ht="20.399999999999999" x14ac:dyDescent="0.3">
      <c r="B2" s="386" t="s">
        <v>199</v>
      </c>
      <c r="C2" s="386"/>
      <c r="D2" s="386"/>
      <c r="E2" s="386"/>
      <c r="F2" s="386"/>
      <c r="G2" s="386"/>
      <c r="H2" s="386"/>
      <c r="I2" s="386"/>
      <c r="J2" s="386"/>
    </row>
    <row r="3" spans="2:10" ht="3" customHeight="1" x14ac:dyDescent="0.3"/>
    <row r="4" spans="2:10" ht="20.399999999999999" x14ac:dyDescent="0.3">
      <c r="B4" s="421"/>
      <c r="C4" s="421"/>
      <c r="D4" s="421"/>
      <c r="E4" s="421"/>
      <c r="F4" s="421"/>
      <c r="G4" s="421"/>
      <c r="H4" s="421"/>
      <c r="I4" s="421"/>
      <c r="J4" s="421"/>
    </row>
    <row r="5" spans="2:10" ht="3" customHeight="1" thickBot="1" x14ac:dyDescent="0.35"/>
    <row r="6" spans="2:10" ht="27" customHeight="1" x14ac:dyDescent="0.3">
      <c r="B6" s="42"/>
      <c r="C6" s="387" t="s">
        <v>52</v>
      </c>
      <c r="D6" s="4"/>
      <c r="E6" s="4"/>
      <c r="F6" s="422" t="s">
        <v>46</v>
      </c>
      <c r="G6" s="65"/>
      <c r="H6" s="425" t="s">
        <v>34</v>
      </c>
      <c r="I6" s="65"/>
      <c r="J6" s="425" t="s">
        <v>33</v>
      </c>
    </row>
    <row r="7" spans="2:10" ht="16.5" customHeight="1" x14ac:dyDescent="0.3">
      <c r="B7" s="43" t="s">
        <v>0</v>
      </c>
      <c r="C7" s="388"/>
      <c r="D7" s="4"/>
      <c r="E7" s="4"/>
      <c r="F7" s="423"/>
      <c r="G7" s="64"/>
      <c r="H7" s="425"/>
      <c r="I7" s="64"/>
      <c r="J7" s="425"/>
    </row>
    <row r="8" spans="2:10" ht="23.1" customHeight="1" thickBot="1" x14ac:dyDescent="0.35">
      <c r="B8" s="44"/>
      <c r="C8" s="389"/>
      <c r="D8" s="4"/>
      <c r="E8" s="4"/>
      <c r="F8" s="424"/>
      <c r="G8" s="64"/>
      <c r="H8" s="425"/>
      <c r="I8" s="64"/>
      <c r="J8" s="425"/>
    </row>
    <row r="9" spans="2:10" ht="3" customHeight="1" x14ac:dyDescent="0.3">
      <c r="B9" s="5"/>
      <c r="C9" s="6"/>
    </row>
    <row r="10" spans="2:10" ht="30" customHeight="1" x14ac:dyDescent="0.3">
      <c r="B10" s="378" t="s">
        <v>35</v>
      </c>
      <c r="C10" s="379" t="str">
        <f>'[1] Aval.Oportunidades-CANTU'!C10</f>
        <v>Expansão/aumento de faturamento na captação de  Novos Negocios</v>
      </c>
      <c r="F10" s="416" t="s">
        <v>246</v>
      </c>
      <c r="G10" s="18"/>
      <c r="H10" s="416" t="s">
        <v>218</v>
      </c>
      <c r="I10" s="18"/>
      <c r="J10" s="40" t="s">
        <v>247</v>
      </c>
    </row>
    <row r="11" spans="2:10" ht="30" customHeight="1" x14ac:dyDescent="0.3">
      <c r="B11" s="378"/>
      <c r="C11" s="379"/>
      <c r="F11" s="419"/>
      <c r="G11" s="18"/>
      <c r="H11" s="417"/>
      <c r="I11" s="18"/>
      <c r="J11" s="40"/>
    </row>
    <row r="12" spans="2:10" ht="30" customHeight="1" x14ac:dyDescent="0.3">
      <c r="B12" s="378"/>
      <c r="C12" s="380"/>
      <c r="F12" s="420"/>
      <c r="G12" s="18"/>
      <c r="H12" s="418"/>
      <c r="I12" s="18"/>
      <c r="J12" s="40"/>
    </row>
    <row r="13" spans="2:10" ht="3" customHeight="1" x14ac:dyDescent="0.3">
      <c r="C13" s="16"/>
      <c r="F13" s="17"/>
      <c r="G13" s="18"/>
      <c r="H13" s="17"/>
      <c r="I13" s="18"/>
      <c r="J13" s="17"/>
    </row>
    <row r="14" spans="2:10" ht="30" customHeight="1" x14ac:dyDescent="0.3">
      <c r="B14" s="378" t="s">
        <v>36</v>
      </c>
      <c r="C14" s="379">
        <f>'[1] Aval.Oportunidades-CANTU'!C12</f>
        <v>0</v>
      </c>
      <c r="F14" s="40"/>
      <c r="G14" s="18"/>
      <c r="H14" s="416"/>
      <c r="I14" s="18"/>
      <c r="J14" s="40"/>
    </row>
    <row r="15" spans="2:10" ht="30" customHeight="1" x14ac:dyDescent="0.3">
      <c r="B15" s="378"/>
      <c r="C15" s="379"/>
      <c r="F15" s="40"/>
      <c r="G15" s="18"/>
      <c r="H15" s="417"/>
      <c r="I15" s="18"/>
      <c r="J15" s="40"/>
    </row>
    <row r="16" spans="2:10" ht="30" customHeight="1" x14ac:dyDescent="0.3">
      <c r="B16" s="378"/>
      <c r="C16" s="380"/>
      <c r="F16" s="40"/>
      <c r="G16" s="18"/>
      <c r="H16" s="418"/>
      <c r="I16" s="18"/>
      <c r="J16" s="40"/>
    </row>
    <row r="17" spans="2:10" ht="3" customHeight="1" x14ac:dyDescent="0.3">
      <c r="C17" s="16"/>
      <c r="F17" s="17"/>
      <c r="G17" s="18"/>
      <c r="H17" s="17"/>
      <c r="I17" s="18"/>
      <c r="J17" s="17"/>
    </row>
    <row r="18" spans="2:10" ht="30" customHeight="1" x14ac:dyDescent="0.3">
      <c r="B18" s="378" t="s">
        <v>37</v>
      </c>
      <c r="C18" s="379"/>
      <c r="F18" s="40"/>
      <c r="G18" s="18"/>
      <c r="H18" s="416"/>
      <c r="I18" s="18"/>
      <c r="J18" s="40"/>
    </row>
    <row r="19" spans="2:10" ht="30" customHeight="1" x14ac:dyDescent="0.3">
      <c r="B19" s="378"/>
      <c r="C19" s="379"/>
      <c r="F19" s="40"/>
      <c r="G19" s="18"/>
      <c r="H19" s="417"/>
      <c r="I19" s="18"/>
      <c r="J19" s="40"/>
    </row>
    <row r="20" spans="2:10" ht="30" customHeight="1" x14ac:dyDescent="0.3">
      <c r="B20" s="378"/>
      <c r="C20" s="380"/>
      <c r="F20" s="40"/>
      <c r="G20" s="18"/>
      <c r="H20" s="418"/>
      <c r="I20" s="18"/>
      <c r="J20" s="40"/>
    </row>
    <row r="21" spans="2:10" ht="3" customHeight="1" x14ac:dyDescent="0.3">
      <c r="C21" s="16"/>
      <c r="F21" s="17"/>
      <c r="G21" s="18"/>
      <c r="H21" s="17"/>
      <c r="I21" s="18"/>
      <c r="J21" s="17"/>
    </row>
    <row r="22" spans="2:10" ht="30" customHeight="1" x14ac:dyDescent="0.3">
      <c r="B22" s="378" t="s">
        <v>38</v>
      </c>
      <c r="C22" s="379"/>
      <c r="F22" s="40"/>
      <c r="G22" s="18"/>
      <c r="H22" s="416"/>
      <c r="I22" s="18"/>
      <c r="J22" s="40"/>
    </row>
    <row r="23" spans="2:10" ht="30" customHeight="1" x14ac:dyDescent="0.3">
      <c r="B23" s="378"/>
      <c r="C23" s="379"/>
      <c r="F23" s="40"/>
      <c r="G23" s="18"/>
      <c r="H23" s="417"/>
      <c r="I23" s="18"/>
      <c r="J23" s="40"/>
    </row>
    <row r="24" spans="2:10" ht="30" customHeight="1" x14ac:dyDescent="0.3">
      <c r="B24" s="378"/>
      <c r="C24" s="380"/>
      <c r="F24" s="40"/>
      <c r="G24" s="18"/>
      <c r="H24" s="418"/>
      <c r="I24" s="18"/>
      <c r="J24" s="40"/>
    </row>
    <row r="25" spans="2:10" ht="3" customHeight="1" x14ac:dyDescent="0.3">
      <c r="C25" s="16"/>
      <c r="F25" s="17"/>
      <c r="G25" s="18"/>
      <c r="H25" s="17"/>
      <c r="I25" s="18"/>
      <c r="J25" s="17"/>
    </row>
    <row r="26" spans="2:10" ht="30" customHeight="1" x14ac:dyDescent="0.3">
      <c r="B26" s="378" t="s">
        <v>39</v>
      </c>
      <c r="C26" s="379"/>
      <c r="F26" s="40"/>
      <c r="G26" s="18"/>
      <c r="H26" s="40"/>
      <c r="I26" s="18"/>
      <c r="J26" s="40"/>
    </row>
    <row r="27" spans="2:10" ht="30" customHeight="1" x14ac:dyDescent="0.3">
      <c r="B27" s="378"/>
      <c r="C27" s="379"/>
      <c r="F27" s="40"/>
      <c r="G27" s="18"/>
      <c r="H27" s="40"/>
      <c r="I27" s="18"/>
      <c r="J27" s="40"/>
    </row>
    <row r="28" spans="2:10" ht="30" customHeight="1" x14ac:dyDescent="0.3">
      <c r="B28" s="378"/>
      <c r="C28" s="380"/>
      <c r="F28" s="40"/>
      <c r="G28" s="18"/>
      <c r="H28" s="40"/>
      <c r="I28" s="18"/>
      <c r="J28" s="40"/>
    </row>
    <row r="29" spans="2:10" ht="3" customHeight="1" x14ac:dyDescent="0.3">
      <c r="C29" s="16"/>
      <c r="F29" s="17"/>
      <c r="G29" s="18"/>
      <c r="H29" s="17"/>
      <c r="I29" s="18"/>
      <c r="J29" s="17"/>
    </row>
    <row r="30" spans="2:10" ht="30" customHeight="1" x14ac:dyDescent="0.3">
      <c r="B30" s="378" t="s">
        <v>40</v>
      </c>
      <c r="C30" s="379"/>
      <c r="F30" s="40"/>
      <c r="G30" s="18"/>
      <c r="H30" s="40"/>
      <c r="I30" s="18"/>
      <c r="J30" s="40"/>
    </row>
    <row r="31" spans="2:10" ht="30" customHeight="1" x14ac:dyDescent="0.3">
      <c r="B31" s="378"/>
      <c r="C31" s="379"/>
      <c r="F31" s="40"/>
      <c r="G31" s="18"/>
      <c r="H31" s="40"/>
      <c r="I31" s="18"/>
      <c r="J31" s="40"/>
    </row>
    <row r="32" spans="2:10" ht="30" customHeight="1" x14ac:dyDescent="0.3">
      <c r="B32" s="378"/>
      <c r="C32" s="380"/>
      <c r="F32" s="40"/>
      <c r="G32" s="18"/>
      <c r="H32" s="40"/>
      <c r="I32" s="18"/>
      <c r="J32" s="40"/>
    </row>
    <row r="33" spans="2:10" ht="3" customHeight="1" x14ac:dyDescent="0.3">
      <c r="C33" s="16"/>
      <c r="F33" s="17"/>
      <c r="G33" s="18"/>
      <c r="H33" s="17"/>
      <c r="I33" s="18"/>
      <c r="J33" s="17"/>
    </row>
    <row r="34" spans="2:10" ht="30" customHeight="1" x14ac:dyDescent="0.3">
      <c r="B34" s="378" t="s">
        <v>41</v>
      </c>
      <c r="C34" s="379"/>
      <c r="F34" s="40"/>
      <c r="G34" s="18"/>
      <c r="H34" s="40"/>
      <c r="I34" s="18"/>
      <c r="J34" s="40"/>
    </row>
    <row r="35" spans="2:10" ht="30" customHeight="1" x14ac:dyDescent="0.3">
      <c r="B35" s="378"/>
      <c r="C35" s="379"/>
      <c r="F35" s="40"/>
      <c r="G35" s="18"/>
      <c r="H35" s="40"/>
      <c r="I35" s="18"/>
      <c r="J35" s="40"/>
    </row>
    <row r="36" spans="2:10" ht="30" customHeight="1" x14ac:dyDescent="0.3">
      <c r="B36" s="378"/>
      <c r="C36" s="380"/>
      <c r="F36" s="40"/>
      <c r="G36" s="18"/>
      <c r="H36" s="40"/>
      <c r="I36" s="18"/>
      <c r="J36" s="40"/>
    </row>
    <row r="37" spans="2:10" ht="3" customHeight="1" x14ac:dyDescent="0.3">
      <c r="C37" s="16"/>
      <c r="F37" s="17"/>
      <c r="G37" s="18"/>
      <c r="H37" s="17"/>
      <c r="I37" s="18"/>
      <c r="J37" s="17"/>
    </row>
    <row r="38" spans="2:10" ht="30" customHeight="1" x14ac:dyDescent="0.3">
      <c r="B38" s="378" t="s">
        <v>42</v>
      </c>
      <c r="C38" s="379"/>
      <c r="F38" s="40"/>
      <c r="G38" s="18"/>
      <c r="H38" s="40"/>
      <c r="I38" s="18"/>
      <c r="J38" s="40"/>
    </row>
    <row r="39" spans="2:10" ht="30" customHeight="1" x14ac:dyDescent="0.3">
      <c r="B39" s="378"/>
      <c r="C39" s="379"/>
      <c r="F39" s="40"/>
      <c r="G39" s="18"/>
      <c r="H39" s="40"/>
      <c r="I39" s="18"/>
      <c r="J39" s="40"/>
    </row>
    <row r="40" spans="2:10" ht="30" customHeight="1" x14ac:dyDescent="0.3">
      <c r="B40" s="378"/>
      <c r="C40" s="380"/>
      <c r="F40" s="40"/>
      <c r="G40" s="18"/>
      <c r="H40" s="40"/>
      <c r="I40" s="18"/>
      <c r="J40" s="40"/>
    </row>
    <row r="41" spans="2:10" ht="3" customHeight="1" x14ac:dyDescent="0.3">
      <c r="C41" s="16"/>
      <c r="F41" s="17"/>
      <c r="G41" s="18"/>
      <c r="H41" s="17"/>
      <c r="I41" s="18"/>
      <c r="J41" s="17"/>
    </row>
    <row r="42" spans="2:10" ht="30" customHeight="1" x14ac:dyDescent="0.3">
      <c r="B42" s="378" t="s">
        <v>43</v>
      </c>
      <c r="C42" s="379"/>
      <c r="F42" s="40"/>
      <c r="G42" s="18"/>
      <c r="H42" s="40"/>
      <c r="I42" s="18"/>
      <c r="J42" s="40"/>
    </row>
    <row r="43" spans="2:10" ht="30" customHeight="1" x14ac:dyDescent="0.3">
      <c r="B43" s="378"/>
      <c r="C43" s="379"/>
      <c r="F43" s="40"/>
      <c r="G43" s="18"/>
      <c r="H43" s="40"/>
      <c r="I43" s="18"/>
      <c r="J43" s="40"/>
    </row>
    <row r="44" spans="2:10" ht="30" customHeight="1" x14ac:dyDescent="0.3">
      <c r="B44" s="378"/>
      <c r="C44" s="380"/>
      <c r="F44" s="40"/>
      <c r="G44" s="18"/>
      <c r="H44" s="40"/>
      <c r="I44" s="18"/>
      <c r="J44" s="40"/>
    </row>
    <row r="45" spans="2:10" ht="3" customHeight="1" x14ac:dyDescent="0.3">
      <c r="C45" s="16"/>
      <c r="F45" s="17"/>
      <c r="G45" s="18"/>
      <c r="H45" s="17"/>
      <c r="I45" s="18"/>
      <c r="J45" s="17"/>
    </row>
    <row r="46" spans="2:10" ht="30" customHeight="1" x14ac:dyDescent="0.3">
      <c r="B46" s="378" t="s">
        <v>44</v>
      </c>
      <c r="C46" s="379"/>
      <c r="F46" s="40"/>
      <c r="G46" s="18"/>
      <c r="H46" s="40"/>
      <c r="I46" s="18"/>
      <c r="J46" s="40"/>
    </row>
    <row r="47" spans="2:10" ht="30" customHeight="1" x14ac:dyDescent="0.3">
      <c r="B47" s="378"/>
      <c r="C47" s="379"/>
      <c r="F47" s="40"/>
      <c r="G47" s="18"/>
      <c r="H47" s="40"/>
      <c r="I47" s="18"/>
      <c r="J47" s="40"/>
    </row>
    <row r="48" spans="2:10" ht="30" customHeight="1" x14ac:dyDescent="0.3">
      <c r="B48" s="378"/>
      <c r="C48" s="380"/>
      <c r="F48" s="40"/>
      <c r="G48" s="18"/>
      <c r="H48" s="40"/>
      <c r="I48" s="18"/>
      <c r="J48" s="40"/>
    </row>
    <row r="49" spans="3:10" ht="3" customHeight="1" x14ac:dyDescent="0.3">
      <c r="C49" s="16"/>
      <c r="F49" s="17"/>
      <c r="G49" s="18"/>
      <c r="H49" s="17"/>
      <c r="I49" s="18"/>
      <c r="J49" s="17"/>
    </row>
  </sheetData>
  <sheetProtection formatCells="0" formatColumns="0" formatRows="0" selectLockedCells="1" sort="0" autoFilter="0" pivotTables="0"/>
  <mergeCells count="31">
    <mergeCell ref="B2:J2"/>
    <mergeCell ref="B4:J4"/>
    <mergeCell ref="C6:C8"/>
    <mergeCell ref="F6:F8"/>
    <mergeCell ref="H6:H8"/>
    <mergeCell ref="J6:J8"/>
    <mergeCell ref="B10:B12"/>
    <mergeCell ref="C10:C12"/>
    <mergeCell ref="H10:H12"/>
    <mergeCell ref="B14:B16"/>
    <mergeCell ref="C14:C16"/>
    <mergeCell ref="H14:H16"/>
    <mergeCell ref="F10:F12"/>
    <mergeCell ref="B18:B20"/>
    <mergeCell ref="C18:C20"/>
    <mergeCell ref="H18:H20"/>
    <mergeCell ref="B22:B24"/>
    <mergeCell ref="C22:C24"/>
    <mergeCell ref="H22:H24"/>
    <mergeCell ref="B26:B28"/>
    <mergeCell ref="C26:C28"/>
    <mergeCell ref="B30:B32"/>
    <mergeCell ref="C30:C32"/>
    <mergeCell ref="B34:B36"/>
    <mergeCell ref="C34:C36"/>
    <mergeCell ref="B38:B40"/>
    <mergeCell ref="C38:C40"/>
    <mergeCell ref="B42:B44"/>
    <mergeCell ref="C42:C44"/>
    <mergeCell ref="B46:B48"/>
    <mergeCell ref="C46:C48"/>
  </mergeCells>
  <conditionalFormatting sqref="C1:C5 C9:C1048576">
    <cfRule type="cellIs" dxfId="120" priority="1" operator="equal">
      <formula>0</formula>
    </cfRule>
  </conditionalFormatting>
  <pageMargins left="0" right="0" top="0" bottom="0" header="0" footer="0"/>
  <pageSetup paperSize="9" scale="80" fitToHeight="2" orientation="landscape" r:id="rId1"/>
  <rowBreaks count="1" manualBreakCount="1">
    <brk id="28" min="1" max="10"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2310B-D266-4BF8-B2D1-EA456A7577C7}">
  <dimension ref="A1:D15"/>
  <sheetViews>
    <sheetView zoomScale="110" zoomScaleNormal="110" workbookViewId="0">
      <selection activeCell="D5" sqref="D5"/>
    </sheetView>
  </sheetViews>
  <sheetFormatPr defaultRowHeight="14.4" x14ac:dyDescent="0.3"/>
  <cols>
    <col min="1" max="2" width="40.33203125" customWidth="1"/>
    <col min="3" max="3" width="36.109375" customWidth="1"/>
    <col min="4" max="4" width="40.33203125" customWidth="1"/>
  </cols>
  <sheetData>
    <row r="1" spans="1:4" x14ac:dyDescent="0.3">
      <c r="A1" s="426" t="s">
        <v>268</v>
      </c>
      <c r="B1" s="426"/>
      <c r="C1" s="426" t="s">
        <v>269</v>
      </c>
      <c r="D1" s="426"/>
    </row>
    <row r="2" spans="1:4" x14ac:dyDescent="0.3">
      <c r="A2" s="254" t="s">
        <v>263</v>
      </c>
      <c r="B2" s="254" t="s">
        <v>264</v>
      </c>
      <c r="C2" s="255" t="s">
        <v>265</v>
      </c>
      <c r="D2" s="255" t="s">
        <v>266</v>
      </c>
    </row>
    <row r="3" spans="1:4" ht="27.6" x14ac:dyDescent="0.3">
      <c r="A3" s="257" t="s">
        <v>347</v>
      </c>
      <c r="B3" s="257" t="s">
        <v>274</v>
      </c>
      <c r="C3" s="257" t="s">
        <v>267</v>
      </c>
      <c r="D3" s="257" t="s">
        <v>349</v>
      </c>
    </row>
    <row r="4" spans="1:4" ht="30.75" customHeight="1" x14ac:dyDescent="0.3">
      <c r="A4" t="s">
        <v>357</v>
      </c>
      <c r="B4" s="257" t="s">
        <v>279</v>
      </c>
      <c r="C4" s="257" t="s">
        <v>283</v>
      </c>
      <c r="D4" s="257" t="s">
        <v>360</v>
      </c>
    </row>
    <row r="5" spans="1:4" ht="42" customHeight="1" x14ac:dyDescent="0.3">
      <c r="A5" s="256"/>
      <c r="B5" s="257"/>
      <c r="C5" s="257" t="s">
        <v>348</v>
      </c>
      <c r="D5" s="257"/>
    </row>
    <row r="6" spans="1:4" x14ac:dyDescent="0.3">
      <c r="A6" s="253"/>
      <c r="B6" s="330"/>
      <c r="C6" s="330" t="s">
        <v>359</v>
      </c>
      <c r="D6" s="257"/>
    </row>
    <row r="7" spans="1:4" x14ac:dyDescent="0.3">
      <c r="A7" s="253"/>
      <c r="B7" s="253"/>
      <c r="C7" s="257" t="s">
        <v>358</v>
      </c>
      <c r="D7" s="253"/>
    </row>
    <row r="8" spans="1:4" x14ac:dyDescent="0.3">
      <c r="A8" s="253"/>
      <c r="B8" s="253"/>
      <c r="C8" s="253"/>
      <c r="D8" s="253"/>
    </row>
    <row r="9" spans="1:4" x14ac:dyDescent="0.3">
      <c r="A9" s="253"/>
      <c r="B9" s="253"/>
      <c r="C9" s="253"/>
      <c r="D9" s="253"/>
    </row>
    <row r="10" spans="1:4" x14ac:dyDescent="0.3">
      <c r="A10" s="253"/>
      <c r="B10" s="253"/>
      <c r="C10" s="253"/>
      <c r="D10" s="253"/>
    </row>
    <row r="11" spans="1:4" x14ac:dyDescent="0.3">
      <c r="A11" s="245"/>
      <c r="B11" s="245"/>
      <c r="C11" s="245"/>
      <c r="D11" s="245"/>
    </row>
    <row r="12" spans="1:4" x14ac:dyDescent="0.3">
      <c r="A12" s="245"/>
      <c r="B12" s="245"/>
      <c r="C12" s="245"/>
      <c r="D12" s="245"/>
    </row>
    <row r="13" spans="1:4" x14ac:dyDescent="0.3">
      <c r="A13" s="245"/>
      <c r="B13" s="245"/>
      <c r="C13" s="245"/>
      <c r="D13" s="245"/>
    </row>
    <row r="14" spans="1:4" x14ac:dyDescent="0.3">
      <c r="A14" s="246"/>
      <c r="B14" s="246"/>
      <c r="C14" s="246"/>
      <c r="D14" s="245"/>
    </row>
    <row r="15" spans="1:4" x14ac:dyDescent="0.3">
      <c r="A15" s="246"/>
      <c r="B15" s="246"/>
      <c r="C15" s="246"/>
      <c r="D15" s="246"/>
    </row>
  </sheetData>
  <mergeCells count="2">
    <mergeCell ref="C1:D1"/>
    <mergeCell ref="A1:B1"/>
  </mergeCells>
  <pageMargins left="0.511811024" right="0.511811024" top="0.78740157499999996" bottom="0.78740157499999996" header="0.31496062000000002" footer="0.31496062000000002"/>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1">
    <pageSetUpPr fitToPage="1"/>
  </sheetPr>
  <dimension ref="B1:BD52"/>
  <sheetViews>
    <sheetView showGridLines="0" zoomScale="90" zoomScaleNormal="90" workbookViewId="0">
      <pane xSplit="4" ySplit="9" topLeftCell="E10" activePane="bottomRight" state="frozen"/>
      <selection activeCell="B18" sqref="B18:B20"/>
      <selection pane="topRight" activeCell="B18" sqref="B18:B20"/>
      <selection pane="bottomLeft" activeCell="B18" sqref="B18:B20"/>
      <selection pane="bottomRight" activeCell="C22" sqref="C22"/>
    </sheetView>
  </sheetViews>
  <sheetFormatPr defaultColWidth="9.109375" defaultRowHeight="13.8" outlineLevelCol="1" x14ac:dyDescent="0.3"/>
  <cols>
    <col min="1" max="1" width="1.88671875" style="1" customWidth="1"/>
    <col min="2" max="2" width="6.33203125" style="1" customWidth="1"/>
    <col min="3" max="3" width="42.5546875" style="46" bestFit="1" customWidth="1"/>
    <col min="4" max="4" width="0.109375" style="2" customWidth="1"/>
    <col min="5" max="5" width="11.6640625" style="2" hidden="1" customWidth="1" outlineLevel="1"/>
    <col min="6" max="6" width="2.33203125" style="2" hidden="1" customWidth="1" outlineLevel="1"/>
    <col min="7" max="7" width="2" style="2" hidden="1" customWidth="1" outlineLevel="1"/>
    <col min="8" max="8" width="10.33203125" style="2" hidden="1" customWidth="1" outlineLevel="1"/>
    <col min="9" max="10" width="3" style="2" hidden="1" customWidth="1" outlineLevel="1"/>
    <col min="11" max="11" width="10.109375" style="2" hidden="1" customWidth="1" outlineLevel="1"/>
    <col min="12" max="12" width="3" style="2" hidden="1" customWidth="1" outlineLevel="1"/>
    <col min="13" max="13" width="2.44140625" style="2" hidden="1" customWidth="1" outlineLevel="1"/>
    <col min="14" max="14" width="15.5546875" style="2" hidden="1" customWidth="1" outlineLevel="1"/>
    <col min="15" max="15" width="3.88671875" style="2" hidden="1" customWidth="1" outlineLevel="1"/>
    <col min="16" max="16" width="2" style="2" hidden="1" customWidth="1" outlineLevel="1"/>
    <col min="17" max="17" width="10" style="2" hidden="1" customWidth="1" outlineLevel="1"/>
    <col min="18" max="18" width="2" style="2" hidden="1" customWidth="1" outlineLevel="1"/>
    <col min="19" max="19" width="3.33203125" style="2" hidden="1" customWidth="1" outlineLevel="1"/>
    <col min="20" max="20" width="1.44140625" style="118" hidden="1" customWidth="1" outlineLevel="1"/>
    <col min="21" max="21" width="2.6640625" style="118" hidden="1" customWidth="1" outlineLevel="1"/>
    <col min="22" max="22" width="2.109375" style="11" hidden="1" customWidth="1" outlineLevel="1"/>
    <col min="23" max="23" width="10.6640625" style="2" hidden="1" customWidth="1" outlineLevel="1"/>
    <col min="24" max="24" width="17" style="2" hidden="1" customWidth="1" outlineLevel="1"/>
    <col min="25" max="25" width="16.33203125" style="2" hidden="1" customWidth="1" outlineLevel="1"/>
    <col min="26" max="26" width="10.5546875" style="2" hidden="1" customWidth="1" outlineLevel="1"/>
    <col min="27" max="27" width="3.33203125" style="2" hidden="1" customWidth="1" outlineLevel="1"/>
    <col min="28" max="28" width="2.5546875" style="7" hidden="1" customWidth="1" outlineLevel="1"/>
    <col min="29" max="30" width="9.6640625" style="2" hidden="1" customWidth="1" outlineLevel="1"/>
    <col min="31" max="31" width="9.5546875" style="2" hidden="1" customWidth="1" outlineLevel="1"/>
    <col min="32" max="32" width="3.5546875" style="2" hidden="1" customWidth="1" outlineLevel="1"/>
    <col min="33" max="33" width="3.33203125" style="7" hidden="1" customWidth="1" outlineLevel="1"/>
    <col min="34" max="37" width="7" style="2" hidden="1" customWidth="1" outlineLevel="1"/>
    <col min="38" max="38" width="7.33203125" style="2" hidden="1" customWidth="1" outlineLevel="1"/>
    <col min="39" max="39" width="9.109375" style="2" hidden="1" customWidth="1" outlineLevel="1"/>
    <col min="40" max="40" width="3" style="2" hidden="1" customWidth="1" collapsed="1"/>
    <col min="41" max="41" width="2.33203125" style="121" hidden="1" customWidth="1"/>
    <col min="42" max="42" width="2" style="118" hidden="1" customWidth="1"/>
    <col min="43" max="43" width="2.44140625" style="118" hidden="1" customWidth="1"/>
    <col min="44" max="44" width="3.88671875" style="118" hidden="1" customWidth="1"/>
    <col min="45" max="45" width="17.6640625" style="1" customWidth="1"/>
    <col min="46" max="46" width="1" style="59" customWidth="1"/>
    <col min="47" max="47" width="17.6640625" style="1" customWidth="1"/>
    <col min="48" max="48" width="5.109375" style="184" customWidth="1"/>
    <col min="49" max="49" width="11.109375" style="3" hidden="1" customWidth="1"/>
    <col min="50" max="51" width="12.109375" style="35" hidden="1" customWidth="1"/>
    <col min="52" max="53" width="11.5546875" style="35" hidden="1" customWidth="1"/>
    <col min="54" max="54" width="9.109375" style="1" customWidth="1"/>
    <col min="55" max="55" width="9.109375" style="3"/>
    <col min="56" max="16384" width="9.109375" style="1"/>
  </cols>
  <sheetData>
    <row r="1" spans="2:56" ht="21.75" customHeight="1" x14ac:dyDescent="0.3">
      <c r="B1" s="353"/>
      <c r="C1" s="354"/>
      <c r="D1" s="158"/>
      <c r="E1" s="359" t="s">
        <v>261</v>
      </c>
      <c r="F1" s="359"/>
      <c r="G1" s="359"/>
      <c r="H1" s="359"/>
      <c r="I1" s="359"/>
      <c r="J1" s="359"/>
      <c r="K1" s="359"/>
      <c r="L1" s="359"/>
      <c r="M1" s="359"/>
      <c r="N1" s="359"/>
      <c r="O1" s="359"/>
      <c r="P1" s="359"/>
      <c r="Q1" s="359"/>
      <c r="R1" s="359"/>
      <c r="S1" s="359"/>
      <c r="T1" s="359"/>
      <c r="U1" s="359"/>
      <c r="V1" s="359"/>
      <c r="W1" s="359"/>
      <c r="X1" s="359"/>
      <c r="Y1" s="359"/>
      <c r="Z1" s="359"/>
      <c r="AA1" s="359"/>
      <c r="AB1" s="359"/>
      <c r="AC1" s="359"/>
      <c r="AD1" s="359"/>
      <c r="AE1" s="359"/>
      <c r="AF1" s="359"/>
      <c r="AG1" s="359"/>
      <c r="AH1" s="359"/>
      <c r="AI1" s="359"/>
      <c r="AJ1" s="359"/>
      <c r="AK1" s="359"/>
      <c r="AL1" s="359"/>
      <c r="AM1" s="359"/>
      <c r="AN1" s="359"/>
      <c r="AO1" s="359"/>
      <c r="AP1" s="359"/>
      <c r="AQ1" s="359"/>
      <c r="AR1" s="359"/>
      <c r="AS1" s="359"/>
      <c r="AT1" s="359"/>
      <c r="AU1" s="359"/>
      <c r="AV1" s="182"/>
    </row>
    <row r="2" spans="2:56" ht="23.25" customHeight="1" x14ac:dyDescent="0.3">
      <c r="B2" s="355"/>
      <c r="C2" s="356"/>
      <c r="D2" s="158"/>
      <c r="E2" s="359"/>
      <c r="F2" s="359"/>
      <c r="G2" s="359"/>
      <c r="H2" s="359"/>
      <c r="I2" s="359"/>
      <c r="J2" s="359"/>
      <c r="K2" s="359"/>
      <c r="L2" s="359"/>
      <c r="M2" s="359"/>
      <c r="N2" s="359"/>
      <c r="O2" s="359"/>
      <c r="P2" s="359"/>
      <c r="Q2" s="359"/>
      <c r="R2" s="359"/>
      <c r="S2" s="359"/>
      <c r="T2" s="359"/>
      <c r="U2" s="359"/>
      <c r="V2" s="359"/>
      <c r="W2" s="359"/>
      <c r="X2" s="359"/>
      <c r="Y2" s="359"/>
      <c r="Z2" s="359"/>
      <c r="AA2" s="359"/>
      <c r="AB2" s="359"/>
      <c r="AC2" s="359"/>
      <c r="AD2" s="359"/>
      <c r="AE2" s="359"/>
      <c r="AF2" s="359"/>
      <c r="AG2" s="359"/>
      <c r="AH2" s="359"/>
      <c r="AI2" s="359"/>
      <c r="AJ2" s="359"/>
      <c r="AK2" s="359"/>
      <c r="AL2" s="359"/>
      <c r="AM2" s="359"/>
      <c r="AN2" s="359"/>
      <c r="AO2" s="359"/>
      <c r="AP2" s="359"/>
      <c r="AQ2" s="359"/>
      <c r="AR2" s="359"/>
      <c r="AS2" s="359"/>
      <c r="AT2" s="359"/>
      <c r="AU2" s="359"/>
      <c r="AV2" s="182"/>
    </row>
    <row r="3" spans="2:56" ht="3" customHeight="1" x14ac:dyDescent="0.3">
      <c r="B3" s="355"/>
      <c r="C3" s="356"/>
      <c r="AP3" s="2"/>
      <c r="AS3" s="118"/>
      <c r="AT3" s="192"/>
      <c r="AU3" s="118"/>
      <c r="AV3" s="183"/>
    </row>
    <row r="4" spans="2:56" ht="21" thickBot="1" x14ac:dyDescent="0.35">
      <c r="B4" s="357"/>
      <c r="C4" s="358"/>
      <c r="D4" s="159"/>
      <c r="E4" s="406" t="s">
        <v>350</v>
      </c>
      <c r="F4" s="406"/>
      <c r="G4" s="406"/>
      <c r="H4" s="406"/>
      <c r="I4" s="406"/>
      <c r="J4" s="406"/>
      <c r="K4" s="406"/>
      <c r="L4" s="406"/>
      <c r="M4" s="406"/>
      <c r="N4" s="406"/>
      <c r="O4" s="406"/>
      <c r="P4" s="406"/>
      <c r="Q4" s="406"/>
      <c r="R4" s="406"/>
      <c r="S4" s="406"/>
      <c r="T4" s="406"/>
      <c r="U4" s="406"/>
      <c r="V4" s="406"/>
      <c r="W4" s="406"/>
      <c r="X4" s="406"/>
      <c r="Y4" s="406"/>
      <c r="Z4" s="406"/>
      <c r="AA4" s="406"/>
      <c r="AB4" s="406"/>
      <c r="AC4" s="406"/>
      <c r="AD4" s="406"/>
      <c r="AE4" s="406"/>
      <c r="AF4" s="406"/>
      <c r="AG4" s="406"/>
      <c r="AH4" s="406"/>
      <c r="AI4" s="406"/>
      <c r="AJ4" s="406"/>
      <c r="AK4" s="406"/>
      <c r="AL4" s="406"/>
      <c r="AM4" s="406"/>
      <c r="AN4" s="406"/>
      <c r="AO4" s="406"/>
      <c r="AP4" s="406"/>
      <c r="AQ4" s="406"/>
      <c r="AR4" s="406"/>
      <c r="AS4" s="406"/>
      <c r="AT4" s="406"/>
      <c r="AU4" s="406"/>
      <c r="AV4" s="406"/>
    </row>
    <row r="5" spans="2:56" ht="3" customHeight="1" thickBot="1" x14ac:dyDescent="0.35"/>
    <row r="6" spans="2:56" ht="13.5" customHeight="1" x14ac:dyDescent="0.3">
      <c r="B6" s="361" t="s">
        <v>0</v>
      </c>
      <c r="C6" s="364" t="s">
        <v>160</v>
      </c>
      <c r="D6" s="160"/>
      <c r="E6" s="367" t="s">
        <v>21</v>
      </c>
      <c r="F6" s="368"/>
      <c r="G6" s="368"/>
      <c r="H6" s="368"/>
      <c r="I6" s="368"/>
      <c r="J6" s="368"/>
      <c r="K6" s="368"/>
      <c r="L6" s="368"/>
      <c r="M6" s="368"/>
      <c r="N6" s="368"/>
      <c r="O6" s="368"/>
      <c r="P6" s="368"/>
      <c r="Q6" s="369"/>
      <c r="R6" s="161"/>
      <c r="S6" s="161"/>
      <c r="T6" s="162"/>
      <c r="U6" s="162"/>
      <c r="V6" s="163"/>
      <c r="W6" s="367" t="s">
        <v>25</v>
      </c>
      <c r="X6" s="368"/>
      <c r="Y6" s="368"/>
      <c r="Z6" s="368"/>
      <c r="AA6" s="368"/>
      <c r="AB6" s="368"/>
      <c r="AC6" s="368"/>
      <c r="AD6" s="368"/>
      <c r="AE6" s="368"/>
      <c r="AF6" s="368"/>
      <c r="AG6" s="368"/>
      <c r="AH6" s="368"/>
      <c r="AI6" s="368"/>
      <c r="AJ6" s="368"/>
      <c r="AK6" s="368"/>
      <c r="AL6" s="368"/>
      <c r="AM6" s="369"/>
      <c r="AN6" s="166"/>
      <c r="AO6" s="122"/>
      <c r="AP6" s="119"/>
      <c r="AQ6" s="119"/>
      <c r="AR6" s="119"/>
      <c r="AS6" s="370" t="s">
        <v>1</v>
      </c>
      <c r="AT6" s="193"/>
      <c r="AU6" s="370" t="s">
        <v>180</v>
      </c>
    </row>
    <row r="7" spans="2:56" ht="13.5" customHeight="1" x14ac:dyDescent="0.3">
      <c r="B7" s="362" t="s">
        <v>0</v>
      </c>
      <c r="C7" s="365"/>
      <c r="D7" s="160"/>
      <c r="E7" s="371" t="s">
        <v>2</v>
      </c>
      <c r="F7" s="375" t="s">
        <v>22</v>
      </c>
      <c r="G7" s="375" t="s">
        <v>23</v>
      </c>
      <c r="H7" s="351" t="s">
        <v>3</v>
      </c>
      <c r="I7" s="340" t="s">
        <v>22</v>
      </c>
      <c r="J7" s="340" t="s">
        <v>23</v>
      </c>
      <c r="K7" s="351" t="s">
        <v>87</v>
      </c>
      <c r="L7" s="340" t="s">
        <v>22</v>
      </c>
      <c r="M7" s="340" t="s">
        <v>23</v>
      </c>
      <c r="N7" s="351" t="s">
        <v>115</v>
      </c>
      <c r="O7" s="340" t="s">
        <v>22</v>
      </c>
      <c r="P7" s="340" t="s">
        <v>23</v>
      </c>
      <c r="Q7" s="373" t="s">
        <v>133</v>
      </c>
      <c r="R7" s="346" t="s">
        <v>22</v>
      </c>
      <c r="S7" s="348" t="s">
        <v>23</v>
      </c>
      <c r="T7" s="162"/>
      <c r="U7" s="162"/>
      <c r="V7" s="163"/>
      <c r="W7" s="350" t="s">
        <v>4</v>
      </c>
      <c r="X7" s="342"/>
      <c r="Y7" s="342"/>
      <c r="Z7" s="342"/>
      <c r="AA7" s="340" t="s">
        <v>22</v>
      </c>
      <c r="AB7" s="153"/>
      <c r="AC7" s="342" t="s">
        <v>6</v>
      </c>
      <c r="AD7" s="342"/>
      <c r="AE7" s="342"/>
      <c r="AF7" s="340" t="s">
        <v>22</v>
      </c>
      <c r="AG7" s="153"/>
      <c r="AH7" s="342" t="s">
        <v>138</v>
      </c>
      <c r="AI7" s="342"/>
      <c r="AJ7" s="342"/>
      <c r="AK7" s="342"/>
      <c r="AL7" s="342"/>
      <c r="AM7" s="343"/>
      <c r="AN7" s="344" t="s">
        <v>22</v>
      </c>
      <c r="AO7" s="123"/>
      <c r="AP7" s="119"/>
      <c r="AQ7" s="119"/>
      <c r="AR7" s="119"/>
      <c r="AS7" s="370"/>
      <c r="AT7" s="193"/>
      <c r="AU7" s="370"/>
    </row>
    <row r="8" spans="2:56" ht="20.25" customHeight="1" thickBot="1" x14ac:dyDescent="0.35">
      <c r="B8" s="363"/>
      <c r="C8" s="366"/>
      <c r="D8" s="160"/>
      <c r="E8" s="372"/>
      <c r="F8" s="376"/>
      <c r="G8" s="376"/>
      <c r="H8" s="377"/>
      <c r="I8" s="341"/>
      <c r="J8" s="341"/>
      <c r="K8" s="352"/>
      <c r="L8" s="341"/>
      <c r="M8" s="341"/>
      <c r="N8" s="352"/>
      <c r="O8" s="341"/>
      <c r="P8" s="341"/>
      <c r="Q8" s="374"/>
      <c r="R8" s="347"/>
      <c r="S8" s="349"/>
      <c r="T8" s="162"/>
      <c r="U8" s="164" t="s">
        <v>32</v>
      </c>
      <c r="V8" s="165"/>
      <c r="W8" s="154" t="s">
        <v>14</v>
      </c>
      <c r="X8" s="155" t="s">
        <v>26</v>
      </c>
      <c r="Y8" s="155" t="s">
        <v>159</v>
      </c>
      <c r="Z8" s="155" t="s">
        <v>5</v>
      </c>
      <c r="AA8" s="341"/>
      <c r="AB8" s="156"/>
      <c r="AC8" s="155" t="s">
        <v>15</v>
      </c>
      <c r="AD8" s="155" t="s">
        <v>16</v>
      </c>
      <c r="AE8" s="155" t="s">
        <v>143</v>
      </c>
      <c r="AF8" s="341"/>
      <c r="AG8" s="156"/>
      <c r="AH8" s="155" t="s">
        <v>7</v>
      </c>
      <c r="AI8" s="155" t="s">
        <v>8</v>
      </c>
      <c r="AJ8" s="155" t="s">
        <v>9</v>
      </c>
      <c r="AK8" s="155" t="s">
        <v>10</v>
      </c>
      <c r="AL8" s="155" t="s">
        <v>11</v>
      </c>
      <c r="AM8" s="157" t="s">
        <v>139</v>
      </c>
      <c r="AN8" s="345"/>
      <c r="AO8" s="123"/>
      <c r="AP8" s="120" t="s">
        <v>27</v>
      </c>
      <c r="AQ8" s="120" t="s">
        <v>13</v>
      </c>
      <c r="AR8" s="120"/>
      <c r="AS8" s="370"/>
      <c r="AT8" s="193"/>
      <c r="AU8" s="370"/>
      <c r="AX8" s="169" t="s">
        <v>20</v>
      </c>
      <c r="AY8" s="168" t="s">
        <v>17</v>
      </c>
      <c r="AZ8" s="172" t="s">
        <v>18</v>
      </c>
      <c r="BA8" s="167" t="s">
        <v>19</v>
      </c>
    </row>
    <row r="9" spans="2:56" ht="3" customHeight="1" x14ac:dyDescent="0.3">
      <c r="C9" s="48"/>
      <c r="E9" s="16"/>
      <c r="F9" s="16"/>
      <c r="G9" s="16"/>
      <c r="H9" s="16"/>
      <c r="I9" s="16"/>
      <c r="J9" s="16"/>
      <c r="K9" s="16"/>
      <c r="L9" s="16"/>
      <c r="M9" s="16"/>
      <c r="N9" s="16"/>
      <c r="O9" s="16"/>
      <c r="P9" s="16"/>
      <c r="Q9" s="16"/>
      <c r="R9" s="16"/>
      <c r="S9" s="16"/>
      <c r="W9" s="16"/>
      <c r="X9" s="16"/>
      <c r="Y9" s="16"/>
      <c r="Z9" s="16"/>
      <c r="AA9" s="16"/>
      <c r="AC9" s="16"/>
      <c r="AD9" s="16"/>
      <c r="AE9" s="16"/>
      <c r="AF9" s="16"/>
      <c r="AH9" s="16"/>
      <c r="AI9" s="16"/>
      <c r="AJ9" s="16"/>
      <c r="AK9" s="16"/>
      <c r="AL9" s="16"/>
      <c r="AM9" s="16"/>
      <c r="AN9" s="16"/>
      <c r="AO9" s="124"/>
      <c r="AS9" s="191"/>
      <c r="AU9" s="191"/>
      <c r="AX9" s="130"/>
      <c r="AY9" s="130"/>
      <c r="AZ9" s="130"/>
      <c r="BA9" s="130"/>
    </row>
    <row r="10" spans="2:56" ht="40.5" customHeight="1" x14ac:dyDescent="0.3">
      <c r="B10" s="41" t="s">
        <v>35</v>
      </c>
      <c r="C10" s="258" t="str">
        <f>SWOT!A3</f>
        <v>Indefinições de projetos e soluções</v>
      </c>
      <c r="E10" s="37" t="s">
        <v>28</v>
      </c>
      <c r="F10" s="38">
        <f t="shared" ref="F10:F14" si="0">IF(E10="N.A.",0)+IF(E10="Baixo",1)+IF(E10="Moderado",2)+IF(E10="Significativo",4)+IF(E10="Alto",6)</f>
        <v>1</v>
      </c>
      <c r="G10" s="38">
        <f t="shared" ref="G10:G14" si="1">IF(F10&gt;0,1,0)</f>
        <v>1</v>
      </c>
      <c r="H10" s="37" t="s">
        <v>28</v>
      </c>
      <c r="I10" s="38">
        <f t="shared" ref="I10:I14" si="2">IF(H10="N.A.",0)+IF(H10="Baixo",1)+IF(H10="Moderado",2)+IF(H10="Significativo",4)+IF(H10="Alto",6)</f>
        <v>1</v>
      </c>
      <c r="J10" s="38">
        <f t="shared" ref="J10:J14" si="3">IF(I10&gt;0,1,0)</f>
        <v>1</v>
      </c>
      <c r="K10" s="37" t="s">
        <v>30</v>
      </c>
      <c r="L10" s="38">
        <f>IF(K10="N.A.",0)+IF(K10="Baixo",1)+IF(K10="Moderado",2)+IF(K10="Significativo",4)+IF(K10="Alto",6)</f>
        <v>4</v>
      </c>
      <c r="M10" s="8">
        <f>IF(L10&gt;0,1,0)</f>
        <v>1</v>
      </c>
      <c r="N10" s="37" t="s">
        <v>30</v>
      </c>
      <c r="O10" s="38">
        <f t="shared" ref="O10" si="4">IF(N10="N.A.",0)+IF(N10="Baixo",1)+IF(N10="Moderado",2)+IF(N10="Significativo",4)+IF(N10="Alto",6)</f>
        <v>4</v>
      </c>
      <c r="P10" s="38">
        <f t="shared" ref="P10" si="5">IF(O10&gt;0,1,0)</f>
        <v>1</v>
      </c>
      <c r="Q10" s="37" t="s">
        <v>30</v>
      </c>
      <c r="R10" s="38">
        <f t="shared" ref="R10:R31" si="6">IF(Q10="N.A.",0)+IF(Q10="Baixo",1)+IF(Q10="Moderado",2)+IF(Q10="Significativo",4)+IF(Q10="Alto",6)</f>
        <v>4</v>
      </c>
      <c r="S10" s="38">
        <f t="shared" ref="S10:S17" si="7">IF(R10&gt;0,1,0)</f>
        <v>1</v>
      </c>
      <c r="T10" s="117">
        <f>SUM(G10,J10,M10,P10,S10)</f>
        <v>5</v>
      </c>
      <c r="U10" s="117">
        <f>IFERROR(SUM(F10,I10,L10,O10,R10)/T10,0)</f>
        <v>2.8</v>
      </c>
      <c r="V10" s="14"/>
      <c r="W10" s="37" t="s">
        <v>24</v>
      </c>
      <c r="X10" s="37"/>
      <c r="Y10" s="37"/>
      <c r="Z10" s="37"/>
      <c r="AA10" s="36">
        <f>IF(W10="X",-1)+IF(X10="X",2)+IF(Y10="X",4)+IF(Z10="X",9)</f>
        <v>-1</v>
      </c>
      <c r="AB10" s="9"/>
      <c r="AC10" s="37"/>
      <c r="AD10" s="127" t="s">
        <v>24</v>
      </c>
      <c r="AE10" s="37"/>
      <c r="AF10" s="36">
        <f>IF(AC10="X",1)+IF(AD10="X",2)+IF(AE10="X",5)</f>
        <v>2</v>
      </c>
      <c r="AG10" s="9"/>
      <c r="AH10" s="37"/>
      <c r="AI10" s="37"/>
      <c r="AJ10" s="37"/>
      <c r="AK10" s="37" t="s">
        <v>24</v>
      </c>
      <c r="AL10" s="37"/>
      <c r="AM10" s="37"/>
      <c r="AN10" s="36">
        <f>IF(AH10="X",1)+IF(AI10="X",2)+IF(AJ10="X",3)+IF(AK10="X",4)+IF(AL10="X",5)+IF(AM10="X",6)</f>
        <v>4</v>
      </c>
      <c r="AO10" s="125"/>
      <c r="AP10" s="117">
        <f>AA10+AF10+AN10</f>
        <v>5</v>
      </c>
      <c r="AQ10" s="117">
        <f>(AP10+U10)/2</f>
        <v>3.9</v>
      </c>
      <c r="AR10" s="117">
        <f>IF(AS10="",0,10)</f>
        <v>10</v>
      </c>
      <c r="AS10" s="39" t="str">
        <f>IF(AX10=TRUE,"Desprezível",IF(AY10=TRUE,"Administrável",IF(AZ10=TRUE,"Indesejável",IF(BA10=TRUE,"Intolerável",""))))</f>
        <v>Administrável</v>
      </c>
      <c r="AT10" s="185"/>
      <c r="AU10" s="247" t="s">
        <v>189</v>
      </c>
      <c r="AW10" s="20" t="s">
        <v>12</v>
      </c>
      <c r="AX10" s="130" t="b">
        <f>AND(U10&gt;0,U10&lt;=2,AP10&gt;0,AP10&lt;=7)</f>
        <v>0</v>
      </c>
      <c r="AY10" s="130" t="b">
        <f>OR(AND(U10&gt;0,U10&lt;=2,AP10&gt;0,AP10&gt;7,AP10&lt;=13),AND(U10&gt;0,U10&gt;2,U10&lt;=3,AP10&gt;0,AP10&lt;=10))</f>
        <v>1</v>
      </c>
      <c r="AZ10" s="130" t="b">
        <f>OR(AND(U10&gt;0,U10&lt;=2,AP10&gt;0,AP10&gt;12,AP10&lt;=17),AND(U10&gt;0,U10&gt;2,U10&lt;=3,AP10&gt;0,AP10&gt;10,AP10&lt;=13),AND(U10&gt;0,U10&gt;3,U10&lt;=5,AP10&gt;0,AP10&lt;=10),AND(U10&gt;0,U10&gt;4,U10&lt;=6,AP10&gt;0,AP10&lt;=7))</f>
        <v>0</v>
      </c>
      <c r="BA10" s="130" t="b">
        <f>OR(AND(U10&gt;0,U10&gt;2,U10&lt;=3,AP10&gt;0,AP10&gt;14,AP10&lt;=20),AND(U10&gt;0,U10&gt;3,U10&lt;=5,AP10&gt;0,AP10&gt;10),AND(U10&gt;0,U10&gt;5,U10&lt;=6,AP10&gt;0,AP10&gt;7,AP10&lt;=20))</f>
        <v>0</v>
      </c>
      <c r="BC10" s="20" t="s">
        <v>12</v>
      </c>
    </row>
    <row r="11" spans="2:56" ht="3.75" customHeight="1" x14ac:dyDescent="0.3">
      <c r="C11" s="248"/>
      <c r="E11" s="21"/>
      <c r="F11" s="38"/>
      <c r="G11" s="38"/>
      <c r="H11" s="21"/>
      <c r="I11" s="38">
        <f t="shared" si="2"/>
        <v>0</v>
      </c>
      <c r="J11" s="38">
        <f t="shared" si="3"/>
        <v>0</v>
      </c>
      <c r="K11" s="21"/>
      <c r="L11" s="38">
        <f>IF(K11="N.A.",0)+IF(K11="Baixo",1)+IF(K11="Moderado",2)+IF(K11="Significativo",4)+IF(K11="Alto",6)</f>
        <v>0</v>
      </c>
      <c r="M11" s="10"/>
      <c r="N11" s="37"/>
      <c r="O11" s="38"/>
      <c r="P11" s="38"/>
      <c r="Q11" s="37"/>
      <c r="R11" s="38">
        <f t="shared" si="6"/>
        <v>0</v>
      </c>
      <c r="S11" s="38">
        <f t="shared" si="7"/>
        <v>0</v>
      </c>
      <c r="T11" s="117">
        <f t="shared" ref="T11:T31" si="8">SUM(G11,J11,M11,P11,S11)</f>
        <v>0</v>
      </c>
      <c r="U11" s="117">
        <f t="shared" ref="U11:U31" si="9">IFERROR(SUM(F11,I11,L11,O11,R11)/T11,0)</f>
        <v>0</v>
      </c>
      <c r="V11" s="14"/>
      <c r="W11" s="21"/>
      <c r="X11" s="21"/>
      <c r="Y11" s="21"/>
      <c r="Z11" s="21"/>
      <c r="AA11" s="10"/>
      <c r="AB11" s="9"/>
      <c r="AC11" s="21"/>
      <c r="AD11" s="21"/>
      <c r="AE11" s="37"/>
      <c r="AF11" s="36">
        <f t="shared" ref="AF11:AF32" si="10">IF(AC11="X",1)+IF(AD11="X",2)+IF(AE11="X",5)</f>
        <v>0</v>
      </c>
      <c r="AG11" s="9"/>
      <c r="AH11" s="21"/>
      <c r="AI11" s="21"/>
      <c r="AJ11" s="21"/>
      <c r="AK11" s="21"/>
      <c r="AL11" s="21"/>
      <c r="AM11" s="21"/>
      <c r="AN11" s="10"/>
      <c r="AO11" s="125"/>
      <c r="AP11" s="117"/>
      <c r="AQ11" s="117"/>
      <c r="AR11" s="117"/>
      <c r="AS11" s="194"/>
      <c r="AT11" s="190"/>
      <c r="AU11" s="195"/>
      <c r="AW11" s="20" t="s">
        <v>28</v>
      </c>
      <c r="AX11" s="130"/>
      <c r="AY11" s="130"/>
      <c r="AZ11" s="130" t="b">
        <f t="shared" ref="AZ11:AZ51" si="11">OR(AND(U11&gt;0,U11&lt;=2,AP11&gt;0,AP11&gt;12,AP11&lt;=17),AND(U11&gt;0,U11&gt;2,U11&lt;=3,AP11&gt;0,AP11&gt;10,AP11&lt;=13),AND(U11&gt;0,U11&gt;3,U11&lt;=5,AP11&gt;0,AP11&lt;=10),AND(U11&gt;0,U11&gt;4,U11&lt;=6,AP11&gt;0,AP11&lt;=7))</f>
        <v>0</v>
      </c>
      <c r="BA11" s="130" t="b">
        <f t="shared" ref="BA11:BA51" si="12">OR(AND(U11&gt;0,U11&gt;2,U11&lt;=3,AP11&gt;0,AP11&gt;14,AP11&lt;=20),AND(U11&gt;0,U11&gt;3,U11&lt;=5,AP11&gt;0,AP11&gt;10),AND(U11&gt;0,U11&gt;5,U11&lt;=6,AP11&gt;0,AP11&gt;7,AP11&lt;=20))</f>
        <v>0</v>
      </c>
      <c r="BC11" s="20" t="s">
        <v>28</v>
      </c>
    </row>
    <row r="12" spans="2:56" ht="50.25" customHeight="1" x14ac:dyDescent="0.3">
      <c r="B12" s="41" t="s">
        <v>36</v>
      </c>
      <c r="C12" s="259" t="str">
        <f>SWOT!D3</f>
        <v>Obra com controle no sistema de gestão do cliente - SIENGE</v>
      </c>
      <c r="E12" s="37" t="s">
        <v>28</v>
      </c>
      <c r="F12" s="38">
        <f t="shared" ref="F12" si="13">IF(E12="N.A.",0)+IF(E12="Baixo",1)+IF(E12="Moderado",2)+IF(E12="Significativo",4)+IF(E12="Alto",6)</f>
        <v>1</v>
      </c>
      <c r="G12" s="38">
        <f t="shared" ref="G12" si="14">IF(F12&gt;0,1,0)</f>
        <v>1</v>
      </c>
      <c r="H12" s="37" t="s">
        <v>28</v>
      </c>
      <c r="I12" s="38">
        <f t="shared" ref="I12" si="15">IF(H12="N.A.",0)+IF(H12="Baixo",1)+IF(H12="Moderado",2)+IF(H12="Significativo",4)+IF(H12="Alto",6)</f>
        <v>1</v>
      </c>
      <c r="J12" s="38">
        <f t="shared" ref="J12" si="16">IF(I12&gt;0,1,0)</f>
        <v>1</v>
      </c>
      <c r="K12" s="37" t="s">
        <v>28</v>
      </c>
      <c r="L12" s="38">
        <f>IF(K12="N.A.",0)+IF(K12="Baixo",1)+IF(K12="Moderado",2)+IF(K12="Significativo",4)+IF(K12="Alto",6)</f>
        <v>1</v>
      </c>
      <c r="M12" s="8">
        <f>IF(L12&gt;0,1,0)</f>
        <v>1</v>
      </c>
      <c r="N12" s="37" t="s">
        <v>29</v>
      </c>
      <c r="O12" s="38">
        <f t="shared" ref="O12" si="17">IF(N12="N.A.",0)+IF(N12="Baixo",1)+IF(N12="Moderado",2)+IF(N12="Significativo",4)+IF(N12="Alto",6)</f>
        <v>2</v>
      </c>
      <c r="P12" s="38">
        <f t="shared" ref="P12" si="18">IF(O12&gt;0,1,0)</f>
        <v>1</v>
      </c>
      <c r="Q12" s="37" t="s">
        <v>31</v>
      </c>
      <c r="R12" s="38">
        <f t="shared" ref="R12" si="19">IF(Q12="N.A.",0)+IF(Q12="Baixo",1)+IF(Q12="Moderado",2)+IF(Q12="Significativo",4)+IF(Q12="Alto",6)</f>
        <v>6</v>
      </c>
      <c r="S12" s="38">
        <f t="shared" ref="S12" si="20">IF(R12&gt;0,1,0)</f>
        <v>1</v>
      </c>
      <c r="T12" s="117">
        <f>SUM(G12,J12,M12,P12,S12)</f>
        <v>5</v>
      </c>
      <c r="U12" s="117">
        <f>IFERROR(SUM(F12,I12,L12,O12,R12)/T12,0)</f>
        <v>2.2000000000000002</v>
      </c>
      <c r="V12" s="14"/>
      <c r="W12" s="37"/>
      <c r="X12" s="37" t="s">
        <v>24</v>
      </c>
      <c r="Y12" s="37"/>
      <c r="Z12" s="37"/>
      <c r="AA12" s="36">
        <f>IF(W12="X",-1)+IF(X12="X",2)+IF(Y12="X",4)+IF(Z12="X",9)</f>
        <v>2</v>
      </c>
      <c r="AB12" s="9"/>
      <c r="AC12" s="37"/>
      <c r="AD12" s="127" t="s">
        <v>24</v>
      </c>
      <c r="AE12" s="37"/>
      <c r="AF12" s="36">
        <f>IF(AC12="X",1)+IF(AD12="X",2)+IF(AE12="X",5)</f>
        <v>2</v>
      </c>
      <c r="AG12" s="9"/>
      <c r="AH12" s="37"/>
      <c r="AI12" s="37"/>
      <c r="AJ12" s="37"/>
      <c r="AK12" s="37"/>
      <c r="AL12" s="37" t="s">
        <v>24</v>
      </c>
      <c r="AM12" s="37"/>
      <c r="AN12" s="36">
        <f>IF(AH12="X",1)+IF(AI12="X",2)+IF(AJ12="X",3)+IF(AK12="X",4)+IF(AL12="X",5)+IF(AM12="X",6)</f>
        <v>5</v>
      </c>
      <c r="AO12" s="125"/>
      <c r="AP12" s="117">
        <f>AA12+AF12+AN12</f>
        <v>9</v>
      </c>
      <c r="AQ12" s="117">
        <f>(AP12+U12)/2</f>
        <v>5.6</v>
      </c>
      <c r="AR12" s="117">
        <f>IF(AS12="",0,10)</f>
        <v>10</v>
      </c>
      <c r="AS12" s="39" t="str">
        <f>IF(AX12=TRUE,"Desprezível",IF(AY12=TRUE,"Administrável",IF(AZ12=TRUE,"Indesejável",IF(BA12=TRUE,"Intolerável",""))))</f>
        <v>Administrável</v>
      </c>
      <c r="AT12" s="185"/>
      <c r="AU12" s="195" t="s">
        <v>190</v>
      </c>
      <c r="AW12" s="20" t="s">
        <v>29</v>
      </c>
      <c r="AX12" s="130" t="b">
        <f t="shared" ref="AX12:AX50" si="21">AND(U12&gt;0,U12&lt;=2,AP12&gt;0,AP12&lt;=7)</f>
        <v>0</v>
      </c>
      <c r="AY12" s="130" t="b">
        <f t="shared" ref="AY12:AY50" si="22">OR(AND(U12&gt;0,U12&lt;=2,AP12&gt;0,AP12&gt;7,AP12&lt;=13),AND(U12&gt;0,U12&gt;2,U12&lt;=3,AP12&gt;0,AP12&lt;=10))</f>
        <v>1</v>
      </c>
      <c r="AZ12" s="130" t="b">
        <f t="shared" si="11"/>
        <v>0</v>
      </c>
      <c r="BA12" s="130" t="b">
        <f t="shared" si="12"/>
        <v>0</v>
      </c>
      <c r="BC12" s="20" t="s">
        <v>29</v>
      </c>
    </row>
    <row r="13" spans="2:56" ht="3.75" customHeight="1" x14ac:dyDescent="0.3">
      <c r="C13" s="248"/>
      <c r="E13" s="21"/>
      <c r="F13" s="38">
        <f t="shared" si="0"/>
        <v>0</v>
      </c>
      <c r="G13" s="38">
        <f t="shared" si="1"/>
        <v>0</v>
      </c>
      <c r="H13" s="21"/>
      <c r="I13" s="38">
        <f t="shared" si="2"/>
        <v>0</v>
      </c>
      <c r="J13" s="38">
        <f t="shared" si="3"/>
        <v>0</v>
      </c>
      <c r="K13" s="21"/>
      <c r="L13" s="38">
        <f>IF(K13="N.A.",0)+IF(K13="Baixo",1)+IF(K13="Moderado",2)+IF(K13="Significativo",4)+IF(K13="Alto",6)</f>
        <v>0</v>
      </c>
      <c r="M13" s="10"/>
      <c r="N13" s="37"/>
      <c r="O13" s="38"/>
      <c r="P13" s="38"/>
      <c r="Q13" s="37"/>
      <c r="R13" s="38">
        <f t="shared" si="6"/>
        <v>0</v>
      </c>
      <c r="S13" s="38">
        <f t="shared" si="7"/>
        <v>0</v>
      </c>
      <c r="T13" s="117">
        <f t="shared" si="8"/>
        <v>0</v>
      </c>
      <c r="U13" s="117">
        <f t="shared" si="9"/>
        <v>0</v>
      </c>
      <c r="V13" s="14"/>
      <c r="W13" s="21"/>
      <c r="X13" s="21"/>
      <c r="Y13" s="21"/>
      <c r="Z13" s="21"/>
      <c r="AA13" s="10"/>
      <c r="AB13" s="9"/>
      <c r="AC13" s="21"/>
      <c r="AD13" s="21"/>
      <c r="AE13" s="37"/>
      <c r="AF13" s="36">
        <f t="shared" si="10"/>
        <v>0</v>
      </c>
      <c r="AG13" s="9"/>
      <c r="AH13" s="21"/>
      <c r="AI13" s="21"/>
      <c r="AJ13" s="21"/>
      <c r="AK13" s="21"/>
      <c r="AL13" s="21"/>
      <c r="AM13" s="21"/>
      <c r="AN13" s="10"/>
      <c r="AO13" s="125"/>
      <c r="AP13" s="117"/>
      <c r="AQ13" s="117"/>
      <c r="AR13" s="117"/>
      <c r="AS13" s="194"/>
      <c r="AT13" s="190"/>
      <c r="AU13" s="195"/>
      <c r="AW13" s="20" t="s">
        <v>30</v>
      </c>
      <c r="AX13" s="130"/>
      <c r="AY13" s="130"/>
      <c r="AZ13" s="130" t="b">
        <f t="shared" si="11"/>
        <v>0</v>
      </c>
      <c r="BA13" s="130" t="b">
        <f t="shared" si="12"/>
        <v>0</v>
      </c>
      <c r="BC13" s="20" t="s">
        <v>30</v>
      </c>
    </row>
    <row r="14" spans="2:56" ht="51.75" customHeight="1" x14ac:dyDescent="0.3">
      <c r="B14" s="41" t="s">
        <v>37</v>
      </c>
      <c r="C14" s="259" t="str">
        <f>SWOT!D4</f>
        <v>Desorganização estrutura AG7 (monitorar atrasos NFs, etc)</v>
      </c>
      <c r="E14" s="37" t="s">
        <v>28</v>
      </c>
      <c r="F14" s="38">
        <f t="shared" si="0"/>
        <v>1</v>
      </c>
      <c r="G14" s="38">
        <f t="shared" si="1"/>
        <v>1</v>
      </c>
      <c r="H14" s="37" t="s">
        <v>28</v>
      </c>
      <c r="I14" s="38">
        <f t="shared" si="2"/>
        <v>1</v>
      </c>
      <c r="J14" s="38">
        <f t="shared" si="3"/>
        <v>1</v>
      </c>
      <c r="K14" s="37" t="s">
        <v>29</v>
      </c>
      <c r="L14" s="38">
        <f>IF(K14="N.A.",0)+IF(K14="Baixo",1)+IF(K14="Moderado",2)+IF(K14="Significativo",4)+IF(K14="Alto",6)</f>
        <v>2</v>
      </c>
      <c r="M14" s="8">
        <f>IF(L14&gt;0,1,0)</f>
        <v>1</v>
      </c>
      <c r="N14" s="37" t="s">
        <v>28</v>
      </c>
      <c r="O14" s="38">
        <f t="shared" ref="O14" si="23">IF(N14="N.A.",0)+IF(N14="Baixo",1)+IF(N14="Moderado",2)+IF(N14="Significativo",4)+IF(N14="Alto",6)</f>
        <v>1</v>
      </c>
      <c r="P14" s="38">
        <f t="shared" ref="P14" si="24">IF(O14&gt;0,1,0)</f>
        <v>1</v>
      </c>
      <c r="Q14" s="37" t="s">
        <v>28</v>
      </c>
      <c r="R14" s="38">
        <f>IF(Q14="N.A.",0)+IF(Q14="Baixo",1)+IF(Q14="Moderado",2)+IF(Q14="Significativo",4)+IF(Q14="Alto",6)</f>
        <v>1</v>
      </c>
      <c r="S14" s="38">
        <f t="shared" si="7"/>
        <v>1</v>
      </c>
      <c r="T14" s="117">
        <f t="shared" si="8"/>
        <v>5</v>
      </c>
      <c r="U14" s="117">
        <f t="shared" si="9"/>
        <v>1.2</v>
      </c>
      <c r="V14" s="14"/>
      <c r="W14" s="37"/>
      <c r="X14" s="37" t="s">
        <v>202</v>
      </c>
      <c r="Y14" s="37"/>
      <c r="Z14" s="37"/>
      <c r="AA14" s="36">
        <f>IF(W14="X",0)+IF(X14="X",2)+IF(Y14="X",4)+IF(Z14="X",9)</f>
        <v>2</v>
      </c>
      <c r="AB14" s="9"/>
      <c r="AC14" s="37"/>
      <c r="AD14" s="127" t="s">
        <v>24</v>
      </c>
      <c r="AE14" s="37"/>
      <c r="AF14" s="36">
        <f t="shared" si="10"/>
        <v>2</v>
      </c>
      <c r="AG14" s="9"/>
      <c r="AH14" s="37"/>
      <c r="AI14" s="37"/>
      <c r="AJ14" s="37"/>
      <c r="AK14" s="37"/>
      <c r="AL14" s="37" t="s">
        <v>24</v>
      </c>
      <c r="AM14" s="37"/>
      <c r="AN14" s="36">
        <f>IF(AH14="X",1)+IF(AI14="X",2)+IF(AJ14="X",3)+IF(AK14="X",4)+IF(AL14="X",5)+IF(AM14="X",6)</f>
        <v>5</v>
      </c>
      <c r="AO14" s="125"/>
      <c r="AP14" s="117">
        <f>AA14+AF14+AN14</f>
        <v>9</v>
      </c>
      <c r="AQ14" s="117">
        <f>(AP14+U14)/2</f>
        <v>5.0999999999999996</v>
      </c>
      <c r="AR14" s="117">
        <f>IF(AS14="",0,10)</f>
        <v>10</v>
      </c>
      <c r="AS14" s="39" t="str">
        <f>IF(AX14=TRUE,"Desprezível",IF(AY14=TRUE,"Administrável",IF(AZ14=TRUE,"Indesejável",IF(BA14=TRUE,"Intolerável",""))))</f>
        <v>Administrável</v>
      </c>
      <c r="AT14" s="185"/>
      <c r="AU14" s="247" t="s">
        <v>189</v>
      </c>
      <c r="AW14" s="20" t="s">
        <v>31</v>
      </c>
      <c r="AX14" s="130" t="b">
        <f t="shared" si="21"/>
        <v>0</v>
      </c>
      <c r="AY14" s="130" t="b">
        <f t="shared" si="22"/>
        <v>1</v>
      </c>
      <c r="AZ14" s="130" t="b">
        <f t="shared" si="11"/>
        <v>0</v>
      </c>
      <c r="BA14" s="130" t="b">
        <f t="shared" si="12"/>
        <v>0</v>
      </c>
      <c r="BC14" s="20" t="s">
        <v>31</v>
      </c>
      <c r="BD14" s="3"/>
    </row>
    <row r="15" spans="2:56" ht="4.5" customHeight="1" x14ac:dyDescent="0.3">
      <c r="C15" s="248"/>
      <c r="E15" s="21"/>
      <c r="F15" s="38"/>
      <c r="G15" s="38"/>
      <c r="H15" s="21"/>
      <c r="I15" s="38">
        <f t="shared" ref="I15:I19" si="25">IF(H15="N.A.",0)+IF(H15="Baixo",1)+IF(H15="Moderado",2)+IF(H15="Significativo",4)+IF(H15="Alto",6)</f>
        <v>0</v>
      </c>
      <c r="J15" s="38">
        <f t="shared" ref="J15:J19" si="26">IF(I15&gt;0,1,0)</f>
        <v>0</v>
      </c>
      <c r="K15" s="21"/>
      <c r="L15" s="38"/>
      <c r="M15" s="8"/>
      <c r="N15" s="37"/>
      <c r="O15" s="38"/>
      <c r="P15" s="38"/>
      <c r="Q15" s="37"/>
      <c r="R15" s="38">
        <f t="shared" si="6"/>
        <v>0</v>
      </c>
      <c r="S15" s="38">
        <f t="shared" si="7"/>
        <v>0</v>
      </c>
      <c r="T15" s="117">
        <f t="shared" si="8"/>
        <v>0</v>
      </c>
      <c r="U15" s="117">
        <f t="shared" si="9"/>
        <v>0</v>
      </c>
      <c r="V15" s="14"/>
      <c r="W15" s="21"/>
      <c r="X15" s="21"/>
      <c r="Y15" s="21"/>
      <c r="Z15" s="21"/>
      <c r="AA15" s="36">
        <f t="shared" ref="AA15:AA32" si="27">IF(W15="X",0)+IF(X15="X",2)+IF(Y15="X",4)+IF(Z15="X",9)</f>
        <v>0</v>
      </c>
      <c r="AB15" s="9"/>
      <c r="AC15" s="21"/>
      <c r="AD15" s="21"/>
      <c r="AE15" s="37"/>
      <c r="AF15" s="36">
        <f t="shared" si="10"/>
        <v>0</v>
      </c>
      <c r="AG15" s="9"/>
      <c r="AH15" s="21"/>
      <c r="AI15" s="21"/>
      <c r="AJ15" s="21"/>
      <c r="AK15" s="21"/>
      <c r="AL15" s="21"/>
      <c r="AM15" s="21"/>
      <c r="AN15" s="10"/>
      <c r="AO15" s="125"/>
      <c r="AP15" s="117"/>
      <c r="AQ15" s="117"/>
      <c r="AR15" s="117"/>
      <c r="AS15" s="194"/>
      <c r="AT15" s="190"/>
      <c r="AU15" s="195"/>
      <c r="AX15" s="130"/>
      <c r="AY15" s="130"/>
      <c r="AZ15" s="130" t="b">
        <f t="shared" si="11"/>
        <v>0</v>
      </c>
      <c r="BA15" s="130" t="b">
        <f t="shared" si="12"/>
        <v>0</v>
      </c>
    </row>
    <row r="16" spans="2:56" ht="66.75" customHeight="1" x14ac:dyDescent="0.3">
      <c r="B16" s="41" t="s">
        <v>38</v>
      </c>
      <c r="C16" s="312"/>
      <c r="E16" s="37"/>
      <c r="F16" s="38">
        <f t="shared" ref="F16" si="28">IF(E16="N.A.",0)+IF(E16="Baixo",1)+IF(E16="Moderado",2)+IF(E16="Significativo",4)+IF(E16="Alto",6)</f>
        <v>0</v>
      </c>
      <c r="G16" s="38">
        <f t="shared" ref="G16" si="29">IF(F16&gt;0,1,0)</f>
        <v>0</v>
      </c>
      <c r="H16" s="37"/>
      <c r="I16" s="38">
        <f t="shared" si="25"/>
        <v>0</v>
      </c>
      <c r="J16" s="38">
        <f t="shared" si="26"/>
        <v>0</v>
      </c>
      <c r="K16" s="37"/>
      <c r="L16" s="38">
        <f>IF(K16="N.A.",0)+IF(K16="Baixo",1)+IF(K16="Moderado",2)+IF(K16="Significativo",4)+IF(K16="Alto",6)</f>
        <v>0</v>
      </c>
      <c r="M16" s="8">
        <f>IF(L16&gt;0,1,0)</f>
        <v>0</v>
      </c>
      <c r="N16" s="37"/>
      <c r="O16" s="38">
        <f t="shared" ref="O16" si="30">IF(N16="N.A.",0)+IF(N16="Baixo",1)+IF(N16="Moderado",2)+IF(N16="Significativo",4)+IF(N16="Alto",6)</f>
        <v>0</v>
      </c>
      <c r="P16" s="38">
        <f t="shared" ref="P16" si="31">IF(O16&gt;0,1,0)</f>
        <v>0</v>
      </c>
      <c r="Q16" s="37"/>
      <c r="R16" s="38">
        <f>IF(Q16="N.A.",0)+IF(Q16="Baixo",1)+IF(Q16="Moderado",2)+IF(Q16="Significativo",4)+IF(Q16="Alto",6)</f>
        <v>0</v>
      </c>
      <c r="S16" s="38">
        <f t="shared" ref="S16" si="32">IF(R16&gt;0,1,0)</f>
        <v>0</v>
      </c>
      <c r="T16" s="117">
        <f t="shared" ref="T16" si="33">SUM(G16,J16,M16,P16,S16)</f>
        <v>0</v>
      </c>
      <c r="U16" s="117">
        <f t="shared" ref="U16" si="34">IFERROR(SUM(F16,I16,L16,O16,R16)/T16,0)</f>
        <v>0</v>
      </c>
      <c r="V16" s="14"/>
      <c r="W16" s="37"/>
      <c r="X16" s="37" t="s">
        <v>24</v>
      </c>
      <c r="Y16" s="37"/>
      <c r="Z16" s="37"/>
      <c r="AA16" s="36">
        <f>IF(W16="X",0)+IF(X16="X",2)+IF(Y16="X",4)+IF(Z16="X",9)</f>
        <v>2</v>
      </c>
      <c r="AB16" s="9"/>
      <c r="AC16" s="37" t="s">
        <v>24</v>
      </c>
      <c r="AD16" s="127"/>
      <c r="AE16" s="37"/>
      <c r="AF16" s="36">
        <f t="shared" ref="AF16" si="35">IF(AC16="X",1)+IF(AD16="X",2)+IF(AE16="X",5)</f>
        <v>1</v>
      </c>
      <c r="AG16" s="9"/>
      <c r="AH16" s="37"/>
      <c r="AI16" s="37"/>
      <c r="AJ16" s="37" t="s">
        <v>24</v>
      </c>
      <c r="AK16" s="37"/>
      <c r="AL16" s="37"/>
      <c r="AM16" s="37"/>
      <c r="AN16" s="36">
        <f>IF(AH16="X",1)+IF(AI16="X",2)+IF(AJ16="X",3)+IF(AK16="X",4)+IF(AL16="X",5)+IF(AM16="X",6)</f>
        <v>3</v>
      </c>
      <c r="AO16" s="125"/>
      <c r="AP16" s="117">
        <f>AA16+AF16+AN16</f>
        <v>6</v>
      </c>
      <c r="AQ16" s="117">
        <f>(AP16+U16)/2</f>
        <v>3</v>
      </c>
      <c r="AR16" s="117">
        <f>IF(AS16="",0,10)</f>
        <v>0</v>
      </c>
      <c r="AS16" s="39" t="str">
        <f>IF(AX16=TRUE,"Desprezível",IF(AY16=TRUE,"Administrável",IF(AZ16=TRUE,"Indesejável",IF(BA16=TRUE,"Intolerável",""))))</f>
        <v/>
      </c>
      <c r="AT16" s="185"/>
      <c r="AU16" s="252"/>
      <c r="AX16" s="130" t="b">
        <f t="shared" si="21"/>
        <v>0</v>
      </c>
      <c r="AY16" s="130" t="b">
        <f t="shared" si="22"/>
        <v>0</v>
      </c>
      <c r="AZ16" s="130" t="b">
        <f t="shared" si="11"/>
        <v>0</v>
      </c>
      <c r="BA16" s="130" t="b">
        <f t="shared" si="12"/>
        <v>0</v>
      </c>
      <c r="BD16" s="3"/>
    </row>
    <row r="17" spans="2:56" ht="5.25" customHeight="1" x14ac:dyDescent="0.3">
      <c r="C17" s="248"/>
      <c r="E17" s="21"/>
      <c r="F17" s="38">
        <f t="shared" ref="F17:F21" si="36">IF(E17="N.A.",0)+IF(E17="Baixo",1)+IF(E17="Moderado",2)+IF(E17="Significativo",4)+IF(E17="Alto",6)</f>
        <v>0</v>
      </c>
      <c r="G17" s="38">
        <f t="shared" ref="G17:G21" si="37">IF(F17&gt;0,1,0)</f>
        <v>0</v>
      </c>
      <c r="H17" s="21"/>
      <c r="I17" s="38">
        <f t="shared" si="25"/>
        <v>0</v>
      </c>
      <c r="J17" s="38">
        <f t="shared" si="26"/>
        <v>0</v>
      </c>
      <c r="K17" s="21"/>
      <c r="L17" s="38">
        <f t="shared" ref="L17:L21" si="38">IF(K17="N.A.",0)+IF(K17="Baixo",1)+IF(K17="Moderado",2)+IF(K17="Significativo",4)+IF(K17="Alto",6)</f>
        <v>0</v>
      </c>
      <c r="M17" s="8">
        <f t="shared" ref="M17:M21" si="39">IF(L17&gt;0,1,0)</f>
        <v>0</v>
      </c>
      <c r="N17" s="37"/>
      <c r="O17" s="38">
        <f t="shared" ref="O17:O21" si="40">IF(N17="N.A.",0)+IF(N17="Baixo",1)+IF(N17="Moderado",2)+IF(N17="Significativo",4)+IF(N17="Alto",6)</f>
        <v>0</v>
      </c>
      <c r="P17" s="38">
        <f t="shared" ref="P17:P21" si="41">IF(O17&gt;0,1,0)</f>
        <v>0</v>
      </c>
      <c r="Q17" s="37"/>
      <c r="R17" s="38">
        <f t="shared" si="6"/>
        <v>0</v>
      </c>
      <c r="S17" s="38">
        <f t="shared" si="7"/>
        <v>0</v>
      </c>
      <c r="T17" s="117">
        <f t="shared" si="8"/>
        <v>0</v>
      </c>
      <c r="U17" s="117">
        <f t="shared" si="9"/>
        <v>0</v>
      </c>
      <c r="V17" s="14"/>
      <c r="W17" s="21"/>
      <c r="X17" s="21"/>
      <c r="Y17" s="21"/>
      <c r="Z17" s="21"/>
      <c r="AA17" s="36">
        <f t="shared" si="27"/>
        <v>0</v>
      </c>
      <c r="AB17" s="9"/>
      <c r="AC17" s="21"/>
      <c r="AD17" s="21"/>
      <c r="AE17" s="37"/>
      <c r="AF17" s="36">
        <f t="shared" si="10"/>
        <v>0</v>
      </c>
      <c r="AG17" s="9"/>
      <c r="AH17" s="21"/>
      <c r="AI17" s="21"/>
      <c r="AJ17" s="21"/>
      <c r="AK17" s="21"/>
      <c r="AL17" s="21"/>
      <c r="AM17" s="21"/>
      <c r="AN17" s="10"/>
      <c r="AO17" s="125"/>
      <c r="AP17" s="117"/>
      <c r="AQ17" s="117"/>
      <c r="AR17" s="117"/>
      <c r="AS17" s="194"/>
      <c r="AT17" s="190"/>
      <c r="AU17" s="195"/>
      <c r="AX17" s="130"/>
      <c r="AY17" s="130"/>
      <c r="AZ17" s="130" t="b">
        <f t="shared" si="11"/>
        <v>0</v>
      </c>
      <c r="BA17" s="130" t="b">
        <f t="shared" si="12"/>
        <v>0</v>
      </c>
    </row>
    <row r="18" spans="2:56" ht="61.5" customHeight="1" x14ac:dyDescent="0.3">
      <c r="B18" s="41" t="s">
        <v>39</v>
      </c>
      <c r="C18" s="222"/>
      <c r="E18" s="37"/>
      <c r="F18" s="38">
        <f t="shared" si="36"/>
        <v>0</v>
      </c>
      <c r="G18" s="38">
        <f t="shared" si="37"/>
        <v>0</v>
      </c>
      <c r="H18" s="37"/>
      <c r="I18" s="38">
        <f t="shared" si="25"/>
        <v>0</v>
      </c>
      <c r="J18" s="38">
        <f t="shared" si="26"/>
        <v>0</v>
      </c>
      <c r="K18" s="37"/>
      <c r="L18" s="38">
        <f>IF(K18="N.A.",0)+IF(K18="Baixo",1)+IF(K18="Moderado",2)+IF(K18="Significativo",4)+IF(K18="Alto",6)</f>
        <v>0</v>
      </c>
      <c r="M18" s="8">
        <f>IF(L18&gt;0,1,0)</f>
        <v>0</v>
      </c>
      <c r="N18" s="37"/>
      <c r="O18" s="38">
        <f t="shared" si="40"/>
        <v>0</v>
      </c>
      <c r="P18" s="38">
        <f t="shared" si="41"/>
        <v>0</v>
      </c>
      <c r="Q18" s="37"/>
      <c r="R18" s="38">
        <f t="shared" si="6"/>
        <v>0</v>
      </c>
      <c r="S18" s="38">
        <f>IF(R18&gt;0,1,0)</f>
        <v>0</v>
      </c>
      <c r="T18" s="117">
        <f t="shared" si="8"/>
        <v>0</v>
      </c>
      <c r="U18" s="117">
        <f t="shared" si="9"/>
        <v>0</v>
      </c>
      <c r="V18" s="14"/>
      <c r="W18" s="37"/>
      <c r="X18" s="37" t="s">
        <v>24</v>
      </c>
      <c r="Y18" s="37"/>
      <c r="Z18" s="37"/>
      <c r="AA18" s="36">
        <f t="shared" si="27"/>
        <v>2</v>
      </c>
      <c r="AB18" s="9"/>
      <c r="AC18" s="37"/>
      <c r="AD18" s="127" t="s">
        <v>24</v>
      </c>
      <c r="AE18" s="37"/>
      <c r="AF18" s="36">
        <f t="shared" si="10"/>
        <v>2</v>
      </c>
      <c r="AG18" s="9"/>
      <c r="AH18" s="37" t="s">
        <v>24</v>
      </c>
      <c r="AI18" s="37"/>
      <c r="AJ18" s="37"/>
      <c r="AK18" s="37"/>
      <c r="AL18" s="37"/>
      <c r="AM18" s="37"/>
      <c r="AN18" s="36">
        <f>IF(AH18="X",1)+IF(AI18="X",2)+IF(AJ18="X",3)+IF(AK18="X",4)+IF(AL18="X",5)+IF(AM18="X",6)</f>
        <v>1</v>
      </c>
      <c r="AO18" s="125"/>
      <c r="AP18" s="117">
        <f>AA18+AF18+AN18</f>
        <v>5</v>
      </c>
      <c r="AQ18" s="117">
        <f>(AP18+U18)/2</f>
        <v>2.5</v>
      </c>
      <c r="AR18" s="117">
        <f>IF(AS18="",0,10)</f>
        <v>0</v>
      </c>
      <c r="AS18" s="39" t="str">
        <f>IF(AX18=TRUE,"Desprezível",IF(AY18=TRUE,"Administrável",IF(AZ18=TRUE,"Indesejável",IF(BA18=TRUE,"Intolerável",""))))</f>
        <v/>
      </c>
      <c r="AT18" s="185"/>
      <c r="AU18" s="252"/>
      <c r="AW18" s="3" t="s">
        <v>24</v>
      </c>
      <c r="AX18" s="130" t="b">
        <f t="shared" si="21"/>
        <v>0</v>
      </c>
      <c r="AY18" s="130" t="b">
        <f t="shared" si="22"/>
        <v>0</v>
      </c>
      <c r="AZ18" s="130" t="b">
        <f t="shared" si="11"/>
        <v>0</v>
      </c>
      <c r="BA18" s="130" t="b">
        <f t="shared" si="12"/>
        <v>0</v>
      </c>
      <c r="BC18" s="3" t="s">
        <v>24</v>
      </c>
      <c r="BD18" s="3"/>
    </row>
    <row r="19" spans="2:56" ht="4.5" customHeight="1" x14ac:dyDescent="0.3">
      <c r="C19" s="248"/>
      <c r="E19" s="21"/>
      <c r="F19" s="38">
        <f t="shared" ref="F19" si="42">IF(E19="N.A.",0)+IF(E19="Baixo",1)+IF(E19="Moderado",2)+IF(E19="Significativo",4)+IF(E19="Alto",6)</f>
        <v>0</v>
      </c>
      <c r="G19" s="38">
        <f t="shared" ref="G19" si="43">IF(F19&gt;0,1,0)</f>
        <v>0</v>
      </c>
      <c r="H19" s="21"/>
      <c r="I19" s="38">
        <f t="shared" si="25"/>
        <v>0</v>
      </c>
      <c r="J19" s="38">
        <f t="shared" si="26"/>
        <v>0</v>
      </c>
      <c r="K19" s="21"/>
      <c r="L19" s="38">
        <f>IF(K19="N.A.",0)+IF(K19="Baixo",1)+IF(K19="Moderado",2)+IF(K19="Significativo",4)+IF(K19="Alto",6)</f>
        <v>0</v>
      </c>
      <c r="M19" s="10"/>
      <c r="N19" s="37"/>
      <c r="O19" s="38"/>
      <c r="P19" s="38"/>
      <c r="Q19" s="37"/>
      <c r="R19" s="38">
        <f t="shared" si="6"/>
        <v>0</v>
      </c>
      <c r="S19" s="10"/>
      <c r="T19" s="117">
        <f t="shared" si="8"/>
        <v>0</v>
      </c>
      <c r="U19" s="117">
        <f t="shared" si="9"/>
        <v>0</v>
      </c>
      <c r="V19" s="14"/>
      <c r="W19" s="21"/>
      <c r="X19" s="21"/>
      <c r="Y19" s="21"/>
      <c r="Z19" s="21"/>
      <c r="AA19" s="36">
        <f t="shared" si="27"/>
        <v>0</v>
      </c>
      <c r="AB19" s="9"/>
      <c r="AC19" s="21"/>
      <c r="AD19" s="21"/>
      <c r="AE19" s="37"/>
      <c r="AF19" s="36">
        <f t="shared" si="10"/>
        <v>0</v>
      </c>
      <c r="AG19" s="9"/>
      <c r="AH19" s="21"/>
      <c r="AI19" s="21"/>
      <c r="AJ19" s="21"/>
      <c r="AK19" s="21"/>
      <c r="AL19" s="21"/>
      <c r="AM19" s="21"/>
      <c r="AN19" s="10"/>
      <c r="AO19" s="125"/>
      <c r="AP19" s="117"/>
      <c r="AQ19" s="117"/>
      <c r="AR19" s="117"/>
      <c r="AS19" s="194"/>
      <c r="AT19" s="190"/>
      <c r="AU19" s="195"/>
      <c r="AX19" s="130"/>
      <c r="AY19" s="130"/>
      <c r="AZ19" s="130" t="b">
        <f t="shared" si="11"/>
        <v>0</v>
      </c>
      <c r="BA19" s="130" t="b">
        <f t="shared" si="12"/>
        <v>0</v>
      </c>
    </row>
    <row r="20" spans="2:56" ht="41.25" customHeight="1" x14ac:dyDescent="0.3">
      <c r="B20" s="41" t="s">
        <v>40</v>
      </c>
      <c r="C20" s="222"/>
      <c r="E20" s="37"/>
      <c r="F20" s="38">
        <v>4</v>
      </c>
      <c r="G20" s="38">
        <v>1</v>
      </c>
      <c r="H20" s="37"/>
      <c r="I20" s="38">
        <v>2</v>
      </c>
      <c r="J20" s="38">
        <v>1</v>
      </c>
      <c r="K20" s="37"/>
      <c r="L20" s="38">
        <v>3</v>
      </c>
      <c r="M20" s="8">
        <v>1</v>
      </c>
      <c r="N20" s="37"/>
      <c r="O20" s="38">
        <f t="shared" si="40"/>
        <v>0</v>
      </c>
      <c r="P20" s="38">
        <f t="shared" si="41"/>
        <v>0</v>
      </c>
      <c r="Q20" s="37"/>
      <c r="R20" s="38">
        <f t="shared" si="6"/>
        <v>0</v>
      </c>
      <c r="S20" s="38">
        <f>IF(R20&gt;0,1,0)</f>
        <v>0</v>
      </c>
      <c r="T20" s="117">
        <f t="shared" si="8"/>
        <v>3</v>
      </c>
      <c r="U20" s="117">
        <f t="shared" si="9"/>
        <v>3</v>
      </c>
      <c r="V20" s="14"/>
      <c r="W20" s="37"/>
      <c r="X20" s="37"/>
      <c r="Y20" s="37"/>
      <c r="Z20" s="37"/>
      <c r="AA20" s="36">
        <f t="shared" si="27"/>
        <v>0</v>
      </c>
      <c r="AB20" s="9"/>
      <c r="AC20" s="37"/>
      <c r="AD20" s="127"/>
      <c r="AE20" s="37"/>
      <c r="AF20" s="36">
        <f t="shared" si="10"/>
        <v>0</v>
      </c>
      <c r="AG20" s="9"/>
      <c r="AH20" s="37"/>
      <c r="AI20" s="37"/>
      <c r="AJ20" s="37"/>
      <c r="AK20" s="37"/>
      <c r="AL20" s="37"/>
      <c r="AM20" s="37"/>
      <c r="AN20" s="36">
        <f>IF(AH20="X",1)+IF(AI20="X",2)+IF(AJ20="X",3)+IF(AK20="X",4)+IF(AL20="X",5)+IF(AM20="X",6)</f>
        <v>0</v>
      </c>
      <c r="AO20" s="125"/>
      <c r="AP20" s="117">
        <f>AA20+AF20+AN20</f>
        <v>0</v>
      </c>
      <c r="AQ20" s="117">
        <f>(AP20+U20)/2</f>
        <v>1.5</v>
      </c>
      <c r="AR20" s="117">
        <f>IF(AS20="",0,10)</f>
        <v>0</v>
      </c>
      <c r="AS20" s="39" t="str">
        <f>IF(AX20=TRUE,"Desprezível",IF(AY20=TRUE,"Administrável",IF(AZ20=TRUE,"Indesejável",IF(BA20=TRUE,"Intolerável",""))))</f>
        <v/>
      </c>
      <c r="AT20" s="185"/>
      <c r="AU20" s="247"/>
      <c r="AX20" s="130" t="b">
        <f t="shared" si="21"/>
        <v>0</v>
      </c>
      <c r="AY20" s="130" t="b">
        <f t="shared" si="22"/>
        <v>0</v>
      </c>
      <c r="AZ20" s="130" t="b">
        <f t="shared" si="11"/>
        <v>0</v>
      </c>
      <c r="BA20" s="130" t="b">
        <f t="shared" si="12"/>
        <v>0</v>
      </c>
      <c r="BD20" s="3"/>
    </row>
    <row r="21" spans="2:56" ht="3" customHeight="1" x14ac:dyDescent="0.3">
      <c r="C21" s="249"/>
      <c r="E21" s="21"/>
      <c r="F21" s="38">
        <f t="shared" si="36"/>
        <v>0</v>
      </c>
      <c r="G21" s="38">
        <f t="shared" si="37"/>
        <v>0</v>
      </c>
      <c r="H21" s="21"/>
      <c r="I21" s="38">
        <f t="shared" ref="I21:I27" si="44">IF(H21="N.A.",0)+IF(H21="Baixo",1)+IF(H21="Moderado",2)+IF(H21="Significativo",4)+IF(H21="Alto",6)</f>
        <v>0</v>
      </c>
      <c r="J21" s="38">
        <f t="shared" ref="J21:J31" si="45">IF(I21&gt;0,1,0)</f>
        <v>0</v>
      </c>
      <c r="K21" s="21"/>
      <c r="L21" s="38">
        <f t="shared" si="38"/>
        <v>0</v>
      </c>
      <c r="M21" s="8">
        <f t="shared" si="39"/>
        <v>0</v>
      </c>
      <c r="N21" s="37"/>
      <c r="O21" s="38">
        <f t="shared" si="40"/>
        <v>0</v>
      </c>
      <c r="P21" s="38">
        <f t="shared" si="41"/>
        <v>0</v>
      </c>
      <c r="Q21" s="37"/>
      <c r="R21" s="38">
        <f t="shared" si="6"/>
        <v>0</v>
      </c>
      <c r="S21" s="10"/>
      <c r="T21" s="117">
        <f t="shared" si="8"/>
        <v>0</v>
      </c>
      <c r="U21" s="117">
        <f t="shared" si="9"/>
        <v>0</v>
      </c>
      <c r="V21" s="14"/>
      <c r="W21" s="21"/>
      <c r="X21" s="21"/>
      <c r="Y21" s="21"/>
      <c r="Z21" s="21"/>
      <c r="AA21" s="36">
        <f t="shared" si="27"/>
        <v>0</v>
      </c>
      <c r="AB21" s="9"/>
      <c r="AC21" s="21"/>
      <c r="AD21" s="21"/>
      <c r="AE21" s="37"/>
      <c r="AF21" s="36">
        <f t="shared" si="10"/>
        <v>0</v>
      </c>
      <c r="AG21" s="9"/>
      <c r="AH21" s="21"/>
      <c r="AI21" s="21"/>
      <c r="AJ21" s="21"/>
      <c r="AK21" s="21"/>
      <c r="AL21" s="21"/>
      <c r="AM21" s="21"/>
      <c r="AN21" s="10"/>
      <c r="AO21" s="125"/>
      <c r="AP21" s="117"/>
      <c r="AQ21" s="117"/>
      <c r="AR21" s="117"/>
      <c r="AS21" s="194"/>
      <c r="AT21" s="190"/>
      <c r="AU21" s="195"/>
      <c r="AX21" s="130"/>
      <c r="AY21" s="130"/>
      <c r="AZ21" s="130" t="b">
        <f t="shared" si="11"/>
        <v>0</v>
      </c>
      <c r="BA21" s="130" t="b">
        <f t="shared" si="12"/>
        <v>0</v>
      </c>
    </row>
    <row r="22" spans="2:56" ht="24" customHeight="1" x14ac:dyDescent="0.3">
      <c r="B22" s="41" t="s">
        <v>41</v>
      </c>
      <c r="C22" s="222"/>
      <c r="E22" s="37"/>
      <c r="F22" s="38">
        <v>2</v>
      </c>
      <c r="G22" s="38">
        <v>1</v>
      </c>
      <c r="H22" s="37"/>
      <c r="I22" s="38">
        <v>1</v>
      </c>
      <c r="J22" s="38">
        <v>1</v>
      </c>
      <c r="K22" s="37"/>
      <c r="L22" s="38">
        <v>6</v>
      </c>
      <c r="M22" s="8">
        <v>1</v>
      </c>
      <c r="N22" s="37"/>
      <c r="O22" s="38">
        <v>1</v>
      </c>
      <c r="P22" s="38">
        <v>1</v>
      </c>
      <c r="Q22" s="37"/>
      <c r="R22" s="38">
        <v>1</v>
      </c>
      <c r="S22" s="38">
        <v>1</v>
      </c>
      <c r="T22" s="117">
        <v>5</v>
      </c>
      <c r="U22" s="117">
        <v>2.2000000000000002</v>
      </c>
      <c r="V22" s="14"/>
      <c r="W22" s="37"/>
      <c r="X22" s="37"/>
      <c r="Y22" s="37"/>
      <c r="Z22" s="37"/>
      <c r="AA22" s="36">
        <v>0</v>
      </c>
      <c r="AB22" s="9"/>
      <c r="AC22" s="37"/>
      <c r="AD22" s="127"/>
      <c r="AE22" s="37"/>
      <c r="AF22" s="36">
        <v>2</v>
      </c>
      <c r="AG22" s="9"/>
      <c r="AH22" s="37"/>
      <c r="AI22" s="37"/>
      <c r="AJ22" s="37"/>
      <c r="AK22" s="37"/>
      <c r="AL22" s="37"/>
      <c r="AM22" s="37"/>
      <c r="AN22" s="36">
        <f>IF(AH22="X",1)+IF(AI22="X",2)+IF(AJ22="X",3)+IF(AK22="X",4)+IF(AL22="X",5)+IF(AM22="X",6)</f>
        <v>0</v>
      </c>
      <c r="AO22" s="125"/>
      <c r="AP22" s="117">
        <f>AA22+AF22+AN22</f>
        <v>2</v>
      </c>
      <c r="AQ22" s="117">
        <f>(AP22+U22)/2</f>
        <v>2.1</v>
      </c>
      <c r="AR22" s="117">
        <f>IF(AS22="",0,10)</f>
        <v>10</v>
      </c>
      <c r="AS22" s="39" t="str">
        <f>IF(AX22=TRUE,"Desprezível",IF(AY22=TRUE,"Administrável",IF(AZ22=TRUE,"Indesejável",IF(BA22=TRUE,"Intolerável",""))))</f>
        <v>Administrável</v>
      </c>
      <c r="AT22" s="185"/>
      <c r="AU22" s="195"/>
      <c r="AX22" s="130" t="b">
        <f t="shared" si="21"/>
        <v>0</v>
      </c>
      <c r="AY22" s="130" t="b">
        <f t="shared" si="22"/>
        <v>1</v>
      </c>
      <c r="AZ22" s="130" t="b">
        <f t="shared" si="11"/>
        <v>0</v>
      </c>
      <c r="BA22" s="130" t="b">
        <f t="shared" si="12"/>
        <v>0</v>
      </c>
    </row>
    <row r="23" spans="2:56" ht="6" customHeight="1" x14ac:dyDescent="0.3">
      <c r="C23" s="250"/>
      <c r="E23" s="21"/>
      <c r="F23" s="38"/>
      <c r="G23" s="38"/>
      <c r="H23" s="21"/>
      <c r="I23" s="38">
        <f t="shared" si="44"/>
        <v>0</v>
      </c>
      <c r="J23" s="38">
        <f t="shared" si="45"/>
        <v>0</v>
      </c>
      <c r="K23" s="21"/>
      <c r="L23" s="38">
        <f t="shared" ref="L23:L28" si="46">IF(K23="N.A.",0)+IF(K23="Baixo",1)+IF(K23="Moderado",2)+IF(K23="Significativo",4)+IF(K23="Alto",6)</f>
        <v>0</v>
      </c>
      <c r="M23" s="10"/>
      <c r="N23" s="37"/>
      <c r="O23" s="38"/>
      <c r="P23" s="38"/>
      <c r="Q23" s="37"/>
      <c r="R23" s="38">
        <f t="shared" si="6"/>
        <v>0</v>
      </c>
      <c r="S23" s="10"/>
      <c r="T23" s="117">
        <f t="shared" si="8"/>
        <v>0</v>
      </c>
      <c r="U23" s="117">
        <f t="shared" si="9"/>
        <v>0</v>
      </c>
      <c r="V23" s="14"/>
      <c r="W23" s="21"/>
      <c r="X23" s="21"/>
      <c r="Y23" s="21"/>
      <c r="Z23" s="21"/>
      <c r="AA23" s="36">
        <f t="shared" si="27"/>
        <v>0</v>
      </c>
      <c r="AB23" s="9"/>
      <c r="AC23" s="21"/>
      <c r="AD23" s="21"/>
      <c r="AE23" s="37"/>
      <c r="AF23" s="36">
        <f t="shared" si="10"/>
        <v>0</v>
      </c>
      <c r="AG23" s="9"/>
      <c r="AH23" s="21"/>
      <c r="AI23" s="21"/>
      <c r="AJ23" s="21"/>
      <c r="AK23" s="21"/>
      <c r="AL23" s="21"/>
      <c r="AM23" s="21"/>
      <c r="AN23" s="10"/>
      <c r="AO23" s="125"/>
      <c r="AP23" s="117"/>
      <c r="AQ23" s="117"/>
      <c r="AR23" s="117"/>
      <c r="AS23" s="194"/>
      <c r="AT23" s="190"/>
      <c r="AU23" s="195"/>
      <c r="AX23" s="130"/>
      <c r="AY23" s="130"/>
      <c r="AZ23" s="130" t="b">
        <f t="shared" si="11"/>
        <v>0</v>
      </c>
      <c r="BA23" s="130" t="b">
        <f t="shared" si="12"/>
        <v>0</v>
      </c>
    </row>
    <row r="24" spans="2:56" x14ac:dyDescent="0.3">
      <c r="B24" s="41" t="s">
        <v>42</v>
      </c>
      <c r="C24" s="222"/>
      <c r="E24" s="37"/>
      <c r="F24" s="38">
        <f t="shared" ref="F24:F27" si="47">IF(E24="N.A.",0)+IF(E24="Baixo",1)+IF(E24="Moderado",2)+IF(E24="Significativo",4)+IF(E24="Alto",6)</f>
        <v>0</v>
      </c>
      <c r="G24" s="38">
        <f t="shared" ref="G24:G31" si="48">IF(F24&gt;0,1,0)</f>
        <v>0</v>
      </c>
      <c r="H24" s="37"/>
      <c r="I24" s="38">
        <f t="shared" si="44"/>
        <v>0</v>
      </c>
      <c r="J24" s="38">
        <f t="shared" si="45"/>
        <v>0</v>
      </c>
      <c r="K24" s="37"/>
      <c r="L24" s="38">
        <f t="shared" si="46"/>
        <v>0</v>
      </c>
      <c r="M24" s="8">
        <f>IF(L24&gt;0,1,0)</f>
        <v>0</v>
      </c>
      <c r="N24" s="37"/>
      <c r="O24" s="38">
        <f t="shared" ref="O24:O26" si="49">IF(N24="N.A.",0)+IF(N24="Baixo",1)+IF(N24="Moderado",2)+IF(N24="Significativo",4)+IF(N24="Alto",6)</f>
        <v>0</v>
      </c>
      <c r="P24" s="38">
        <f t="shared" ref="P24:P31" si="50">IF(O24&gt;0,1,0)</f>
        <v>0</v>
      </c>
      <c r="Q24" s="37"/>
      <c r="R24" s="38">
        <f t="shared" si="6"/>
        <v>0</v>
      </c>
      <c r="S24" s="38">
        <f>IF(R24&gt;0,1,0)</f>
        <v>0</v>
      </c>
      <c r="T24" s="117">
        <f t="shared" si="8"/>
        <v>0</v>
      </c>
      <c r="U24" s="117">
        <f t="shared" si="9"/>
        <v>0</v>
      </c>
      <c r="V24" s="14"/>
      <c r="W24" s="37"/>
      <c r="X24" s="37"/>
      <c r="Y24" s="37"/>
      <c r="Z24" s="37"/>
      <c r="AA24" s="36">
        <f t="shared" si="27"/>
        <v>0</v>
      </c>
      <c r="AB24" s="9"/>
      <c r="AC24" s="37"/>
      <c r="AD24" s="127"/>
      <c r="AE24" s="37"/>
      <c r="AF24" s="36">
        <f t="shared" si="10"/>
        <v>0</v>
      </c>
      <c r="AG24" s="9"/>
      <c r="AH24" s="37"/>
      <c r="AI24" s="37"/>
      <c r="AJ24" s="37"/>
      <c r="AK24" s="37"/>
      <c r="AL24" s="37"/>
      <c r="AM24" s="37"/>
      <c r="AN24" s="36">
        <f>IF(AH24="X",1)+IF(AI24="X",2)+IF(AJ24="X",3)+IF(AK24="X",4)+IF(AL24="X",5)+IF(AM24="X",6)</f>
        <v>0</v>
      </c>
      <c r="AO24" s="125"/>
      <c r="AP24" s="117">
        <f>AA24+AF24+AN24</f>
        <v>0</v>
      </c>
      <c r="AQ24" s="117">
        <f>(AP24+U24)/2</f>
        <v>0</v>
      </c>
      <c r="AR24" s="117">
        <f>IF(AS24="",0,10)</f>
        <v>0</v>
      </c>
      <c r="AS24" s="39" t="str">
        <f>IF(AX24=TRUE,"Desprezível",IF(AY24=TRUE,"Administrável",IF(AZ24=TRUE,"Indesejável",IF(BA24=TRUE,"Intolerável",""))))</f>
        <v/>
      </c>
      <c r="AT24" s="185"/>
      <c r="AU24" s="195"/>
      <c r="AX24" s="130" t="b">
        <f t="shared" si="21"/>
        <v>0</v>
      </c>
      <c r="AY24" s="130" t="b">
        <f t="shared" si="22"/>
        <v>0</v>
      </c>
      <c r="AZ24" s="130" t="b">
        <f t="shared" si="11"/>
        <v>0</v>
      </c>
      <c r="BA24" s="130" t="b">
        <f t="shared" si="12"/>
        <v>0</v>
      </c>
    </row>
    <row r="25" spans="2:56" ht="3.75" customHeight="1" x14ac:dyDescent="0.3">
      <c r="C25" s="250"/>
      <c r="E25" s="21"/>
      <c r="F25" s="38"/>
      <c r="G25" s="38"/>
      <c r="H25" s="21"/>
      <c r="I25" s="38">
        <f t="shared" si="44"/>
        <v>0</v>
      </c>
      <c r="J25" s="38">
        <f t="shared" si="45"/>
        <v>0</v>
      </c>
      <c r="K25" s="21"/>
      <c r="L25" s="38">
        <f t="shared" si="46"/>
        <v>0</v>
      </c>
      <c r="M25" s="10"/>
      <c r="N25" s="37"/>
      <c r="O25" s="38"/>
      <c r="P25" s="38"/>
      <c r="Q25" s="37"/>
      <c r="R25" s="38">
        <f t="shared" si="6"/>
        <v>0</v>
      </c>
      <c r="S25" s="10"/>
      <c r="T25" s="117">
        <f t="shared" si="8"/>
        <v>0</v>
      </c>
      <c r="U25" s="117">
        <f t="shared" si="9"/>
        <v>0</v>
      </c>
      <c r="V25" s="14"/>
      <c r="W25" s="21"/>
      <c r="X25" s="21"/>
      <c r="Y25" s="21"/>
      <c r="Z25" s="21"/>
      <c r="AA25" s="36">
        <f t="shared" si="27"/>
        <v>0</v>
      </c>
      <c r="AB25" s="9"/>
      <c r="AC25" s="21"/>
      <c r="AD25" s="21"/>
      <c r="AE25" s="37"/>
      <c r="AF25" s="36">
        <f t="shared" si="10"/>
        <v>0</v>
      </c>
      <c r="AG25" s="9"/>
      <c r="AH25" s="21"/>
      <c r="AI25" s="21"/>
      <c r="AJ25" s="21"/>
      <c r="AK25" s="21"/>
      <c r="AL25" s="21"/>
      <c r="AM25" s="21"/>
      <c r="AN25" s="10"/>
      <c r="AO25" s="125"/>
      <c r="AP25" s="117"/>
      <c r="AQ25" s="117"/>
      <c r="AR25" s="117"/>
      <c r="AS25" s="194"/>
      <c r="AT25" s="190"/>
      <c r="AU25" s="195"/>
      <c r="AX25" s="130"/>
      <c r="AY25" s="130"/>
      <c r="AZ25" s="130" t="b">
        <f t="shared" si="11"/>
        <v>0</v>
      </c>
      <c r="BA25" s="130" t="b">
        <f t="shared" si="12"/>
        <v>0</v>
      </c>
    </row>
    <row r="26" spans="2:56" x14ac:dyDescent="0.3">
      <c r="B26" s="41" t="s">
        <v>43</v>
      </c>
      <c r="C26" s="222"/>
      <c r="E26" s="37"/>
      <c r="F26" s="38">
        <f t="shared" si="47"/>
        <v>0</v>
      </c>
      <c r="G26" s="38">
        <f t="shared" si="48"/>
        <v>0</v>
      </c>
      <c r="H26" s="37"/>
      <c r="I26" s="38">
        <f t="shared" si="44"/>
        <v>0</v>
      </c>
      <c r="J26" s="38">
        <f t="shared" si="45"/>
        <v>0</v>
      </c>
      <c r="K26" s="37"/>
      <c r="L26" s="38">
        <f t="shared" si="46"/>
        <v>0</v>
      </c>
      <c r="M26" s="8">
        <f>IF(L26&gt;0,1,0)</f>
        <v>0</v>
      </c>
      <c r="N26" s="37"/>
      <c r="O26" s="38">
        <f t="shared" si="49"/>
        <v>0</v>
      </c>
      <c r="P26" s="38">
        <f t="shared" si="50"/>
        <v>0</v>
      </c>
      <c r="Q26" s="37"/>
      <c r="R26" s="38">
        <f t="shared" si="6"/>
        <v>0</v>
      </c>
      <c r="S26" s="38">
        <f>IF(R26&gt;0,1,0)</f>
        <v>0</v>
      </c>
      <c r="T26" s="117">
        <f t="shared" si="8"/>
        <v>0</v>
      </c>
      <c r="U26" s="117">
        <f t="shared" si="9"/>
        <v>0</v>
      </c>
      <c r="V26" s="14"/>
      <c r="W26" s="37"/>
      <c r="X26" s="37"/>
      <c r="Y26" s="37"/>
      <c r="Z26" s="37"/>
      <c r="AA26" s="36">
        <f t="shared" si="27"/>
        <v>0</v>
      </c>
      <c r="AB26" s="9"/>
      <c r="AC26" s="127"/>
      <c r="AD26" s="127"/>
      <c r="AE26" s="37"/>
      <c r="AF26" s="36">
        <f t="shared" si="10"/>
        <v>0</v>
      </c>
      <c r="AG26" s="9"/>
      <c r="AH26" s="37"/>
      <c r="AI26" s="37"/>
      <c r="AJ26" s="37"/>
      <c r="AK26" s="37"/>
      <c r="AL26" s="37"/>
      <c r="AM26" s="37"/>
      <c r="AN26" s="36">
        <f>IF(AH26="X",1)+IF(AI26="X",2)+IF(AJ26="X",3)+IF(AK26="X",4)+IF(AL26="X",5)+IF(AM26="X",6)</f>
        <v>0</v>
      </c>
      <c r="AO26" s="125"/>
      <c r="AP26" s="117">
        <f>AA26+AF26+AN26</f>
        <v>0</v>
      </c>
      <c r="AQ26" s="117">
        <f>(AP26+U26)/2</f>
        <v>0</v>
      </c>
      <c r="AR26" s="117">
        <f>IF(AS26="",0,10)</f>
        <v>0</v>
      </c>
      <c r="AS26" s="39" t="str">
        <f>IF(AX26=TRUE,"Desprezível",IF(AY26=TRUE,"Administrável",IF(AZ26=TRUE,"Indesejável",IF(BA26=TRUE,"Intolerável",""))))</f>
        <v/>
      </c>
      <c r="AT26" s="185"/>
      <c r="AU26" s="195"/>
      <c r="AX26" s="130" t="b">
        <f t="shared" si="21"/>
        <v>0</v>
      </c>
      <c r="AY26" s="130" t="b">
        <f t="shared" si="22"/>
        <v>0</v>
      </c>
      <c r="AZ26" s="130" t="b">
        <f t="shared" si="11"/>
        <v>0</v>
      </c>
      <c r="BA26" s="130" t="b">
        <f t="shared" si="12"/>
        <v>0</v>
      </c>
    </row>
    <row r="27" spans="2:56" ht="3" customHeight="1" x14ac:dyDescent="0.3">
      <c r="C27" s="250"/>
      <c r="E27" s="21"/>
      <c r="F27" s="38">
        <f t="shared" si="47"/>
        <v>0</v>
      </c>
      <c r="G27" s="38">
        <f t="shared" si="48"/>
        <v>0</v>
      </c>
      <c r="H27" s="21"/>
      <c r="I27" s="38">
        <f t="shared" si="44"/>
        <v>0</v>
      </c>
      <c r="J27" s="38">
        <f t="shared" si="45"/>
        <v>0</v>
      </c>
      <c r="K27" s="21"/>
      <c r="L27" s="38">
        <f t="shared" si="46"/>
        <v>0</v>
      </c>
      <c r="M27" s="10"/>
      <c r="N27" s="37"/>
      <c r="O27" s="38"/>
      <c r="P27" s="38"/>
      <c r="Q27" s="37"/>
      <c r="R27" s="38">
        <f t="shared" si="6"/>
        <v>0</v>
      </c>
      <c r="S27" s="10"/>
      <c r="T27" s="117">
        <f t="shared" si="8"/>
        <v>0</v>
      </c>
      <c r="U27" s="117">
        <f t="shared" si="9"/>
        <v>0</v>
      </c>
      <c r="V27" s="14"/>
      <c r="W27" s="21"/>
      <c r="X27" s="21"/>
      <c r="Y27" s="21"/>
      <c r="Z27" s="21"/>
      <c r="AA27" s="36">
        <f t="shared" si="27"/>
        <v>0</v>
      </c>
      <c r="AB27" s="9"/>
      <c r="AC27" s="21"/>
      <c r="AD27" s="21"/>
      <c r="AE27" s="37"/>
      <c r="AF27" s="36">
        <f t="shared" si="10"/>
        <v>0</v>
      </c>
      <c r="AG27" s="9"/>
      <c r="AH27" s="21"/>
      <c r="AI27" s="21"/>
      <c r="AJ27" s="21"/>
      <c r="AK27" s="21"/>
      <c r="AL27" s="21"/>
      <c r="AM27" s="21"/>
      <c r="AN27" s="10"/>
      <c r="AO27" s="125"/>
      <c r="AP27" s="117"/>
      <c r="AQ27" s="117"/>
      <c r="AR27" s="117"/>
      <c r="AS27" s="194"/>
      <c r="AT27" s="190"/>
      <c r="AU27" s="195"/>
      <c r="AX27" s="130"/>
      <c r="AY27" s="130"/>
      <c r="AZ27" s="130" t="b">
        <f t="shared" si="11"/>
        <v>0</v>
      </c>
      <c r="BA27" s="130" t="b">
        <f t="shared" si="12"/>
        <v>0</v>
      </c>
    </row>
    <row r="28" spans="2:56" x14ac:dyDescent="0.3">
      <c r="B28" s="41" t="s">
        <v>44</v>
      </c>
      <c r="C28" s="222"/>
      <c r="E28" s="37"/>
      <c r="F28" s="38">
        <f>IF(E28="N.A.",0)+IF(E28="Baixo",1)+IF(E28="Moderado",2)+IF(E28="Significativo",4)+IF(E28="Alto",6)</f>
        <v>0</v>
      </c>
      <c r="G28" s="38">
        <f t="shared" si="48"/>
        <v>0</v>
      </c>
      <c r="H28" s="37"/>
      <c r="I28" s="38">
        <f>IF(H28="N.A.",0)+IF(H28="Baixo",1)+IF(H28="Moderado",2)+IF(H28="Significativo",4)+IF(H28="Alto",6)</f>
        <v>0</v>
      </c>
      <c r="J28" s="38">
        <f t="shared" si="45"/>
        <v>0</v>
      </c>
      <c r="K28" s="37"/>
      <c r="L28" s="38">
        <f t="shared" si="46"/>
        <v>0</v>
      </c>
      <c r="M28" s="8">
        <f>IF(L28&gt;0,1,0)</f>
        <v>0</v>
      </c>
      <c r="N28" s="37"/>
      <c r="O28" s="38">
        <f>IF(N28="N.A.",0)+IF(N28="Baixo",1)+IF(N28="Moderado",2)+IF(N28="Significativo",4)+IF(N28="Alto",6)</f>
        <v>0</v>
      </c>
      <c r="P28" s="38">
        <f t="shared" si="50"/>
        <v>0</v>
      </c>
      <c r="Q28" s="37"/>
      <c r="R28" s="38">
        <f t="shared" si="6"/>
        <v>0</v>
      </c>
      <c r="S28" s="38">
        <f>IF(R28&gt;0,1,0)</f>
        <v>0</v>
      </c>
      <c r="T28" s="117">
        <f t="shared" si="8"/>
        <v>0</v>
      </c>
      <c r="U28" s="117">
        <f t="shared" si="9"/>
        <v>0</v>
      </c>
      <c r="V28" s="14"/>
      <c r="W28" s="37"/>
      <c r="X28" s="37"/>
      <c r="Y28" s="37"/>
      <c r="Z28" s="37"/>
      <c r="AA28" s="36">
        <f t="shared" si="27"/>
        <v>0</v>
      </c>
      <c r="AB28" s="9"/>
      <c r="AC28" s="37"/>
      <c r="AD28" s="127"/>
      <c r="AE28" s="37"/>
      <c r="AF28" s="36">
        <f t="shared" si="10"/>
        <v>0</v>
      </c>
      <c r="AG28" s="9"/>
      <c r="AH28" s="37"/>
      <c r="AI28" s="37"/>
      <c r="AJ28" s="37"/>
      <c r="AK28" s="37"/>
      <c r="AL28" s="37"/>
      <c r="AM28" s="37"/>
      <c r="AN28" s="36">
        <f>IF(AH28="X",1)+IF(AI28="X",2)+IF(AJ28="X",3)+IF(AK28="X",4)+IF(AL28="X",5)+IF(AM28="X",6)</f>
        <v>0</v>
      </c>
      <c r="AO28" s="125"/>
      <c r="AP28" s="117">
        <f>AA28+AF28+AN28</f>
        <v>0</v>
      </c>
      <c r="AQ28" s="117">
        <f>(AP28+U28)/2</f>
        <v>0</v>
      </c>
      <c r="AR28" s="117">
        <f>IF(AS28="",0,10)</f>
        <v>0</v>
      </c>
      <c r="AS28" s="39" t="str">
        <f>IF(AX28=TRUE,"Desprezível",IF(AY28=TRUE,"Administrável",IF(AZ28=TRUE,"Indesejável",IF(BA28=TRUE,"Intolerável",""))))</f>
        <v/>
      </c>
      <c r="AT28" s="185"/>
      <c r="AU28" s="195"/>
      <c r="AX28" s="130" t="b">
        <f t="shared" si="21"/>
        <v>0</v>
      </c>
      <c r="AY28" s="130" t="b">
        <f t="shared" si="22"/>
        <v>0</v>
      </c>
      <c r="AZ28" s="130" t="b">
        <f t="shared" si="11"/>
        <v>0</v>
      </c>
      <c r="BA28" s="130" t="b">
        <f t="shared" si="12"/>
        <v>0</v>
      </c>
    </row>
    <row r="29" spans="2:56" ht="3" customHeight="1" x14ac:dyDescent="0.3">
      <c r="C29" s="250"/>
      <c r="E29" s="21"/>
      <c r="F29" s="38">
        <f t="shared" ref="F29:F31" si="51">IF(E29="N.A.",0)+IF(E29="Baixo",1)+IF(E29="Moderado",2)+IF(E29="Significativo",4)+IF(E29="Alto",6)</f>
        <v>0</v>
      </c>
      <c r="G29" s="38">
        <f t="shared" si="48"/>
        <v>0</v>
      </c>
      <c r="H29" s="21"/>
      <c r="I29" s="38">
        <f t="shared" ref="I29:I31" si="52">IF(H29="N.A.",0)+IF(H29="Baixo",1)+IF(H29="Moderado",2)+IF(H29="Significativo",4)+IF(H29="Alto",6)</f>
        <v>0</v>
      </c>
      <c r="J29" s="38">
        <f t="shared" si="45"/>
        <v>0</v>
      </c>
      <c r="K29" s="21"/>
      <c r="L29" s="38">
        <f t="shared" ref="L29:L31" si="53">IF(K29="N.A.",0)+IF(K29="Baixo",1)+IF(K29="Moderado",2)+IF(K29="Significativo",4)+IF(K29="Alto",6)</f>
        <v>0</v>
      </c>
      <c r="M29" s="8">
        <f t="shared" ref="M29:M31" si="54">IF(L29&gt;0,1,0)</f>
        <v>0</v>
      </c>
      <c r="N29" s="37"/>
      <c r="O29" s="38">
        <f t="shared" ref="O29:O31" si="55">IF(N29="N.A.",0)+IF(N29="Baixo",1)+IF(N29="Moderado",2)+IF(N29="Significativo",4)+IF(N29="Alto",6)</f>
        <v>0</v>
      </c>
      <c r="P29" s="38">
        <f t="shared" si="50"/>
        <v>0</v>
      </c>
      <c r="Q29" s="37"/>
      <c r="R29" s="38">
        <f t="shared" si="6"/>
        <v>0</v>
      </c>
      <c r="S29" s="10"/>
      <c r="T29" s="117">
        <f t="shared" si="8"/>
        <v>0</v>
      </c>
      <c r="U29" s="117">
        <f t="shared" si="9"/>
        <v>0</v>
      </c>
      <c r="V29" s="14"/>
      <c r="W29" s="21"/>
      <c r="X29" s="21"/>
      <c r="Y29" s="21"/>
      <c r="Z29" s="21"/>
      <c r="AA29" s="36">
        <f t="shared" si="27"/>
        <v>0</v>
      </c>
      <c r="AB29" s="9"/>
      <c r="AC29" s="21"/>
      <c r="AD29" s="21"/>
      <c r="AE29" s="37"/>
      <c r="AF29" s="36">
        <f t="shared" si="10"/>
        <v>0</v>
      </c>
      <c r="AG29" s="9"/>
      <c r="AH29" s="21"/>
      <c r="AI29" s="21"/>
      <c r="AJ29" s="21"/>
      <c r="AK29" s="21"/>
      <c r="AL29" s="21"/>
      <c r="AM29" s="21"/>
      <c r="AN29" s="10"/>
      <c r="AO29" s="125"/>
      <c r="AP29" s="117"/>
      <c r="AQ29" s="117"/>
      <c r="AR29" s="117"/>
      <c r="AS29" s="194"/>
      <c r="AT29" s="190"/>
      <c r="AU29" s="195"/>
      <c r="AX29" s="130"/>
      <c r="AY29" s="130"/>
      <c r="AZ29" s="130" t="b">
        <f t="shared" si="11"/>
        <v>0</v>
      </c>
      <c r="BA29" s="130" t="b">
        <f t="shared" si="12"/>
        <v>0</v>
      </c>
    </row>
    <row r="30" spans="2:56" x14ac:dyDescent="0.3">
      <c r="B30" s="41" t="s">
        <v>47</v>
      </c>
      <c r="C30" s="222"/>
      <c r="E30" s="37"/>
      <c r="F30" s="38">
        <f t="shared" si="51"/>
        <v>0</v>
      </c>
      <c r="G30" s="38">
        <f t="shared" si="48"/>
        <v>0</v>
      </c>
      <c r="H30" s="37"/>
      <c r="I30" s="38">
        <f t="shared" si="52"/>
        <v>0</v>
      </c>
      <c r="J30" s="38">
        <f t="shared" si="45"/>
        <v>0</v>
      </c>
      <c r="K30" s="37"/>
      <c r="L30" s="38">
        <f t="shared" si="53"/>
        <v>0</v>
      </c>
      <c r="M30" s="8">
        <f t="shared" si="54"/>
        <v>0</v>
      </c>
      <c r="N30" s="37"/>
      <c r="O30" s="38">
        <f t="shared" si="55"/>
        <v>0</v>
      </c>
      <c r="P30" s="38">
        <f t="shared" si="50"/>
        <v>0</v>
      </c>
      <c r="Q30" s="37"/>
      <c r="R30" s="38">
        <f t="shared" si="6"/>
        <v>0</v>
      </c>
      <c r="S30" s="38">
        <f>IF(R30&gt;0,1,0)</f>
        <v>0</v>
      </c>
      <c r="T30" s="117">
        <f t="shared" si="8"/>
        <v>0</v>
      </c>
      <c r="U30" s="117">
        <f t="shared" si="9"/>
        <v>0</v>
      </c>
      <c r="V30" s="14"/>
      <c r="W30" s="37"/>
      <c r="X30" s="37"/>
      <c r="Y30" s="37"/>
      <c r="Z30" s="37"/>
      <c r="AA30" s="36">
        <f t="shared" si="27"/>
        <v>0</v>
      </c>
      <c r="AB30" s="9"/>
      <c r="AC30" s="37"/>
      <c r="AD30" s="127"/>
      <c r="AE30" s="37"/>
      <c r="AF30" s="36">
        <f t="shared" si="10"/>
        <v>0</v>
      </c>
      <c r="AG30" s="9"/>
      <c r="AH30" s="37"/>
      <c r="AI30" s="37"/>
      <c r="AJ30" s="37"/>
      <c r="AK30" s="37"/>
      <c r="AL30" s="37"/>
      <c r="AM30" s="37"/>
      <c r="AN30" s="36">
        <f>IF(AH30="X",1)+IF(AI30="X",2)+IF(AJ30="X",3)+IF(AK30="X",4)+IF(AL30="X",5)+IF(AM30="X",6)</f>
        <v>0</v>
      </c>
      <c r="AO30" s="125"/>
      <c r="AP30" s="117">
        <f>AA30+AF30+AN30</f>
        <v>0</v>
      </c>
      <c r="AQ30" s="117">
        <f>(AP30+U30)/2</f>
        <v>0</v>
      </c>
      <c r="AR30" s="117">
        <f>IF(AS30="",0,10)</f>
        <v>0</v>
      </c>
      <c r="AS30" s="39" t="str">
        <f>IF(AX30=TRUE,"Desprezível",IF(AY30=TRUE,"Administrável",IF(AZ30=TRUE,"Indesejável",IF(BA30=TRUE,"Intolerável",""))))</f>
        <v/>
      </c>
      <c r="AT30" s="185"/>
      <c r="AU30" s="195"/>
      <c r="AX30" s="130" t="b">
        <f t="shared" si="21"/>
        <v>0</v>
      </c>
      <c r="AY30" s="130" t="b">
        <f t="shared" si="22"/>
        <v>0</v>
      </c>
      <c r="AZ30" s="130" t="b">
        <f t="shared" si="11"/>
        <v>0</v>
      </c>
      <c r="BA30" s="130" t="b">
        <f t="shared" si="12"/>
        <v>0</v>
      </c>
    </row>
    <row r="31" spans="2:56" ht="3" customHeight="1" x14ac:dyDescent="0.3">
      <c r="C31" s="251"/>
      <c r="E31" s="21"/>
      <c r="F31" s="38">
        <f t="shared" si="51"/>
        <v>0</v>
      </c>
      <c r="G31" s="38">
        <f t="shared" si="48"/>
        <v>0</v>
      </c>
      <c r="H31" s="21"/>
      <c r="I31" s="38">
        <f t="shared" si="52"/>
        <v>0</v>
      </c>
      <c r="J31" s="38">
        <f t="shared" si="45"/>
        <v>0</v>
      </c>
      <c r="K31" s="21"/>
      <c r="L31" s="38">
        <f t="shared" si="53"/>
        <v>0</v>
      </c>
      <c r="M31" s="8">
        <f t="shared" si="54"/>
        <v>0</v>
      </c>
      <c r="N31" s="37"/>
      <c r="O31" s="38">
        <f t="shared" si="55"/>
        <v>0</v>
      </c>
      <c r="P31" s="38">
        <f t="shared" si="50"/>
        <v>0</v>
      </c>
      <c r="Q31" s="37"/>
      <c r="R31" s="38">
        <f t="shared" si="6"/>
        <v>0</v>
      </c>
      <c r="S31" s="10"/>
      <c r="T31" s="117">
        <f t="shared" si="8"/>
        <v>0</v>
      </c>
      <c r="U31" s="117">
        <f t="shared" si="9"/>
        <v>0</v>
      </c>
      <c r="V31" s="14"/>
      <c r="W31" s="21"/>
      <c r="X31" s="21"/>
      <c r="Y31" s="21"/>
      <c r="Z31" s="21"/>
      <c r="AA31" s="36">
        <f t="shared" si="27"/>
        <v>0</v>
      </c>
      <c r="AB31" s="9"/>
      <c r="AC31" s="21"/>
      <c r="AD31" s="21"/>
      <c r="AE31" s="37"/>
      <c r="AF31" s="36">
        <f t="shared" si="10"/>
        <v>0</v>
      </c>
      <c r="AG31" s="9"/>
      <c r="AH31" s="21"/>
      <c r="AI31" s="21"/>
      <c r="AJ31" s="21"/>
      <c r="AK31" s="21"/>
      <c r="AL31" s="21"/>
      <c r="AM31" s="21"/>
      <c r="AN31" s="10"/>
      <c r="AO31" s="125"/>
      <c r="AP31" s="117"/>
      <c r="AQ31" s="117"/>
      <c r="AR31" s="117"/>
      <c r="AS31" s="194"/>
      <c r="AT31" s="190"/>
      <c r="AU31" s="195"/>
      <c r="AX31" s="130"/>
      <c r="AY31" s="130"/>
      <c r="AZ31" s="130" t="b">
        <f t="shared" si="11"/>
        <v>0</v>
      </c>
      <c r="BA31" s="130" t="b">
        <f t="shared" si="12"/>
        <v>0</v>
      </c>
    </row>
    <row r="32" spans="2:56" x14ac:dyDescent="0.3">
      <c r="B32" s="41" t="s">
        <v>48</v>
      </c>
      <c r="C32" s="222"/>
      <c r="E32" s="37"/>
      <c r="F32" s="38">
        <f t="shared" ref="F32" si="56">IF(E32="N.A.",0)+IF(E32="Baixo",1)+IF(E32="Moderado",2)+IF(E32="Significativo",4)+IF(E32="Alto",6)</f>
        <v>0</v>
      </c>
      <c r="G32" s="38">
        <f t="shared" ref="G32" si="57">IF(F32&gt;0,1,0)</f>
        <v>0</v>
      </c>
      <c r="H32" s="37"/>
      <c r="I32" s="38">
        <f t="shared" ref="I32" si="58">IF(H32="N.A.",0)+IF(H32="Baixo",1)+IF(H32="Moderado",2)+IF(H32="Significativo",4)+IF(H32="Alto",6)</f>
        <v>0</v>
      </c>
      <c r="J32" s="38">
        <f t="shared" ref="J32" si="59">IF(I32&gt;0,1,0)</f>
        <v>0</v>
      </c>
      <c r="K32" s="37"/>
      <c r="L32" s="38">
        <f t="shared" ref="L32" si="60">IF(K32="N.A.",0)+IF(K32="Baixo",1)+IF(K32="Moderado",2)+IF(K32="Significativo",4)+IF(K32="Alto",6)</f>
        <v>0</v>
      </c>
      <c r="M32" s="8">
        <f t="shared" ref="M32" si="61">IF(L32&gt;0,1,0)</f>
        <v>0</v>
      </c>
      <c r="N32" s="37"/>
      <c r="O32" s="38">
        <f t="shared" ref="O32" si="62">IF(N32="N.A.",0)+IF(N32="Baixo",1)+IF(N32="Moderado",2)+IF(N32="Significativo",4)+IF(N32="Alto",6)</f>
        <v>0</v>
      </c>
      <c r="P32" s="38">
        <f t="shared" ref="P32" si="63">IF(O32&gt;0,1,0)</f>
        <v>0</v>
      </c>
      <c r="Q32" s="37"/>
      <c r="R32" s="38">
        <f t="shared" ref="R32" si="64">IF(Q32="N.A.",0)+IF(Q32="Baixo",1)+IF(Q32="Moderado",2)+IF(Q32="Significativo",4)+IF(Q32="Alto",6)</f>
        <v>0</v>
      </c>
      <c r="S32" s="38">
        <f>IF(R32&gt;0,1,0)</f>
        <v>0</v>
      </c>
      <c r="T32" s="117">
        <f t="shared" ref="T32" si="65">SUM(G32,J32,M32,P32,S32)</f>
        <v>0</v>
      </c>
      <c r="U32" s="117">
        <f t="shared" ref="U32" si="66">IFERROR(SUM(F32,I32,L32,O32,R32)/T32,0)</f>
        <v>0</v>
      </c>
      <c r="V32" s="14"/>
      <c r="W32" s="37"/>
      <c r="X32" s="37"/>
      <c r="Y32" s="37"/>
      <c r="Z32" s="37"/>
      <c r="AA32" s="36">
        <f t="shared" si="27"/>
        <v>0</v>
      </c>
      <c r="AB32" s="9"/>
      <c r="AC32" s="37"/>
      <c r="AD32" s="37"/>
      <c r="AE32" s="37"/>
      <c r="AF32" s="36">
        <f t="shared" si="10"/>
        <v>0</v>
      </c>
      <c r="AG32" s="9"/>
      <c r="AH32" s="37"/>
      <c r="AI32" s="37"/>
      <c r="AJ32" s="37"/>
      <c r="AK32" s="37"/>
      <c r="AL32" s="37"/>
      <c r="AM32" s="37"/>
      <c r="AN32" s="36">
        <f>IF(AH32="X",1)+IF(AI32="X",2)+IF(AJ32="X",3)+IF(AK32="X",4)+IF(AL32="X",5)+IF(AM32="X",6)</f>
        <v>0</v>
      </c>
      <c r="AO32" s="125"/>
      <c r="AP32" s="117">
        <f>AA32+AF32+AN32</f>
        <v>0</v>
      </c>
      <c r="AQ32" s="117">
        <f>(AP32+U32)/2</f>
        <v>0</v>
      </c>
      <c r="AR32" s="117">
        <f>IF(AS32="",0,10)</f>
        <v>0</v>
      </c>
      <c r="AS32" s="39" t="str">
        <f>IF(AX32=TRUE,"Desprezível",IF(AY32=TRUE,"Administrável",IF(AZ32=TRUE,"Indesejável",IF(BA32=TRUE,"Intolerável",""))))</f>
        <v/>
      </c>
      <c r="AT32" s="185"/>
      <c r="AU32" s="195"/>
      <c r="AX32" s="130" t="b">
        <f t="shared" ref="AX32" si="67">AND(U32&gt;0,U32&lt;=2,AP32&gt;0,AP32&lt;=7)</f>
        <v>0</v>
      </c>
      <c r="AY32" s="130" t="b">
        <f t="shared" ref="AY32" si="68">OR(AND(U32&gt;0,U32&lt;=2,AP32&gt;0,AP32&gt;7,AP32&lt;=13),AND(U32&gt;0,U32&gt;2,U32&lt;=3,AP32&gt;0,AP32&lt;=10))</f>
        <v>0</v>
      </c>
      <c r="AZ32" s="130" t="b">
        <f t="shared" ref="AZ32" si="69">OR(AND(U32&gt;0,U32&lt;=2,AP32&gt;0,AP32&gt;12,AP32&lt;=17),AND(U32&gt;0,U32&gt;2,U32&lt;=3,AP32&gt;0,AP32&gt;10,AP32&lt;=13),AND(U32&gt;0,U32&gt;3,U32&lt;=5,AP32&gt;0,AP32&lt;=10),AND(U32&gt;0,U32&gt;4,U32&lt;=6,AP32&gt;0,AP32&lt;=7))</f>
        <v>0</v>
      </c>
      <c r="BA32" s="130" t="b">
        <f t="shared" ref="BA32" si="70">OR(AND(U32&gt;0,U32&gt;2,U32&lt;=3,AP32&gt;0,AP32&gt;14,AP32&lt;=20),AND(U32&gt;0,U32&gt;3,U32&lt;=5,AP32&gt;0,AP32&gt;10),AND(U32&gt;0,U32&gt;5,U32&lt;=6,AP32&gt;0,AP32&gt;7,AP32&lt;=20))</f>
        <v>0</v>
      </c>
    </row>
    <row r="33" spans="2:55" ht="3" customHeight="1" x14ac:dyDescent="0.3">
      <c r="C33" s="1"/>
      <c r="E33" s="21"/>
      <c r="F33" s="38"/>
      <c r="G33" s="38"/>
      <c r="H33" s="21"/>
      <c r="I33" s="38"/>
      <c r="J33" s="38"/>
      <c r="K33" s="21"/>
      <c r="L33" s="38"/>
      <c r="M33" s="8"/>
      <c r="N33" s="37"/>
      <c r="O33" s="38"/>
      <c r="P33" s="38"/>
      <c r="Q33" s="37"/>
      <c r="R33" s="38"/>
      <c r="S33" s="10"/>
      <c r="T33" s="117"/>
      <c r="U33" s="117"/>
      <c r="V33" s="14"/>
      <c r="W33" s="21"/>
      <c r="X33" s="21"/>
      <c r="Y33" s="21"/>
      <c r="Z33" s="21"/>
      <c r="AA33" s="36"/>
      <c r="AB33" s="9"/>
      <c r="AC33" s="21"/>
      <c r="AD33" s="21"/>
      <c r="AE33" s="37"/>
      <c r="AF33" s="36"/>
      <c r="AG33" s="9"/>
      <c r="AH33" s="21"/>
      <c r="AI33" s="21"/>
      <c r="AJ33" s="21"/>
      <c r="AK33" s="21"/>
      <c r="AL33" s="21"/>
      <c r="AM33" s="21"/>
      <c r="AN33" s="10"/>
      <c r="AO33" s="125"/>
      <c r="AP33" s="117"/>
      <c r="AQ33" s="117"/>
      <c r="AR33" s="117"/>
      <c r="AS33" s="194"/>
      <c r="AT33" s="190"/>
      <c r="AU33" s="195"/>
      <c r="AX33" s="130"/>
      <c r="AY33" s="130"/>
      <c r="AZ33" s="130" t="b">
        <f t="shared" si="11"/>
        <v>0</v>
      </c>
      <c r="BA33" s="130" t="b">
        <f t="shared" si="12"/>
        <v>0</v>
      </c>
    </row>
    <row r="34" spans="2:55" x14ac:dyDescent="0.3">
      <c r="B34" s="41" t="s">
        <v>51</v>
      </c>
      <c r="C34" s="222"/>
      <c r="E34" s="37"/>
      <c r="F34" s="38"/>
      <c r="G34" s="38"/>
      <c r="H34" s="37"/>
      <c r="I34" s="38"/>
      <c r="J34" s="38"/>
      <c r="K34" s="37"/>
      <c r="L34" s="38"/>
      <c r="M34" s="8"/>
      <c r="N34" s="37"/>
      <c r="O34" s="38"/>
      <c r="P34" s="38"/>
      <c r="Q34" s="37"/>
      <c r="R34" s="38"/>
      <c r="S34" s="38"/>
      <c r="T34" s="117"/>
      <c r="U34" s="117"/>
      <c r="V34" s="14"/>
      <c r="W34" s="37"/>
      <c r="X34" s="37"/>
      <c r="Y34" s="37"/>
      <c r="Z34" s="37"/>
      <c r="AA34" s="36"/>
      <c r="AB34" s="9"/>
      <c r="AC34" s="127"/>
      <c r="AD34" s="37"/>
      <c r="AE34" s="37"/>
      <c r="AF34" s="36"/>
      <c r="AG34" s="9"/>
      <c r="AH34" s="37"/>
      <c r="AI34" s="37"/>
      <c r="AJ34" s="37"/>
      <c r="AK34" s="37"/>
      <c r="AL34" s="37"/>
      <c r="AM34" s="37"/>
      <c r="AN34" s="36">
        <f>IF(AH34="X",1)+IF(AI34="X",2)+IF(AJ34="X",3)+IF(AK34="X",4)+IF(AL34="X",5)+IF(AM34="X",6)</f>
        <v>0</v>
      </c>
      <c r="AO34" s="125"/>
      <c r="AP34" s="117">
        <f>AA34+AF34+AN34</f>
        <v>0</v>
      </c>
      <c r="AQ34" s="117">
        <f>(AP34+U34)/2</f>
        <v>0</v>
      </c>
      <c r="AR34" s="117">
        <f>IF(AS34="",0,10)</f>
        <v>0</v>
      </c>
      <c r="AS34" s="39" t="str">
        <f>IF(AX34=TRUE,"Desprezível",IF(AY34=TRUE,"Administrável",IF(AZ34=TRUE,"Indesejável",IF(BA34=TRUE,"Intolerável",""))))</f>
        <v/>
      </c>
      <c r="AT34" s="185"/>
      <c r="AU34" s="195"/>
      <c r="AX34" s="130" t="b">
        <f t="shared" si="21"/>
        <v>0</v>
      </c>
      <c r="AY34" s="130" t="b">
        <f t="shared" si="22"/>
        <v>0</v>
      </c>
      <c r="AZ34" s="130" t="b">
        <f t="shared" si="11"/>
        <v>0</v>
      </c>
      <c r="BA34" s="130" t="b">
        <f t="shared" si="12"/>
        <v>0</v>
      </c>
    </row>
    <row r="35" spans="2:55" ht="3" customHeight="1" x14ac:dyDescent="0.3">
      <c r="C35" s="210"/>
      <c r="E35" s="21"/>
      <c r="F35" s="38"/>
      <c r="G35" s="38"/>
      <c r="H35" s="21"/>
      <c r="I35" s="38"/>
      <c r="J35" s="38"/>
      <c r="K35" s="21"/>
      <c r="L35" s="38"/>
      <c r="M35" s="8"/>
      <c r="N35" s="37"/>
      <c r="O35" s="38"/>
      <c r="P35" s="38"/>
      <c r="Q35" s="37"/>
      <c r="R35" s="38"/>
      <c r="S35" s="10"/>
      <c r="T35" s="117"/>
      <c r="U35" s="117"/>
      <c r="V35" s="14"/>
      <c r="W35" s="37"/>
      <c r="X35" s="37"/>
      <c r="Y35" s="37"/>
      <c r="Z35" s="37"/>
      <c r="AA35" s="36"/>
      <c r="AB35" s="9"/>
      <c r="AC35" s="21"/>
      <c r="AD35" s="21"/>
      <c r="AE35" s="37"/>
      <c r="AF35" s="36"/>
      <c r="AG35" s="9"/>
      <c r="AH35" s="21"/>
      <c r="AI35" s="21"/>
      <c r="AJ35" s="21"/>
      <c r="AK35" s="21"/>
      <c r="AL35" s="21"/>
      <c r="AM35" s="21"/>
      <c r="AN35" s="10"/>
      <c r="AO35" s="125"/>
      <c r="AP35" s="117"/>
      <c r="AQ35" s="117"/>
      <c r="AR35" s="117"/>
      <c r="AS35" s="194"/>
      <c r="AT35" s="190"/>
      <c r="AU35" s="195"/>
      <c r="AX35" s="130"/>
      <c r="AY35" s="130"/>
      <c r="AZ35" s="130" t="b">
        <f t="shared" si="11"/>
        <v>0</v>
      </c>
      <c r="BA35" s="130" t="b">
        <f t="shared" si="12"/>
        <v>0</v>
      </c>
    </row>
    <row r="36" spans="2:55" x14ac:dyDescent="0.3">
      <c r="B36" s="41" t="s">
        <v>49</v>
      </c>
      <c r="C36" s="222"/>
      <c r="E36" s="37"/>
      <c r="F36" s="38"/>
      <c r="G36" s="38"/>
      <c r="H36" s="37"/>
      <c r="I36" s="38"/>
      <c r="J36" s="38"/>
      <c r="K36" s="37"/>
      <c r="L36" s="38"/>
      <c r="M36" s="8"/>
      <c r="N36" s="37"/>
      <c r="O36" s="38"/>
      <c r="P36" s="38"/>
      <c r="Q36" s="37"/>
      <c r="R36" s="38"/>
      <c r="S36" s="38"/>
      <c r="T36" s="117"/>
      <c r="U36" s="117"/>
      <c r="V36" s="14"/>
      <c r="W36" s="37"/>
      <c r="X36" s="37"/>
      <c r="Y36" s="37"/>
      <c r="Z36" s="37"/>
      <c r="AA36" s="36"/>
      <c r="AB36" s="9"/>
      <c r="AC36" s="37"/>
      <c r="AD36" s="127"/>
      <c r="AE36" s="37"/>
      <c r="AF36" s="36"/>
      <c r="AG36" s="9"/>
      <c r="AH36" s="37"/>
      <c r="AI36" s="37"/>
      <c r="AJ36" s="37"/>
      <c r="AK36" s="37"/>
      <c r="AL36" s="37"/>
      <c r="AM36" s="37"/>
      <c r="AN36" s="36">
        <f>IF(AH36="X",1)+IF(AI36="X",2)+IF(AJ36="X",3)+IF(AK36="X",4)+IF(AL36="X",5)+IF(AM36="X",6)</f>
        <v>0</v>
      </c>
      <c r="AO36" s="125"/>
      <c r="AP36" s="117">
        <f>AA36+AF36+AN36</f>
        <v>0</v>
      </c>
      <c r="AQ36" s="117">
        <f>(AP36+U36)/2</f>
        <v>0</v>
      </c>
      <c r="AR36" s="117">
        <f>IF(AS36="",0,10)</f>
        <v>0</v>
      </c>
      <c r="AS36" s="39" t="str">
        <f>IF(AX36=TRUE,"Desprezível",IF(AY36=TRUE,"Administrável",IF(AZ36=TRUE,"Indesejável",IF(BA36=TRUE,"Intolerável",""))))</f>
        <v/>
      </c>
      <c r="AT36" s="185"/>
      <c r="AU36" s="195"/>
      <c r="AX36" s="130" t="b">
        <f t="shared" si="21"/>
        <v>0</v>
      </c>
      <c r="AY36" s="130" t="b">
        <f t="shared" si="22"/>
        <v>0</v>
      </c>
      <c r="AZ36" s="130" t="b">
        <f t="shared" si="11"/>
        <v>0</v>
      </c>
      <c r="BA36" s="130" t="b">
        <f t="shared" si="12"/>
        <v>0</v>
      </c>
    </row>
    <row r="37" spans="2:55" ht="3" customHeight="1" x14ac:dyDescent="0.3">
      <c r="C37" s="211"/>
      <c r="E37" s="21"/>
      <c r="F37" s="38"/>
      <c r="G37" s="38"/>
      <c r="H37" s="21"/>
      <c r="I37" s="38"/>
      <c r="J37" s="38"/>
      <c r="K37" s="21"/>
      <c r="L37" s="38"/>
      <c r="M37" s="8"/>
      <c r="N37" s="37"/>
      <c r="O37" s="38"/>
      <c r="P37" s="38"/>
      <c r="Q37" s="37"/>
      <c r="R37" s="38"/>
      <c r="S37" s="10"/>
      <c r="T37" s="117"/>
      <c r="U37" s="117"/>
      <c r="V37" s="14"/>
      <c r="W37" s="37"/>
      <c r="X37" s="37"/>
      <c r="Y37" s="37"/>
      <c r="Z37" s="37"/>
      <c r="AA37" s="36"/>
      <c r="AB37" s="9"/>
      <c r="AC37" s="21"/>
      <c r="AD37" s="21"/>
      <c r="AE37" s="37"/>
      <c r="AF37" s="36"/>
      <c r="AG37" s="9"/>
      <c r="AH37" s="21"/>
      <c r="AI37" s="21"/>
      <c r="AJ37" s="21"/>
      <c r="AK37" s="21"/>
      <c r="AL37" s="21"/>
      <c r="AM37" s="21"/>
      <c r="AN37" s="10"/>
      <c r="AO37" s="125"/>
      <c r="AP37" s="117"/>
      <c r="AQ37" s="117"/>
      <c r="AR37" s="117"/>
      <c r="AS37" s="194"/>
      <c r="AT37" s="190"/>
      <c r="AU37" s="195"/>
      <c r="AX37" s="130"/>
      <c r="AY37" s="130"/>
      <c r="AZ37" s="130" t="b">
        <f t="shared" si="11"/>
        <v>0</v>
      </c>
      <c r="BA37" s="130" t="b">
        <f t="shared" si="12"/>
        <v>0</v>
      </c>
    </row>
    <row r="38" spans="2:55" ht="28.5" customHeight="1" x14ac:dyDescent="0.3">
      <c r="B38" s="41" t="s">
        <v>50</v>
      </c>
      <c r="C38" s="222"/>
      <c r="E38" s="37"/>
      <c r="F38" s="38"/>
      <c r="G38" s="38"/>
      <c r="H38" s="37"/>
      <c r="I38" s="38"/>
      <c r="J38" s="38"/>
      <c r="K38" s="37"/>
      <c r="L38" s="38"/>
      <c r="M38" s="8"/>
      <c r="N38" s="37"/>
      <c r="O38" s="38"/>
      <c r="P38" s="38"/>
      <c r="Q38" s="37"/>
      <c r="R38" s="38"/>
      <c r="S38" s="38"/>
      <c r="T38" s="117"/>
      <c r="U38" s="117"/>
      <c r="V38" s="14"/>
      <c r="W38" s="37"/>
      <c r="X38" s="37"/>
      <c r="Y38" s="37"/>
      <c r="Z38" s="37"/>
      <c r="AA38" s="36"/>
      <c r="AB38" s="9"/>
      <c r="AC38" s="37"/>
      <c r="AD38" s="37"/>
      <c r="AE38" s="37"/>
      <c r="AF38" s="36"/>
      <c r="AG38" s="9"/>
      <c r="AH38" s="37"/>
      <c r="AI38" s="37"/>
      <c r="AJ38" s="37"/>
      <c r="AK38" s="37"/>
      <c r="AL38" s="37"/>
      <c r="AM38" s="37"/>
      <c r="AN38" s="36">
        <f>IF(AH38="X",1)+IF(AI38="X",2)+IF(AJ38="X",3)+IF(AK38="X",4)+IF(AL38="X",5)+IF(AM38="X",6)</f>
        <v>0</v>
      </c>
      <c r="AO38" s="125"/>
      <c r="AP38" s="117">
        <f>AA38+AF38+AN38</f>
        <v>0</v>
      </c>
      <c r="AQ38" s="117">
        <f>(AP38+U38)/2</f>
        <v>0</v>
      </c>
      <c r="AR38" s="117">
        <f>IF(AS38="",0,10)</f>
        <v>0</v>
      </c>
      <c r="AS38" s="39" t="str">
        <f>IF(AX38=TRUE,"Desprezível",IF(AY38=TRUE,"Administrável",IF(AZ38=TRUE,"Indesejável",IF(BA38=TRUE,"Intolerável",""))))</f>
        <v/>
      </c>
      <c r="AT38" s="185"/>
      <c r="AU38" s="195"/>
      <c r="AX38" s="130" t="b">
        <f t="shared" si="21"/>
        <v>0</v>
      </c>
      <c r="AY38" s="130" t="b">
        <f t="shared" si="22"/>
        <v>0</v>
      </c>
      <c r="AZ38" s="130" t="b">
        <f t="shared" si="11"/>
        <v>0</v>
      </c>
      <c r="BA38" s="130" t="b">
        <f t="shared" si="12"/>
        <v>0</v>
      </c>
    </row>
    <row r="39" spans="2:55" ht="3.75" customHeight="1" x14ac:dyDescent="0.3">
      <c r="C39" s="211"/>
      <c r="E39" s="21"/>
      <c r="F39" s="38"/>
      <c r="G39" s="38"/>
      <c r="H39" s="21"/>
      <c r="I39" s="38"/>
      <c r="J39" s="38"/>
      <c r="K39" s="21"/>
      <c r="L39" s="38"/>
      <c r="M39" s="8"/>
      <c r="N39" s="37"/>
      <c r="O39" s="38"/>
      <c r="P39" s="38"/>
      <c r="Q39" s="37"/>
      <c r="R39" s="38"/>
      <c r="S39" s="10"/>
      <c r="T39" s="117"/>
      <c r="U39" s="117"/>
      <c r="V39" s="14"/>
      <c r="W39" s="21"/>
      <c r="X39" s="21"/>
      <c r="Y39" s="21"/>
      <c r="Z39" s="21"/>
      <c r="AA39" s="36"/>
      <c r="AB39" s="9"/>
      <c r="AC39" s="21"/>
      <c r="AD39" s="21"/>
      <c r="AE39" s="37"/>
      <c r="AF39" s="36"/>
      <c r="AG39" s="9"/>
      <c r="AH39" s="21"/>
      <c r="AI39" s="21"/>
      <c r="AJ39" s="21"/>
      <c r="AK39" s="21"/>
      <c r="AL39" s="21"/>
      <c r="AM39" s="21"/>
      <c r="AN39" s="10"/>
      <c r="AO39" s="125"/>
      <c r="AP39" s="117"/>
      <c r="AQ39" s="117"/>
      <c r="AR39" s="117"/>
      <c r="AS39" s="194"/>
      <c r="AT39" s="190"/>
      <c r="AU39" s="195"/>
      <c r="AX39" s="130"/>
      <c r="AY39" s="130"/>
      <c r="AZ39" s="130" t="b">
        <f t="shared" si="11"/>
        <v>0</v>
      </c>
      <c r="BA39" s="130" t="b">
        <f t="shared" si="12"/>
        <v>0</v>
      </c>
    </row>
    <row r="40" spans="2:55" x14ac:dyDescent="0.3">
      <c r="B40" s="41" t="s">
        <v>53</v>
      </c>
      <c r="C40" s="222"/>
      <c r="E40" s="37"/>
      <c r="F40" s="38"/>
      <c r="G40" s="38"/>
      <c r="H40" s="37"/>
      <c r="I40" s="38"/>
      <c r="J40" s="38"/>
      <c r="K40" s="37"/>
      <c r="L40" s="38"/>
      <c r="M40" s="8"/>
      <c r="N40" s="37"/>
      <c r="O40" s="38"/>
      <c r="P40" s="38"/>
      <c r="Q40" s="37"/>
      <c r="R40" s="38"/>
      <c r="S40" s="38"/>
      <c r="T40" s="117"/>
      <c r="U40" s="117"/>
      <c r="V40" s="14"/>
      <c r="W40" s="37"/>
      <c r="X40" s="37"/>
      <c r="Y40" s="37"/>
      <c r="Z40" s="37"/>
      <c r="AA40" s="36"/>
      <c r="AB40" s="9"/>
      <c r="AC40" s="37"/>
      <c r="AD40" s="127"/>
      <c r="AE40" s="37"/>
      <c r="AF40" s="36"/>
      <c r="AG40" s="9"/>
      <c r="AH40" s="37"/>
      <c r="AI40" s="37"/>
      <c r="AJ40" s="37"/>
      <c r="AK40" s="37"/>
      <c r="AL40" s="37"/>
      <c r="AM40" s="37"/>
      <c r="AN40" s="36">
        <f>IF(AH40="X",1)+IF(AI40="X",2)+IF(AJ40="X",3)+IF(AK40="X",4)+IF(AL40="X",5)+IF(AM40="X",6)</f>
        <v>0</v>
      </c>
      <c r="AO40" s="125"/>
      <c r="AP40" s="117">
        <f>AA40+AF40+AN40</f>
        <v>0</v>
      </c>
      <c r="AQ40" s="117">
        <f>(AP40+U40)/2</f>
        <v>0</v>
      </c>
      <c r="AR40" s="117">
        <f>IF(AS40="",0,10)</f>
        <v>0</v>
      </c>
      <c r="AS40" s="39" t="str">
        <f>IF(AX40=TRUE,"Desprezível",IF(AY40=TRUE,"Administrável",IF(AZ40=TRUE,"Indesejável",IF(BA40=TRUE,"Intolerável",""))))</f>
        <v/>
      </c>
      <c r="AT40" s="185"/>
      <c r="AU40" s="195"/>
      <c r="AX40" s="130" t="b">
        <f t="shared" si="21"/>
        <v>0</v>
      </c>
      <c r="AY40" s="130" t="b">
        <f t="shared" si="22"/>
        <v>0</v>
      </c>
      <c r="AZ40" s="130" t="b">
        <f t="shared" si="11"/>
        <v>0</v>
      </c>
      <c r="BA40" s="130" t="b">
        <f t="shared" si="12"/>
        <v>0</v>
      </c>
    </row>
    <row r="41" spans="2:55" s="59" customFormat="1" ht="3.75" customHeight="1" x14ac:dyDescent="0.3">
      <c r="B41" s="50"/>
      <c r="C41" s="212"/>
      <c r="D41" s="52"/>
      <c r="E41" s="21"/>
      <c r="F41" s="38"/>
      <c r="G41" s="38"/>
      <c r="H41" s="21"/>
      <c r="I41" s="38"/>
      <c r="J41" s="38"/>
      <c r="K41" s="21"/>
      <c r="L41" s="38"/>
      <c r="M41" s="10"/>
      <c r="N41" s="37"/>
      <c r="O41" s="38"/>
      <c r="P41" s="38"/>
      <c r="Q41" s="37"/>
      <c r="R41" s="38"/>
      <c r="S41" s="54"/>
      <c r="T41" s="117"/>
      <c r="U41" s="117"/>
      <c r="V41" s="56"/>
      <c r="W41" s="53"/>
      <c r="X41" s="21"/>
      <c r="Y41" s="53"/>
      <c r="Z41" s="53"/>
      <c r="AA41" s="36"/>
      <c r="AB41" s="57"/>
      <c r="AC41" s="21"/>
      <c r="AD41" s="21"/>
      <c r="AE41" s="37"/>
      <c r="AF41" s="36"/>
      <c r="AG41" s="57"/>
      <c r="AH41" s="21"/>
      <c r="AI41" s="21"/>
      <c r="AJ41" s="21"/>
      <c r="AK41" s="53"/>
      <c r="AL41" s="53"/>
      <c r="AM41" s="53"/>
      <c r="AN41" s="55"/>
      <c r="AO41" s="139"/>
      <c r="AP41" s="138"/>
      <c r="AQ41" s="138"/>
      <c r="AR41" s="138"/>
      <c r="AS41" s="58"/>
      <c r="AT41" s="185"/>
      <c r="AU41" s="195"/>
      <c r="AV41" s="183"/>
      <c r="AW41" s="60"/>
      <c r="AX41" s="130"/>
      <c r="AY41" s="130"/>
      <c r="AZ41" s="130" t="b">
        <f t="shared" si="11"/>
        <v>0</v>
      </c>
      <c r="BA41" s="130" t="b">
        <f t="shared" si="12"/>
        <v>0</v>
      </c>
      <c r="BC41" s="60"/>
    </row>
    <row r="42" spans="2:55" x14ac:dyDescent="0.3">
      <c r="B42" s="41" t="s">
        <v>54</v>
      </c>
      <c r="C42" s="222"/>
      <c r="E42" s="37"/>
      <c r="F42" s="38"/>
      <c r="G42" s="38"/>
      <c r="H42" s="37"/>
      <c r="I42" s="38"/>
      <c r="J42" s="38"/>
      <c r="K42" s="37"/>
      <c r="L42" s="38"/>
      <c r="M42" s="8"/>
      <c r="N42" s="37"/>
      <c r="O42" s="38"/>
      <c r="P42" s="38"/>
      <c r="Q42" s="37"/>
      <c r="R42" s="38"/>
      <c r="S42" s="38"/>
      <c r="T42" s="117"/>
      <c r="U42" s="117"/>
      <c r="V42" s="14"/>
      <c r="W42" s="37"/>
      <c r="X42" s="37"/>
      <c r="Y42" s="37"/>
      <c r="Z42" s="37"/>
      <c r="AA42" s="36"/>
      <c r="AB42" s="9"/>
      <c r="AC42" s="37"/>
      <c r="AD42" s="127"/>
      <c r="AE42" s="37"/>
      <c r="AF42" s="36"/>
      <c r="AG42" s="9"/>
      <c r="AH42" s="37"/>
      <c r="AI42" s="37"/>
      <c r="AJ42" s="37"/>
      <c r="AK42" s="37"/>
      <c r="AL42" s="37"/>
      <c r="AM42" s="37"/>
      <c r="AN42" s="36">
        <f>IF(AH42="X",1)+IF(AI42="X",2)+IF(AJ42="X",3)+IF(AK42="X",4)+IF(AL42="X",5)+IF(AM42="X",6)</f>
        <v>0</v>
      </c>
      <c r="AO42" s="125"/>
      <c r="AP42" s="117">
        <f>AA42+AF42+AN42</f>
        <v>0</v>
      </c>
      <c r="AQ42" s="117">
        <f>(AP42+U42)/2</f>
        <v>0</v>
      </c>
      <c r="AR42" s="117">
        <f>IF(AS42="",0,10)</f>
        <v>0</v>
      </c>
      <c r="AS42" s="39" t="str">
        <f>IF(AX42=TRUE,"Desprezível",IF(AY42=TRUE,"Administrável",IF(AZ42=TRUE,"Indesejável",IF(BA42=TRUE,"Intolerável",""))))</f>
        <v/>
      </c>
      <c r="AT42" s="185"/>
      <c r="AU42" s="195"/>
      <c r="AX42" s="130" t="b">
        <f t="shared" si="21"/>
        <v>0</v>
      </c>
      <c r="AY42" s="130" t="b">
        <f t="shared" si="22"/>
        <v>0</v>
      </c>
      <c r="AZ42" s="130" t="b">
        <f t="shared" si="11"/>
        <v>0</v>
      </c>
      <c r="BA42" s="130" t="b">
        <f t="shared" si="12"/>
        <v>0</v>
      </c>
    </row>
    <row r="43" spans="2:55" ht="3.75" customHeight="1" x14ac:dyDescent="0.3">
      <c r="C43" s="212"/>
      <c r="E43" s="21"/>
      <c r="F43" s="38"/>
      <c r="G43" s="38"/>
      <c r="H43" s="21"/>
      <c r="I43" s="38"/>
      <c r="J43" s="38"/>
      <c r="K43" s="21"/>
      <c r="L43" s="38"/>
      <c r="M43" s="10"/>
      <c r="N43" s="37"/>
      <c r="O43" s="38"/>
      <c r="P43" s="38"/>
      <c r="Q43" s="37"/>
      <c r="R43" s="38"/>
      <c r="T43" s="117"/>
      <c r="U43" s="117"/>
      <c r="X43" s="21"/>
      <c r="AA43" s="36"/>
      <c r="AC43" s="21"/>
      <c r="AD43" s="21"/>
      <c r="AE43" s="37"/>
      <c r="AF43" s="36"/>
      <c r="AH43" s="21"/>
      <c r="AI43" s="21"/>
      <c r="AJ43" s="21"/>
      <c r="AS43" s="191"/>
      <c r="AU43" s="195"/>
      <c r="AX43" s="130"/>
      <c r="AY43" s="130"/>
      <c r="AZ43" s="130" t="b">
        <f t="shared" si="11"/>
        <v>0</v>
      </c>
      <c r="BA43" s="130" t="b">
        <f t="shared" si="12"/>
        <v>0</v>
      </c>
    </row>
    <row r="44" spans="2:55" x14ac:dyDescent="0.3">
      <c r="B44" s="41" t="s">
        <v>55</v>
      </c>
      <c r="C44" s="222"/>
      <c r="E44" s="37"/>
      <c r="F44" s="38"/>
      <c r="G44" s="38"/>
      <c r="H44" s="37"/>
      <c r="I44" s="38"/>
      <c r="J44" s="38"/>
      <c r="K44" s="37"/>
      <c r="L44" s="38"/>
      <c r="M44" s="8"/>
      <c r="N44" s="37"/>
      <c r="O44" s="38"/>
      <c r="P44" s="38"/>
      <c r="Q44" s="37"/>
      <c r="R44" s="38"/>
      <c r="S44" s="38"/>
      <c r="T44" s="117"/>
      <c r="U44" s="117"/>
      <c r="V44" s="14"/>
      <c r="W44" s="37"/>
      <c r="X44" s="37"/>
      <c r="Y44" s="37"/>
      <c r="Z44" s="37"/>
      <c r="AA44" s="36"/>
      <c r="AB44" s="9"/>
      <c r="AC44" s="37"/>
      <c r="AD44" s="127"/>
      <c r="AE44" s="37"/>
      <c r="AF44" s="36"/>
      <c r="AG44" s="9"/>
      <c r="AH44" s="37"/>
      <c r="AI44" s="37"/>
      <c r="AJ44" s="37"/>
      <c r="AK44" s="37"/>
      <c r="AL44" s="37"/>
      <c r="AM44" s="37"/>
      <c r="AN44" s="36"/>
      <c r="AO44" s="125"/>
      <c r="AP44" s="117"/>
      <c r="AQ44" s="117"/>
      <c r="AR44" s="117"/>
      <c r="AS44" s="39"/>
      <c r="AT44" s="185"/>
      <c r="AU44" s="195"/>
      <c r="AX44" s="130"/>
      <c r="AY44" s="130"/>
      <c r="AZ44" s="130"/>
      <c r="BA44" s="130"/>
    </row>
    <row r="45" spans="2:55" ht="3.75" customHeight="1" x14ac:dyDescent="0.3">
      <c r="C45" s="212"/>
      <c r="E45" s="21"/>
      <c r="F45" s="38"/>
      <c r="G45" s="38"/>
      <c r="H45" s="21"/>
      <c r="I45" s="38"/>
      <c r="J45" s="38"/>
      <c r="K45" s="21"/>
      <c r="L45" s="38"/>
      <c r="M45" s="8"/>
      <c r="N45" s="37"/>
      <c r="O45" s="38"/>
      <c r="P45" s="38"/>
      <c r="Q45" s="37"/>
      <c r="R45" s="38"/>
      <c r="T45" s="117"/>
      <c r="U45" s="117"/>
      <c r="X45" s="21"/>
      <c r="AA45" s="36"/>
      <c r="AC45" s="21"/>
      <c r="AD45" s="21"/>
      <c r="AE45" s="37"/>
      <c r="AF45" s="36"/>
      <c r="AH45" s="21"/>
      <c r="AI45" s="21"/>
      <c r="AJ45" s="21"/>
      <c r="AS45" s="191"/>
      <c r="AU45" s="195"/>
      <c r="AX45" s="130"/>
      <c r="AY45" s="130"/>
      <c r="AZ45" s="130" t="b">
        <f t="shared" si="11"/>
        <v>0</v>
      </c>
      <c r="BA45" s="130" t="b">
        <f t="shared" si="12"/>
        <v>0</v>
      </c>
    </row>
    <row r="46" spans="2:55" x14ac:dyDescent="0.3">
      <c r="B46" s="41" t="s">
        <v>56</v>
      </c>
      <c r="C46" s="222"/>
      <c r="E46" s="37"/>
      <c r="F46" s="38"/>
      <c r="G46" s="38"/>
      <c r="H46" s="37"/>
      <c r="I46" s="38"/>
      <c r="J46" s="38"/>
      <c r="K46" s="37"/>
      <c r="L46" s="38"/>
      <c r="M46" s="8"/>
      <c r="N46" s="37"/>
      <c r="O46" s="38"/>
      <c r="P46" s="38"/>
      <c r="Q46" s="37"/>
      <c r="R46" s="38"/>
      <c r="S46" s="38"/>
      <c r="T46" s="117"/>
      <c r="U46" s="117"/>
      <c r="V46" s="14"/>
      <c r="W46" s="37"/>
      <c r="X46" s="37"/>
      <c r="Y46" s="37"/>
      <c r="Z46" s="37"/>
      <c r="AA46" s="36"/>
      <c r="AB46" s="9"/>
      <c r="AC46" s="37"/>
      <c r="AD46" s="127"/>
      <c r="AE46" s="37"/>
      <c r="AF46" s="36"/>
      <c r="AG46" s="9"/>
      <c r="AH46" s="37"/>
      <c r="AI46" s="37"/>
      <c r="AJ46" s="37"/>
      <c r="AK46" s="37"/>
      <c r="AL46" s="37"/>
      <c r="AM46" s="37"/>
      <c r="AN46" s="36">
        <f>IF(AH46="X",1)+IF(AI46="X",2)+IF(AJ46="X",3)+IF(AK46="X",4)+IF(AL46="X",5)+IF(AM46="X",6)</f>
        <v>0</v>
      </c>
      <c r="AO46" s="125"/>
      <c r="AP46" s="117">
        <f>AA46+AF46+AN46</f>
        <v>0</v>
      </c>
      <c r="AQ46" s="117">
        <f>(AP46+U46)/2</f>
        <v>0</v>
      </c>
      <c r="AR46" s="117">
        <f>IF(AS46="",0,10)</f>
        <v>0</v>
      </c>
      <c r="AS46" s="39" t="str">
        <f>IF(AX46=TRUE,"Desprezível",IF(AY46=TRUE,"Administrável",IF(AZ46=TRUE,"Indesejável",IF(BA46=TRUE,"Intolerável",""))))</f>
        <v/>
      </c>
      <c r="AT46" s="185"/>
      <c r="AU46" s="195"/>
      <c r="AX46" s="130" t="b">
        <f t="shared" si="21"/>
        <v>0</v>
      </c>
      <c r="AY46" s="130" t="b">
        <f t="shared" si="22"/>
        <v>0</v>
      </c>
      <c r="AZ46" s="130" t="b">
        <f t="shared" si="11"/>
        <v>0</v>
      </c>
      <c r="BA46" s="130" t="b">
        <f t="shared" si="12"/>
        <v>0</v>
      </c>
    </row>
    <row r="47" spans="2:55" ht="3.75" customHeight="1" x14ac:dyDescent="0.3">
      <c r="F47" s="38"/>
      <c r="G47" s="38"/>
      <c r="I47" s="38"/>
      <c r="J47" s="38"/>
      <c r="L47" s="38"/>
      <c r="M47" s="8"/>
      <c r="N47" s="37"/>
      <c r="O47" s="38"/>
      <c r="P47" s="38"/>
      <c r="Q47" s="37"/>
      <c r="R47" s="38"/>
      <c r="T47" s="117"/>
      <c r="U47" s="117"/>
      <c r="AA47" s="36"/>
      <c r="AE47" s="128"/>
      <c r="AF47" s="36"/>
      <c r="AS47" s="191"/>
      <c r="AU47" s="195"/>
      <c r="AX47" s="130"/>
      <c r="AY47" s="130"/>
      <c r="AZ47" s="130" t="b">
        <f t="shared" si="11"/>
        <v>0</v>
      </c>
      <c r="BA47" s="130" t="b">
        <f t="shared" si="12"/>
        <v>0</v>
      </c>
    </row>
    <row r="48" spans="2:55" ht="27" customHeight="1" x14ac:dyDescent="0.3">
      <c r="B48" s="41" t="s">
        <v>57</v>
      </c>
      <c r="C48" s="222"/>
      <c r="E48" s="37"/>
      <c r="F48" s="38"/>
      <c r="G48" s="38"/>
      <c r="H48" s="37"/>
      <c r="I48" s="38"/>
      <c r="J48" s="38"/>
      <c r="K48" s="37"/>
      <c r="L48" s="38"/>
      <c r="M48" s="8"/>
      <c r="N48" s="37"/>
      <c r="O48" s="38"/>
      <c r="P48" s="38"/>
      <c r="Q48" s="37"/>
      <c r="R48" s="38"/>
      <c r="S48" s="38"/>
      <c r="T48" s="117"/>
      <c r="U48" s="117"/>
      <c r="V48" s="14"/>
      <c r="W48" s="37"/>
      <c r="X48" s="37"/>
      <c r="Y48" s="37"/>
      <c r="Z48" s="37"/>
      <c r="AA48" s="36"/>
      <c r="AB48" s="9"/>
      <c r="AC48" s="37"/>
      <c r="AD48" s="127"/>
      <c r="AE48" s="37"/>
      <c r="AF48" s="36"/>
      <c r="AG48" s="9"/>
      <c r="AH48" s="37"/>
      <c r="AI48" s="37"/>
      <c r="AJ48" s="37"/>
      <c r="AK48" s="37"/>
      <c r="AL48" s="37"/>
      <c r="AM48" s="37"/>
      <c r="AN48" s="36">
        <f>IF(AH48="X",1)+IF(AI48="X",2)+IF(AJ48="X",3)+IF(AK48="X",4)+IF(AL48="X",5)+IF(AM48="X",6)</f>
        <v>0</v>
      </c>
      <c r="AO48" s="125"/>
      <c r="AP48" s="117">
        <f>AA48+AF48+AN48</f>
        <v>0</v>
      </c>
      <c r="AQ48" s="117">
        <f>(AP48+U48)/2</f>
        <v>0</v>
      </c>
      <c r="AR48" s="117">
        <f>IF(AS48="",0,10)</f>
        <v>0</v>
      </c>
      <c r="AS48" s="39" t="str">
        <f>IF(AX48=TRUE,"Desprezível",IF(AY48=TRUE,"Administrável",IF(AZ48=TRUE,"Indesejável",IF(BA48=TRUE,"Intolerável",""))))</f>
        <v/>
      </c>
      <c r="AT48" s="185"/>
      <c r="AU48" s="195"/>
      <c r="AX48" s="130" t="b">
        <f t="shared" si="21"/>
        <v>0</v>
      </c>
      <c r="AY48" s="130" t="b">
        <f t="shared" si="22"/>
        <v>0</v>
      </c>
      <c r="AZ48" s="130" t="b">
        <f t="shared" si="11"/>
        <v>0</v>
      </c>
      <c r="BA48" s="130" t="b">
        <f t="shared" si="12"/>
        <v>0</v>
      </c>
    </row>
    <row r="49" spans="2:53" ht="3" customHeight="1" x14ac:dyDescent="0.3">
      <c r="F49" s="38"/>
      <c r="G49" s="38"/>
      <c r="I49" s="38"/>
      <c r="J49" s="38"/>
      <c r="L49" s="38"/>
      <c r="M49" s="8"/>
      <c r="N49" s="148"/>
      <c r="O49" s="38"/>
      <c r="P49" s="38"/>
      <c r="Q49" s="148"/>
      <c r="R49" s="38"/>
      <c r="T49" s="117"/>
      <c r="U49" s="117"/>
      <c r="AA49" s="36"/>
      <c r="AE49" s="128"/>
      <c r="AF49" s="36"/>
      <c r="AS49" s="191"/>
      <c r="AU49" s="195"/>
      <c r="AX49" s="130"/>
      <c r="AY49" s="130"/>
      <c r="AZ49" s="130" t="b">
        <f t="shared" si="11"/>
        <v>0</v>
      </c>
      <c r="BA49" s="130" t="b">
        <f t="shared" si="12"/>
        <v>0</v>
      </c>
    </row>
    <row r="50" spans="2:53" x14ac:dyDescent="0.3">
      <c r="B50" s="41" t="s">
        <v>58</v>
      </c>
      <c r="C50" s="235"/>
      <c r="E50" s="37"/>
      <c r="F50" s="38"/>
      <c r="G50" s="38"/>
      <c r="H50" s="37"/>
      <c r="I50" s="38"/>
      <c r="J50" s="38"/>
      <c r="K50" s="37"/>
      <c r="L50" s="38"/>
      <c r="M50" s="8"/>
      <c r="N50" s="37"/>
      <c r="O50" s="38"/>
      <c r="P50" s="38"/>
      <c r="Q50" s="37"/>
      <c r="R50" s="147"/>
      <c r="S50" s="38"/>
      <c r="T50" s="117"/>
      <c r="U50" s="117"/>
      <c r="V50" s="14"/>
      <c r="W50" s="37"/>
      <c r="X50" s="37"/>
      <c r="Y50" s="37"/>
      <c r="Z50" s="37"/>
      <c r="AA50" s="36"/>
      <c r="AB50" s="9"/>
      <c r="AC50" s="37"/>
      <c r="AD50" s="127"/>
      <c r="AE50" s="37"/>
      <c r="AF50" s="36"/>
      <c r="AG50" s="9"/>
      <c r="AH50" s="37"/>
      <c r="AI50" s="37"/>
      <c r="AJ50" s="37"/>
      <c r="AK50" s="37"/>
      <c r="AL50" s="37"/>
      <c r="AM50" s="37"/>
      <c r="AN50" s="36">
        <f>IF(AH50="X",1)+IF(AI50="X",2)+IF(AJ50="X",3)+IF(AK50="X",4)+IF(AL50="X",5)+IF(AM50="X",6)</f>
        <v>0</v>
      </c>
      <c r="AO50" s="125"/>
      <c r="AP50" s="117">
        <f>AA50+AF50+AN50</f>
        <v>0</v>
      </c>
      <c r="AQ50" s="117">
        <f>(AP50+U50)/2</f>
        <v>0</v>
      </c>
      <c r="AR50" s="117">
        <f>IF(AS50="",0,10)</f>
        <v>0</v>
      </c>
      <c r="AS50" s="39" t="str">
        <f>IF(AX50=TRUE,"Desprezível",IF(AY50=TRUE,"Administrável",IF(AZ50=TRUE,"Indesejável",IF(BA50=TRUE,"Intolerável",""))))</f>
        <v/>
      </c>
      <c r="AT50" s="185"/>
      <c r="AU50" s="195"/>
      <c r="AX50" s="130" t="b">
        <f t="shared" si="21"/>
        <v>0</v>
      </c>
      <c r="AY50" s="130" t="b">
        <f t="shared" si="22"/>
        <v>0</v>
      </c>
      <c r="AZ50" s="130" t="b">
        <f t="shared" si="11"/>
        <v>0</v>
      </c>
      <c r="BA50" s="130" t="b">
        <f t="shared" si="12"/>
        <v>0</v>
      </c>
    </row>
    <row r="51" spans="2:53" ht="4.5" customHeight="1" x14ac:dyDescent="0.3">
      <c r="C51" s="236"/>
      <c r="F51" s="38"/>
      <c r="G51" s="38"/>
      <c r="I51" s="38"/>
      <c r="J51" s="38"/>
      <c r="L51" s="38"/>
      <c r="M51" s="8"/>
      <c r="N51" s="21"/>
      <c r="O51" s="38"/>
      <c r="P51" s="38"/>
      <c r="Q51" s="21"/>
      <c r="R51" s="147"/>
      <c r="T51" s="117"/>
      <c r="U51" s="117"/>
      <c r="AE51" s="128"/>
      <c r="AF51" s="36"/>
      <c r="AX51" s="130"/>
      <c r="AY51" s="130"/>
      <c r="AZ51" s="130" t="b">
        <f t="shared" si="11"/>
        <v>0</v>
      </c>
      <c r="BA51" s="130" t="b">
        <f t="shared" si="12"/>
        <v>0</v>
      </c>
    </row>
    <row r="52" spans="2:53" x14ac:dyDescent="0.3">
      <c r="B52" s="41" t="s">
        <v>238</v>
      </c>
      <c r="C52" s="235"/>
      <c r="E52" s="37"/>
      <c r="F52" s="38"/>
      <c r="G52" s="38"/>
      <c r="H52" s="37"/>
      <c r="I52" s="38"/>
      <c r="J52" s="38"/>
      <c r="K52" s="37"/>
      <c r="L52" s="38"/>
      <c r="M52" s="8"/>
      <c r="N52" s="37"/>
      <c r="O52" s="38"/>
      <c r="P52" s="38"/>
      <c r="Q52" s="37"/>
      <c r="R52" s="147"/>
      <c r="S52" s="38"/>
      <c r="T52" s="117"/>
      <c r="U52" s="117"/>
      <c r="V52" s="14"/>
      <c r="W52" s="37"/>
      <c r="X52" s="37"/>
      <c r="Y52" s="37"/>
      <c r="Z52" s="37"/>
      <c r="AA52" s="36"/>
      <c r="AB52" s="9"/>
      <c r="AC52" s="37"/>
      <c r="AD52" s="127"/>
      <c r="AE52" s="37"/>
      <c r="AF52" s="36"/>
      <c r="AG52" s="9"/>
      <c r="AH52" s="37"/>
      <c r="AI52" s="37"/>
      <c r="AJ52" s="37"/>
      <c r="AK52" s="37"/>
      <c r="AL52" s="37"/>
      <c r="AM52" s="37"/>
      <c r="AN52" s="36">
        <f>IF(AH52="X",1)+IF(AI52="X",2)+IF(AJ52="X",3)+IF(AK52="X",4)+IF(AL52="X",5)+IF(AM52="X",6)</f>
        <v>0</v>
      </c>
      <c r="AO52" s="125"/>
      <c r="AP52" s="117">
        <f>AA52+AF52+AN52</f>
        <v>0</v>
      </c>
      <c r="AQ52" s="117">
        <f>(AP52+U52)/2</f>
        <v>0</v>
      </c>
      <c r="AR52" s="117">
        <f>IF(AS52="",0,10)</f>
        <v>0</v>
      </c>
      <c r="AS52" s="39" t="str">
        <f>IF(AX52=TRUE,"Desprezível",IF(AY52=TRUE,"Administrável",IF(AZ52=TRUE,"Indesejável",IF(BA52=TRUE,"Intolerável",""))))</f>
        <v/>
      </c>
      <c r="AT52" s="185"/>
      <c r="AU52" s="195"/>
    </row>
  </sheetData>
  <sheetProtection selectLockedCells="1" pivotTables="0" selectUnlockedCells="1"/>
  <mergeCells count="30">
    <mergeCell ref="E4:AV4"/>
    <mergeCell ref="AU6:AU8"/>
    <mergeCell ref="E1:AU2"/>
    <mergeCell ref="B6:B8"/>
    <mergeCell ref="B1:C4"/>
    <mergeCell ref="AC7:AE7"/>
    <mergeCell ref="E6:Q6"/>
    <mergeCell ref="N7:N8"/>
    <mergeCell ref="Q7:Q8"/>
    <mergeCell ref="L7:L8"/>
    <mergeCell ref="O7:O8"/>
    <mergeCell ref="P7:P8"/>
    <mergeCell ref="S7:S8"/>
    <mergeCell ref="R7:R8"/>
    <mergeCell ref="K7:K8"/>
    <mergeCell ref="M7:M8"/>
    <mergeCell ref="AS6:AS8"/>
    <mergeCell ref="AN7:AN8"/>
    <mergeCell ref="C6:C8"/>
    <mergeCell ref="AF7:AF8"/>
    <mergeCell ref="F7:F8"/>
    <mergeCell ref="I7:I8"/>
    <mergeCell ref="J7:J8"/>
    <mergeCell ref="E7:E8"/>
    <mergeCell ref="H7:H8"/>
    <mergeCell ref="AA7:AA8"/>
    <mergeCell ref="G7:G8"/>
    <mergeCell ref="W6:AM6"/>
    <mergeCell ref="W7:Z7"/>
    <mergeCell ref="AH7:AM7"/>
  </mergeCells>
  <conditionalFormatting sqref="AS5:AU5">
    <cfRule type="cellIs" dxfId="119" priority="241" operator="equal">
      <formula>"Desprezível"</formula>
    </cfRule>
    <cfRule type="cellIs" dxfId="118" priority="242" operator="equal">
      <formula>"Intolerável"</formula>
    </cfRule>
    <cfRule type="cellIs" dxfId="117" priority="243" operator="equal">
      <formula>"Indesejável"</formula>
    </cfRule>
    <cfRule type="cellIs" dxfId="116" priority="244" operator="equal">
      <formula>"Administrável"</formula>
    </cfRule>
  </conditionalFormatting>
  <conditionalFormatting sqref="AS9:AU1048576">
    <cfRule type="cellIs" dxfId="115" priority="1" operator="equal">
      <formula>"Desprezível"</formula>
    </cfRule>
    <cfRule type="cellIs" dxfId="114" priority="2" operator="equal">
      <formula>"Intolerável"</formula>
    </cfRule>
    <cfRule type="cellIs" dxfId="113" priority="3" operator="equal">
      <formula>"Indesejável"</formula>
    </cfRule>
    <cfRule type="cellIs" dxfId="112" priority="4" operator="equal">
      <formula>"Administrável"</formula>
    </cfRule>
  </conditionalFormatting>
  <conditionalFormatting sqref="AV3">
    <cfRule type="cellIs" dxfId="111" priority="141" operator="equal">
      <formula>"Desprezível"</formula>
    </cfRule>
    <cfRule type="cellIs" dxfId="110" priority="142" operator="equal">
      <formula>"Intolerável"</formula>
    </cfRule>
    <cfRule type="cellIs" dxfId="109" priority="143" operator="equal">
      <formula>"Indesejável"</formula>
    </cfRule>
    <cfRule type="cellIs" dxfId="108" priority="144" operator="equal">
      <formula>"Administrável"</formula>
    </cfRule>
  </conditionalFormatting>
  <dataValidations count="8">
    <dataValidation type="list" allowBlank="1" showInputMessage="1" showErrorMessage="1" sqref="AS9:AU9 AS11:AT11 AS39:AT39 AS37:AT37 AS33:AT33 AS31:AT31 AS35:AT35 AS29:AT29 AS25:AT25 AS23:AT23 AS21:AT21 AS19:AT19 AS17:AT17 AS15:AT15 AS13:AT13 AS27:AT27" xr:uid="{00000000-0002-0000-0000-000000000000}">
      <formula1>$BD$14:$BD$20</formula1>
    </dataValidation>
    <dataValidation allowBlank="1" showErrorMessage="1" sqref="AS6:AU6" xr:uid="{00000000-0002-0000-0000-000001000000}"/>
    <dataValidation type="list" allowBlank="1" showInputMessage="1" showErrorMessage="1" sqref="Y22:Z22 AH42:AJ42 AH40:AJ40 Y40:Z42 AC48:AE48 W48:Z48 AH48:AM48 X42 AH44:AM44 AK40:AM42 W40:W42 AH34:AM34 X40 AH24:AM24 AC42:AE42 W46:Z46 AH20:AM20 AH12:AM12 AD34:AE34 W14:Z14 AC12:AE12 AD32:AE32 W34:Z38 AE22 AC36:AE36 W18:Z18 AC20:AE20 X30:Z30 X28:Z28 AH22:AI22 AC46:AE46 AK22:AM22 AE30 AH18:AM18 AC18:AE18 AH14:AM14 AC40:AE40 AH10:AM10 AC10:AE10 AE26 AC14:AE14 W12:Z12 W10:Z10 W20:Z20 AE24 AC44:AE44 AE28 W32:Z32 Y26:Z26 X24:Z24 AH38:AM38 AH36:AM36 AC38:AE38 AH32:AM32 AH30:AM30 AH28:AM28 AH26:AM26 AH46:AM46 W44:Z44 W16:Z16 AH16:AM16 AC16:AE16" xr:uid="{00000000-0002-0000-0000-000002000000}">
      <formula1>$BC$18</formula1>
    </dataValidation>
    <dataValidation type="list" allowBlank="1" showInputMessage="1" showErrorMessage="1" sqref="K48 E40 E24 H42 E42 E48 H48 K32 K30 K20 K24 K28 H14 E34 H10 Q10:Q22 E22 E14 E10 N10:N22 K10 H46 H20 H18 E20 E18 K18 Q24:Q49 H22 K14 K22 K26 K38 K36 H38 H36 E46 H32 H30 H28 H26 H24 E38 E36 K34 E32 E30 E28 E26 H44 N24:N49 E44 K46 K44 K42 K40 H40 H34 K12 H12 E12 H16 E16 K16" xr:uid="{00000000-0002-0000-0000-000003000000}">
      <formula1>$BC$10:$BC$14</formula1>
    </dataValidation>
    <dataValidation type="list" allowBlank="1" showInputMessage="1" showErrorMessage="1" sqref="AU10:AU50 AU52" xr:uid="{00000000-0002-0000-0000-000004000000}">
      <formula1>Estratégias</formula1>
    </dataValidation>
    <dataValidation type="list" allowBlank="1" showInputMessage="1" showErrorMessage="1" sqref="Q23 N23" xr:uid="{65A9C3EE-4C47-4AF7-852A-8D0DA3D9220A}">
      <formula1>$BC$10:$BC$12</formula1>
    </dataValidation>
    <dataValidation type="list" allowBlank="1" showInputMessage="1" showErrorMessage="1" sqref="W22:X22 AC30:AD30 AJ22 AC26:AD26 W28 W26:X26 AC32 AC22:AD22 AC24:AD24 W30 AC28:AD28 W24 AC34" xr:uid="{A872858A-8874-47B9-AE8D-A7BF3D03BD0C}">
      <formula1>$BC$16</formula1>
    </dataValidation>
    <dataValidation type="list" allowBlank="1" showInputMessage="1" showErrorMessage="1" sqref="K50 H52 E52 K52 N50:N52 Q50:Q52 H50 E50 AC50:AE50 AH52:AM52 W52:Z52 AC52:AE52 AH50:AM50 W50:Z50" xr:uid="{C8563BE8-D79B-4796-8D39-4C829475284E}">
      <formula1>#REF!</formula1>
    </dataValidation>
  </dataValidations>
  <pageMargins left="0" right="0" top="0" bottom="0" header="0" footer="0"/>
  <pageSetup paperSize="9" scale="73" fitToHeight="2" orientation="landscape" r:id="rId1"/>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3BEDE-C0EE-4EE3-989E-EC49B377EF1B}">
  <dimension ref="A1:AH72"/>
  <sheetViews>
    <sheetView topLeftCell="A45" workbookViewId="0">
      <selection activeCell="A45" sqref="A45"/>
    </sheetView>
  </sheetViews>
  <sheetFormatPr defaultColWidth="9.109375" defaultRowHeight="13.8" x14ac:dyDescent="0.3"/>
  <cols>
    <col min="1" max="1" width="8.33203125" style="265" bestFit="1" customWidth="1"/>
    <col min="2" max="2" width="28.6640625" style="265" bestFit="1" customWidth="1"/>
    <col min="3" max="3" width="16.88671875" style="265" bestFit="1" customWidth="1"/>
    <col min="4" max="4" width="11.6640625" style="265" customWidth="1"/>
    <col min="5" max="5" width="15.88671875" style="265" bestFit="1" customWidth="1"/>
    <col min="6" max="6" width="14.33203125" style="265" bestFit="1" customWidth="1"/>
    <col min="7" max="7" width="18.44140625" style="265" customWidth="1"/>
    <col min="8" max="8" width="14.33203125" style="265" bestFit="1" customWidth="1"/>
    <col min="9" max="9" width="16.109375" style="265" bestFit="1" customWidth="1"/>
    <col min="10" max="10" width="15.5546875" style="265" customWidth="1"/>
    <col min="11" max="13" width="14.33203125" style="265" bestFit="1" customWidth="1"/>
    <col min="14" max="14" width="15" style="265" bestFit="1" customWidth="1"/>
    <col min="15" max="27" width="14.33203125" style="265" bestFit="1" customWidth="1"/>
    <col min="28" max="31" width="14.33203125" style="265" customWidth="1"/>
    <col min="32" max="32" width="16.33203125" style="265" bestFit="1" customWidth="1"/>
    <col min="33" max="33" width="13.5546875" style="265" bestFit="1" customWidth="1"/>
    <col min="34" max="34" width="15" style="265" bestFit="1" customWidth="1"/>
    <col min="35" max="16384" width="9.109375" style="265"/>
  </cols>
  <sheetData>
    <row r="1" spans="1:16" x14ac:dyDescent="0.3">
      <c r="A1" s="323">
        <v>46082</v>
      </c>
      <c r="B1" s="271" t="s">
        <v>305</v>
      </c>
      <c r="C1" s="329" t="s">
        <v>361</v>
      </c>
    </row>
    <row r="2" spans="1:16" ht="3.75" customHeight="1" x14ac:dyDescent="0.3">
      <c r="B2" s="271"/>
      <c r="C2" s="271"/>
    </row>
    <row r="3" spans="1:16" s="270" customFormat="1" ht="14.4" thickBot="1" x14ac:dyDescent="0.35">
      <c r="B3" s="270" t="s">
        <v>291</v>
      </c>
    </row>
    <row r="4" spans="1:16" x14ac:dyDescent="0.3">
      <c r="O4" s="317" t="s">
        <v>338</v>
      </c>
      <c r="P4" s="318"/>
    </row>
    <row r="5" spans="1:16" s="263" customFormat="1" x14ac:dyDescent="0.3">
      <c r="B5" s="265"/>
      <c r="C5" s="265"/>
      <c r="E5" s="262" t="s">
        <v>311</v>
      </c>
      <c r="G5" s="261" t="s">
        <v>324</v>
      </c>
      <c r="H5" s="261" t="s">
        <v>325</v>
      </c>
      <c r="I5" s="261" t="s">
        <v>326</v>
      </c>
      <c r="J5" s="261"/>
      <c r="L5" s="263" t="s">
        <v>363</v>
      </c>
      <c r="O5" s="319"/>
      <c r="P5" s="320" t="s">
        <v>339</v>
      </c>
    </row>
    <row r="6" spans="1:16" ht="14.4" thickBot="1" x14ac:dyDescent="0.35">
      <c r="B6" s="264" t="s">
        <v>294</v>
      </c>
      <c r="C6" s="336" t="s">
        <v>362</v>
      </c>
      <c r="E6" s="264"/>
      <c r="G6" s="260" t="s">
        <v>312</v>
      </c>
      <c r="H6" s="326">
        <f>18100*15/12/2</f>
        <v>11312.5</v>
      </c>
      <c r="I6" s="327">
        <v>27</v>
      </c>
      <c r="J6" s="316"/>
      <c r="K6" s="325">
        <f>H6/0.8</f>
        <v>14140.625</v>
      </c>
      <c r="L6" s="300">
        <f>[2]PRELIMINAR!$I$180</f>
        <v>14132.39</v>
      </c>
      <c r="M6" s="265" t="b">
        <f>K6&lt;L6</f>
        <v>0</v>
      </c>
      <c r="N6" s="325">
        <f>L6-K6</f>
        <v>-8.2350000000005821</v>
      </c>
      <c r="O6" s="321"/>
      <c r="P6" s="322" t="s">
        <v>339</v>
      </c>
    </row>
    <row r="7" spans="1:16" x14ac:dyDescent="0.3">
      <c r="B7" s="264" t="s">
        <v>295</v>
      </c>
      <c r="C7" s="337">
        <v>46239533.549999997</v>
      </c>
      <c r="D7" s="334"/>
      <c r="E7" s="264"/>
      <c r="G7" s="260" t="s">
        <v>313</v>
      </c>
      <c r="H7" s="326">
        <f>13100*15/12</f>
        <v>16375</v>
      </c>
      <c r="I7" s="327">
        <v>30</v>
      </c>
      <c r="J7" s="316"/>
      <c r="K7" s="325">
        <f t="shared" ref="K7:K18" si="0">H7/0.8</f>
        <v>20468.75</v>
      </c>
      <c r="L7" s="300">
        <f>[2]PRELIMINAR!$I$181</f>
        <v>20618.419999999998</v>
      </c>
      <c r="M7" s="265" t="b">
        <f t="shared" ref="M7:M18" si="1">K7&lt;L7</f>
        <v>1</v>
      </c>
      <c r="N7" s="325">
        <f t="shared" ref="N7:N18" si="2">L7-K7</f>
        <v>149.66999999999825</v>
      </c>
    </row>
    <row r="8" spans="1:16" x14ac:dyDescent="0.3">
      <c r="B8" s="264" t="s">
        <v>340</v>
      </c>
      <c r="C8" s="274">
        <f>C7/C9</f>
        <v>38000.150843383388</v>
      </c>
      <c r="D8" s="334"/>
      <c r="E8" s="264"/>
      <c r="G8" s="260" t="s">
        <v>314</v>
      </c>
      <c r="H8" s="326">
        <f>2100*2</f>
        <v>4200</v>
      </c>
      <c r="I8" s="327">
        <v>27</v>
      </c>
      <c r="J8" s="316"/>
      <c r="K8" s="325">
        <f t="shared" si="0"/>
        <v>5250</v>
      </c>
      <c r="L8" s="300">
        <f>[2]PRELIMINAR!$I$182</f>
        <v>5279.04</v>
      </c>
      <c r="M8" s="265" t="b">
        <f t="shared" si="1"/>
        <v>1</v>
      </c>
      <c r="N8" s="325">
        <f t="shared" si="2"/>
        <v>29.039999999999964</v>
      </c>
    </row>
    <row r="9" spans="1:16" x14ac:dyDescent="0.3">
      <c r="B9" s="264" t="s">
        <v>296</v>
      </c>
      <c r="C9" s="338">
        <v>1216.825</v>
      </c>
      <c r="D9" s="334"/>
      <c r="E9" s="264"/>
      <c r="G9" s="260" t="s">
        <v>315</v>
      </c>
      <c r="H9" s="326">
        <f>9200*1.94</f>
        <v>17848</v>
      </c>
      <c r="I9" s="327">
        <v>27</v>
      </c>
      <c r="J9" s="316"/>
      <c r="K9" s="325">
        <f t="shared" si="0"/>
        <v>22310</v>
      </c>
      <c r="L9" s="300">
        <f>[2]PRELIMINAR!$I$183</f>
        <v>22221.88</v>
      </c>
      <c r="M9" s="265" t="b">
        <f t="shared" si="1"/>
        <v>0</v>
      </c>
      <c r="N9" s="325">
        <f t="shared" si="2"/>
        <v>-88.119999999998981</v>
      </c>
    </row>
    <row r="10" spans="1:16" x14ac:dyDescent="0.3">
      <c r="B10" s="264" t="s">
        <v>303</v>
      </c>
      <c r="C10" s="272">
        <v>27</v>
      </c>
      <c r="E10" s="264"/>
      <c r="G10" s="260" t="s">
        <v>316</v>
      </c>
      <c r="H10" s="326">
        <v>0</v>
      </c>
      <c r="I10" s="327"/>
      <c r="J10" s="316"/>
      <c r="K10" s="325">
        <f t="shared" si="0"/>
        <v>0</v>
      </c>
      <c r="L10" s="300"/>
      <c r="N10" s="325"/>
    </row>
    <row r="11" spans="1:16" x14ac:dyDescent="0.3">
      <c r="B11" s="264" t="s">
        <v>304</v>
      </c>
      <c r="C11" s="275">
        <v>46153</v>
      </c>
      <c r="E11" s="264" t="b">
        <f>C11=E34</f>
        <v>1</v>
      </c>
      <c r="G11" s="260" t="s">
        <v>317</v>
      </c>
      <c r="H11" s="326">
        <f>8000*15/12</f>
        <v>10000</v>
      </c>
      <c r="I11" s="327">
        <v>30</v>
      </c>
      <c r="J11" s="316"/>
      <c r="K11" s="325">
        <f t="shared" si="0"/>
        <v>12500</v>
      </c>
      <c r="L11" s="300">
        <f>[2]PRELIMINAR!$I$185</f>
        <v>11328.8</v>
      </c>
      <c r="M11" s="265" t="b">
        <f t="shared" si="1"/>
        <v>0</v>
      </c>
      <c r="N11" s="325">
        <f t="shared" si="2"/>
        <v>-1171.2000000000007</v>
      </c>
    </row>
    <row r="12" spans="1:16" x14ac:dyDescent="0.3">
      <c r="B12" s="264" t="s">
        <v>297</v>
      </c>
      <c r="C12" s="273">
        <f>9.5%*C7</f>
        <v>4392755.6872499995</v>
      </c>
      <c r="E12" s="331" t="b">
        <f>C12=C36</f>
        <v>0</v>
      </c>
      <c r="G12" s="260" t="s">
        <v>318</v>
      </c>
      <c r="H12" s="326">
        <v>0</v>
      </c>
      <c r="I12" s="327"/>
      <c r="J12" s="316"/>
      <c r="K12" s="325">
        <f t="shared" si="0"/>
        <v>0</v>
      </c>
      <c r="L12" s="300"/>
      <c r="N12" s="325"/>
    </row>
    <row r="13" spans="1:16" x14ac:dyDescent="0.3">
      <c r="B13" s="264" t="s">
        <v>299</v>
      </c>
      <c r="C13" s="336" t="s">
        <v>356</v>
      </c>
      <c r="E13" s="264"/>
      <c r="G13" s="260" t="s">
        <v>319</v>
      </c>
      <c r="H13" s="326">
        <f>4400*1.94</f>
        <v>8536</v>
      </c>
      <c r="I13" s="327">
        <v>27</v>
      </c>
      <c r="J13" s="316"/>
      <c r="K13" s="325">
        <f t="shared" si="0"/>
        <v>10670</v>
      </c>
      <c r="L13" s="300">
        <f>[2]PRELIMINAR!$I$187</f>
        <v>10633.68</v>
      </c>
      <c r="M13" s="265" t="b">
        <f t="shared" si="1"/>
        <v>0</v>
      </c>
      <c r="N13" s="325">
        <f t="shared" si="2"/>
        <v>-36.319999999999709</v>
      </c>
    </row>
    <row r="14" spans="1:16" x14ac:dyDescent="0.3">
      <c r="B14" s="264" t="s">
        <v>300</v>
      </c>
      <c r="C14" s="336" t="s">
        <v>356</v>
      </c>
      <c r="E14" s="264"/>
      <c r="G14" s="260" t="s">
        <v>320</v>
      </c>
      <c r="H14" s="326">
        <v>0</v>
      </c>
      <c r="I14" s="327"/>
      <c r="J14" s="316"/>
      <c r="K14" s="325">
        <f t="shared" si="0"/>
        <v>0</v>
      </c>
      <c r="L14" s="300"/>
      <c r="N14" s="325"/>
    </row>
    <row r="15" spans="1:16" x14ac:dyDescent="0.3">
      <c r="B15" s="264" t="s">
        <v>301</v>
      </c>
      <c r="C15" s="273">
        <v>2144183.44</v>
      </c>
      <c r="D15" s="333">
        <f>C15/C12</f>
        <v>0.48811807272221069</v>
      </c>
      <c r="E15" s="264"/>
      <c r="G15" s="260" t="s">
        <v>321</v>
      </c>
      <c r="H15" s="326">
        <f>14000*15/12/10</f>
        <v>1750</v>
      </c>
      <c r="I15" s="327">
        <v>27</v>
      </c>
      <c r="J15" s="328"/>
      <c r="K15" s="325">
        <f t="shared" si="0"/>
        <v>2187.5</v>
      </c>
      <c r="L15" s="300">
        <f>[2]PRELIMINAR!$I$189</f>
        <v>8425.1299999999992</v>
      </c>
      <c r="M15" s="265" t="b">
        <f t="shared" si="1"/>
        <v>1</v>
      </c>
      <c r="N15" s="325">
        <f t="shared" si="2"/>
        <v>6237.6299999999992</v>
      </c>
    </row>
    <row r="16" spans="1:16" x14ac:dyDescent="0.3">
      <c r="B16" s="264" t="s">
        <v>341</v>
      </c>
      <c r="C16" s="324">
        <v>5.0000000000000001E-3</v>
      </c>
      <c r="E16" s="264"/>
      <c r="G16" s="260" t="s">
        <v>322</v>
      </c>
      <c r="H16" s="326">
        <v>0</v>
      </c>
      <c r="I16" s="327"/>
      <c r="J16" s="316"/>
      <c r="K16" s="325">
        <f t="shared" si="0"/>
        <v>0</v>
      </c>
      <c r="L16" s="300"/>
      <c r="N16" s="325"/>
      <c r="O16" s="300"/>
    </row>
    <row r="17" spans="2:34" x14ac:dyDescent="0.3">
      <c r="B17" s="264" t="s">
        <v>342</v>
      </c>
      <c r="C17" s="273">
        <f>C16*C7</f>
        <v>231197.66774999999</v>
      </c>
      <c r="E17" s="264" t="b">
        <f>C17=C39</f>
        <v>1</v>
      </c>
      <c r="G17" s="260" t="s">
        <v>323</v>
      </c>
      <c r="H17" s="326">
        <v>0</v>
      </c>
      <c r="I17" s="327"/>
      <c r="J17" s="316"/>
      <c r="K17" s="325">
        <f t="shared" si="0"/>
        <v>0</v>
      </c>
      <c r="L17" s="300"/>
      <c r="N17" s="325"/>
      <c r="O17" s="325"/>
    </row>
    <row r="18" spans="2:34" x14ac:dyDescent="0.3">
      <c r="B18" s="264" t="s">
        <v>298</v>
      </c>
      <c r="C18" s="272" t="s">
        <v>356</v>
      </c>
      <c r="E18" s="264"/>
      <c r="G18" s="260" t="s">
        <v>355</v>
      </c>
      <c r="H18" s="326">
        <v>31000</v>
      </c>
      <c r="I18" s="327">
        <v>1</v>
      </c>
      <c r="J18" s="316"/>
      <c r="K18" s="325">
        <f t="shared" si="0"/>
        <v>38750</v>
      </c>
      <c r="L18" s="300">
        <f>[2]PRELIMINAR!$I$203</f>
        <v>39303.51</v>
      </c>
      <c r="M18" s="265" t="b">
        <f t="shared" si="1"/>
        <v>1</v>
      </c>
      <c r="N18" s="325">
        <f t="shared" si="2"/>
        <v>553.51000000000204</v>
      </c>
      <c r="O18" s="325"/>
    </row>
    <row r="19" spans="2:34" x14ac:dyDescent="0.3">
      <c r="B19" s="264" t="s">
        <v>302</v>
      </c>
      <c r="C19" s="276">
        <v>2653384.75</v>
      </c>
      <c r="E19" s="264" t="b">
        <f>C19&gt;-C42</f>
        <v>1</v>
      </c>
    </row>
    <row r="20" spans="2:34" x14ac:dyDescent="0.3">
      <c r="B20" s="264" t="s">
        <v>285</v>
      </c>
      <c r="C20" s="266">
        <v>9.8071251740445106E-2</v>
      </c>
      <c r="D20" s="267"/>
      <c r="E20" s="264"/>
      <c r="F20" s="268"/>
      <c r="G20" s="268"/>
      <c r="H20" s="268"/>
      <c r="I20" s="268"/>
      <c r="J20" s="268"/>
      <c r="K20" s="268"/>
      <c r="L20" s="268"/>
      <c r="M20" s="268"/>
      <c r="N20" s="268"/>
      <c r="O20" s="268"/>
      <c r="P20" s="268"/>
      <c r="Q20" s="268"/>
      <c r="R20" s="268"/>
      <c r="S20" s="268"/>
      <c r="T20" s="268"/>
      <c r="U20" s="268"/>
      <c r="V20" s="268"/>
      <c r="W20" s="268"/>
      <c r="X20" s="268"/>
      <c r="Y20" s="268"/>
      <c r="Z20" s="268"/>
      <c r="AA20" s="268"/>
      <c r="AB20" s="268"/>
      <c r="AC20" s="268"/>
      <c r="AD20" s="268"/>
      <c r="AE20" s="268"/>
      <c r="AF20" s="268"/>
      <c r="AG20" s="268"/>
      <c r="AH20" s="268"/>
    </row>
    <row r="21" spans="2:34" hidden="1" x14ac:dyDescent="0.3">
      <c r="B21" s="264" t="s">
        <v>327</v>
      </c>
      <c r="C21" s="273">
        <f>3%*C12</f>
        <v>131782.67061749997</v>
      </c>
      <c r="D21" s="267"/>
      <c r="E21" s="264"/>
      <c r="F21" s="268"/>
      <c r="G21" s="268"/>
      <c r="H21" s="268"/>
      <c r="I21" s="268"/>
      <c r="J21" s="268"/>
      <c r="K21" s="268"/>
      <c r="L21" s="268"/>
      <c r="M21" s="268"/>
      <c r="N21" s="268"/>
      <c r="O21" s="268"/>
      <c r="P21" s="268"/>
      <c r="Q21" s="268"/>
      <c r="R21" s="268"/>
      <c r="S21" s="268"/>
      <c r="T21" s="268"/>
      <c r="U21" s="268"/>
      <c r="V21" s="268"/>
      <c r="W21" s="268"/>
      <c r="X21" s="268"/>
      <c r="Y21" s="268"/>
      <c r="Z21" s="268"/>
      <c r="AA21" s="268"/>
      <c r="AB21" s="268"/>
      <c r="AC21" s="268"/>
      <c r="AD21" s="268"/>
      <c r="AE21" s="268"/>
      <c r="AF21" s="268"/>
      <c r="AG21" s="268"/>
      <c r="AH21" s="268"/>
    </row>
    <row r="22" spans="2:34" x14ac:dyDescent="0.3">
      <c r="B22" s="264" t="s">
        <v>329</v>
      </c>
      <c r="C22" s="273" t="s">
        <v>306</v>
      </c>
      <c r="D22" s="267"/>
      <c r="E22" s="264"/>
      <c r="F22" s="268"/>
      <c r="G22" s="268"/>
      <c r="H22" s="268"/>
      <c r="I22" s="268"/>
      <c r="J22" s="268"/>
      <c r="K22" s="268"/>
      <c r="L22" s="268"/>
      <c r="M22" s="268"/>
      <c r="N22" s="268"/>
      <c r="O22" s="268"/>
      <c r="P22" s="268"/>
      <c r="Q22" s="268"/>
      <c r="R22" s="268"/>
      <c r="S22" s="268"/>
      <c r="T22" s="268"/>
      <c r="U22" s="268"/>
      <c r="V22" s="268"/>
      <c r="W22" s="268"/>
      <c r="X22" s="268"/>
      <c r="Y22" s="268"/>
      <c r="Z22" s="268"/>
      <c r="AA22" s="268"/>
      <c r="AB22" s="268"/>
      <c r="AC22" s="268"/>
      <c r="AD22" s="268"/>
      <c r="AE22" s="268"/>
      <c r="AF22" s="268"/>
      <c r="AG22" s="268"/>
      <c r="AH22" s="268"/>
    </row>
    <row r="23" spans="2:34" x14ac:dyDescent="0.3">
      <c r="B23" s="264" t="s">
        <v>330</v>
      </c>
      <c r="C23" s="273">
        <v>0</v>
      </c>
      <c r="D23" s="267"/>
      <c r="E23" s="264"/>
      <c r="F23" s="268"/>
      <c r="G23" s="268"/>
      <c r="H23" s="268"/>
      <c r="I23" s="268"/>
      <c r="J23" s="268"/>
      <c r="K23" s="268"/>
      <c r="L23" s="268"/>
      <c r="M23" s="268"/>
      <c r="N23" s="268"/>
      <c r="O23" s="268"/>
      <c r="P23" s="268"/>
      <c r="Q23" s="268"/>
      <c r="R23" s="268"/>
      <c r="S23" s="268"/>
      <c r="T23" s="268"/>
      <c r="U23" s="268"/>
      <c r="V23" s="268"/>
      <c r="W23" s="268"/>
      <c r="X23" s="268"/>
      <c r="Y23" s="268"/>
      <c r="Z23" s="268"/>
      <c r="AA23" s="268"/>
      <c r="AB23" s="268"/>
      <c r="AC23" s="268"/>
      <c r="AD23" s="268"/>
      <c r="AE23" s="268"/>
      <c r="AF23" s="268"/>
      <c r="AG23" s="268"/>
      <c r="AH23" s="268"/>
    </row>
    <row r="24" spans="2:34" x14ac:dyDescent="0.3">
      <c r="B24" s="264" t="s">
        <v>284</v>
      </c>
      <c r="C24" s="266">
        <v>0.10879999999999999</v>
      </c>
      <c r="D24" s="267"/>
      <c r="E24" s="264"/>
      <c r="F24" s="268"/>
      <c r="G24" s="268"/>
      <c r="H24" s="268"/>
      <c r="I24" s="268"/>
      <c r="J24" s="268"/>
      <c r="K24" s="268"/>
      <c r="L24" s="268"/>
      <c r="M24" s="268"/>
      <c r="N24" s="268"/>
      <c r="O24" s="268"/>
      <c r="P24" s="268"/>
      <c r="Q24" s="268"/>
      <c r="R24" s="268"/>
      <c r="S24" s="268"/>
      <c r="T24" s="268"/>
      <c r="U24" s="268"/>
      <c r="V24" s="268"/>
      <c r="W24" s="268"/>
      <c r="X24" s="268"/>
      <c r="Y24" s="268"/>
      <c r="Z24" s="268"/>
      <c r="AA24" s="268"/>
      <c r="AB24" s="268"/>
      <c r="AC24" s="268"/>
      <c r="AD24" s="268"/>
      <c r="AE24" s="268"/>
      <c r="AF24" s="268"/>
      <c r="AG24" s="268"/>
      <c r="AH24" s="268"/>
    </row>
    <row r="25" spans="2:34" x14ac:dyDescent="0.3">
      <c r="B25" s="264"/>
      <c r="C25" s="314"/>
      <c r="D25" s="267"/>
      <c r="E25" s="264"/>
      <c r="F25" s="268"/>
      <c r="G25" s="268"/>
      <c r="H25" s="268"/>
      <c r="I25" s="268"/>
      <c r="J25" s="268"/>
      <c r="K25" s="268"/>
      <c r="L25" s="268"/>
      <c r="M25" s="268"/>
      <c r="N25" s="268"/>
      <c r="O25" s="268"/>
      <c r="P25" s="268"/>
      <c r="Q25" s="268"/>
      <c r="R25" s="268"/>
      <c r="S25" s="268"/>
      <c r="T25" s="268"/>
      <c r="U25" s="268"/>
      <c r="V25" s="268"/>
      <c r="W25" s="268"/>
      <c r="X25" s="268"/>
      <c r="Y25" s="268"/>
      <c r="Z25" s="268"/>
      <c r="AA25" s="268"/>
      <c r="AB25" s="268"/>
      <c r="AC25" s="268"/>
      <c r="AD25" s="268"/>
      <c r="AE25" s="268"/>
      <c r="AF25" s="268"/>
      <c r="AG25" s="268"/>
      <c r="AH25" s="268"/>
    </row>
    <row r="26" spans="2:34" x14ac:dyDescent="0.3">
      <c r="B26" s="264" t="s">
        <v>351</v>
      </c>
      <c r="C26" s="314">
        <v>0.15</v>
      </c>
      <c r="D26" s="267"/>
      <c r="E26" s="268"/>
      <c r="F26" s="268"/>
      <c r="G26" s="268"/>
      <c r="H26" s="268"/>
      <c r="I26" s="268"/>
      <c r="J26" s="268"/>
      <c r="K26" s="268"/>
      <c r="L26" s="268"/>
      <c r="M26" s="268"/>
      <c r="N26" s="268"/>
      <c r="O26" s="268"/>
      <c r="P26" s="268"/>
      <c r="Q26" s="268"/>
      <c r="R26" s="268"/>
      <c r="S26" s="268"/>
      <c r="T26" s="268"/>
      <c r="U26" s="268"/>
      <c r="V26" s="268"/>
      <c r="W26" s="268"/>
      <c r="X26" s="268"/>
      <c r="Y26" s="268"/>
      <c r="Z26" s="268"/>
      <c r="AA26" s="268"/>
      <c r="AB26" s="268"/>
      <c r="AC26" s="268"/>
      <c r="AD26" s="268"/>
      <c r="AE26" s="268"/>
      <c r="AF26" s="268"/>
      <c r="AG26" s="268"/>
      <c r="AH26" s="268"/>
    </row>
    <row r="27" spans="2:34" x14ac:dyDescent="0.3">
      <c r="B27" s="264" t="s">
        <v>352</v>
      </c>
      <c r="C27" s="314">
        <v>0.15</v>
      </c>
      <c r="D27" s="267"/>
      <c r="G27" s="268"/>
      <c r="H27" s="268"/>
      <c r="I27" s="268"/>
      <c r="J27" s="268"/>
      <c r="K27" s="268"/>
      <c r="L27" s="268"/>
      <c r="M27" s="268"/>
      <c r="N27" s="268"/>
      <c r="O27" s="268"/>
      <c r="P27" s="268"/>
      <c r="Q27" s="268"/>
      <c r="R27" s="268"/>
      <c r="S27" s="268"/>
      <c r="T27" s="268"/>
      <c r="U27" s="268"/>
      <c r="V27" s="268"/>
      <c r="W27" s="268"/>
      <c r="X27" s="268"/>
      <c r="Y27" s="268"/>
      <c r="Z27" s="268"/>
      <c r="AA27" s="268"/>
      <c r="AB27" s="268"/>
      <c r="AC27" s="268"/>
      <c r="AD27" s="268"/>
      <c r="AE27" s="268"/>
      <c r="AF27" s="268"/>
      <c r="AG27" s="268"/>
      <c r="AH27" s="268"/>
    </row>
    <row r="28" spans="2:34" x14ac:dyDescent="0.3">
      <c r="B28" s="264" t="s">
        <v>354</v>
      </c>
      <c r="C28" s="314">
        <v>0.15</v>
      </c>
      <c r="D28" s="267"/>
      <c r="G28" s="268"/>
      <c r="H28" s="268"/>
      <c r="I28" s="268"/>
      <c r="J28" s="268"/>
      <c r="K28" s="268"/>
      <c r="L28" s="268"/>
      <c r="M28" s="268"/>
      <c r="N28" s="268"/>
      <c r="O28" s="268"/>
      <c r="P28" s="268"/>
      <c r="Q28" s="268"/>
      <c r="R28" s="268"/>
      <c r="S28" s="268"/>
      <c r="T28" s="268"/>
      <c r="U28" s="268"/>
      <c r="V28" s="268"/>
      <c r="W28" s="268"/>
      <c r="X28" s="268"/>
      <c r="Y28" s="268"/>
      <c r="Z28" s="268"/>
      <c r="AA28" s="268"/>
      <c r="AB28" s="268"/>
      <c r="AC28" s="268"/>
      <c r="AD28" s="268"/>
      <c r="AE28" s="268"/>
      <c r="AF28" s="268"/>
      <c r="AG28" s="268"/>
      <c r="AH28" s="268"/>
    </row>
    <row r="29" spans="2:34" x14ac:dyDescent="0.3">
      <c r="D29" s="267"/>
      <c r="G29" s="268"/>
      <c r="H29" s="268"/>
      <c r="I29" s="268"/>
      <c r="J29" s="268"/>
      <c r="K29" s="268"/>
      <c r="L29" s="268"/>
      <c r="M29" s="268"/>
      <c r="N29" s="268"/>
      <c r="O29" s="268"/>
      <c r="P29" s="268"/>
      <c r="Q29" s="268"/>
      <c r="R29" s="268"/>
      <c r="S29" s="268"/>
      <c r="T29" s="268"/>
      <c r="U29" s="268"/>
      <c r="V29" s="268"/>
      <c r="W29" s="268"/>
      <c r="X29" s="268"/>
      <c r="Y29" s="268"/>
      <c r="Z29" s="268"/>
      <c r="AA29" s="268"/>
      <c r="AB29" s="268"/>
      <c r="AC29" s="268"/>
      <c r="AD29" s="268"/>
      <c r="AE29" s="268"/>
      <c r="AF29" s="268"/>
      <c r="AG29" s="268"/>
      <c r="AH29" s="268"/>
    </row>
    <row r="30" spans="2:34" x14ac:dyDescent="0.3">
      <c r="C30" s="269"/>
      <c r="D30" s="267"/>
      <c r="E30" s="268"/>
      <c r="F30" s="268"/>
      <c r="G30" s="268"/>
      <c r="H30" s="268"/>
      <c r="I30" s="268"/>
      <c r="J30" s="268"/>
      <c r="K30" s="268"/>
      <c r="L30" s="268"/>
      <c r="M30" s="268"/>
      <c r="N30" s="268"/>
      <c r="O30" s="268"/>
      <c r="P30" s="268"/>
      <c r="Q30" s="268"/>
      <c r="R30" s="268"/>
      <c r="S30" s="268"/>
      <c r="T30" s="268"/>
      <c r="U30" s="268"/>
      <c r="V30" s="268"/>
      <c r="W30" s="268"/>
      <c r="X30" s="268"/>
      <c r="Y30" s="268"/>
      <c r="Z30" s="268"/>
      <c r="AA30" s="268"/>
      <c r="AB30" s="268"/>
      <c r="AC30" s="268"/>
      <c r="AD30" s="268"/>
      <c r="AE30" s="268"/>
      <c r="AF30" s="268"/>
      <c r="AG30" s="268"/>
      <c r="AH30" s="268"/>
    </row>
    <row r="31" spans="2:34" s="270" customFormat="1" x14ac:dyDescent="0.3">
      <c r="B31" s="270" t="s">
        <v>292</v>
      </c>
    </row>
    <row r="32" spans="2:34" x14ac:dyDescent="0.3">
      <c r="E32" s="263" t="s">
        <v>309</v>
      </c>
      <c r="AF32" s="286" t="s">
        <v>310</v>
      </c>
    </row>
    <row r="33" spans="1:34" x14ac:dyDescent="0.3">
      <c r="D33" s="268"/>
      <c r="E33" s="287">
        <v>1</v>
      </c>
      <c r="F33" s="287">
        <v>2</v>
      </c>
      <c r="G33" s="287">
        <v>3</v>
      </c>
      <c r="H33" s="287">
        <v>4</v>
      </c>
      <c r="I33" s="287">
        <v>5</v>
      </c>
      <c r="J33" s="287">
        <v>6</v>
      </c>
      <c r="K33" s="287">
        <v>7</v>
      </c>
      <c r="L33" s="287">
        <v>8</v>
      </c>
      <c r="M33" s="287">
        <v>9</v>
      </c>
      <c r="N33" s="287">
        <v>10</v>
      </c>
      <c r="O33" s="287">
        <v>11</v>
      </c>
      <c r="P33" s="287">
        <v>12</v>
      </c>
      <c r="Q33" s="287">
        <v>13</v>
      </c>
      <c r="R33" s="287">
        <v>14</v>
      </c>
      <c r="S33" s="287">
        <v>15</v>
      </c>
      <c r="T33" s="287">
        <v>16</v>
      </c>
      <c r="U33" s="287">
        <v>17</v>
      </c>
      <c r="V33" s="287">
        <v>18</v>
      </c>
      <c r="W33" s="287">
        <v>19</v>
      </c>
      <c r="X33" s="287">
        <v>20</v>
      </c>
      <c r="Y33" s="287">
        <v>21</v>
      </c>
      <c r="Z33" s="287">
        <v>22</v>
      </c>
      <c r="AA33" s="287">
        <v>23</v>
      </c>
      <c r="AB33" s="287">
        <v>24</v>
      </c>
      <c r="AC33" s="287">
        <v>25</v>
      </c>
      <c r="AD33" s="287">
        <v>26</v>
      </c>
      <c r="AE33" s="287">
        <v>27</v>
      </c>
      <c r="AF33" s="285">
        <v>28</v>
      </c>
      <c r="AG33" s="285">
        <v>29</v>
      </c>
      <c r="AH33" s="285">
        <v>30</v>
      </c>
    </row>
    <row r="34" spans="1:34" x14ac:dyDescent="0.3">
      <c r="B34" s="268"/>
      <c r="C34" s="268"/>
      <c r="D34" s="268"/>
      <c r="E34" s="277">
        <f>C11</f>
        <v>46153</v>
      </c>
      <c r="F34" s="277">
        <f>E34+31</f>
        <v>46184</v>
      </c>
      <c r="G34" s="277">
        <f t="shared" ref="G34:AA34" si="3">F34+31</f>
        <v>46215</v>
      </c>
      <c r="H34" s="277">
        <f t="shared" si="3"/>
        <v>46246</v>
      </c>
      <c r="I34" s="277">
        <f t="shared" si="3"/>
        <v>46277</v>
      </c>
      <c r="J34" s="277">
        <f t="shared" si="3"/>
        <v>46308</v>
      </c>
      <c r="K34" s="277">
        <f t="shared" si="3"/>
        <v>46339</v>
      </c>
      <c r="L34" s="277">
        <f t="shared" si="3"/>
        <v>46370</v>
      </c>
      <c r="M34" s="277">
        <f t="shared" si="3"/>
        <v>46401</v>
      </c>
      <c r="N34" s="277">
        <f t="shared" si="3"/>
        <v>46432</v>
      </c>
      <c r="O34" s="277">
        <f t="shared" si="3"/>
        <v>46463</v>
      </c>
      <c r="P34" s="277">
        <f t="shared" si="3"/>
        <v>46494</v>
      </c>
      <c r="Q34" s="277">
        <f t="shared" si="3"/>
        <v>46525</v>
      </c>
      <c r="R34" s="277">
        <f t="shared" si="3"/>
        <v>46556</v>
      </c>
      <c r="S34" s="277">
        <f t="shared" si="3"/>
        <v>46587</v>
      </c>
      <c r="T34" s="277">
        <f t="shared" si="3"/>
        <v>46618</v>
      </c>
      <c r="U34" s="277">
        <f t="shared" si="3"/>
        <v>46649</v>
      </c>
      <c r="V34" s="277">
        <f t="shared" si="3"/>
        <v>46680</v>
      </c>
      <c r="W34" s="277">
        <f t="shared" si="3"/>
        <v>46711</v>
      </c>
      <c r="X34" s="277">
        <f t="shared" si="3"/>
        <v>46742</v>
      </c>
      <c r="Y34" s="277">
        <f t="shared" si="3"/>
        <v>46773</v>
      </c>
      <c r="Z34" s="277">
        <f t="shared" si="3"/>
        <v>46804</v>
      </c>
      <c r="AA34" s="277">
        <f t="shared" si="3"/>
        <v>46835</v>
      </c>
      <c r="AB34" s="277">
        <f t="shared" ref="AB34" si="4">AA34+31</f>
        <v>46866</v>
      </c>
      <c r="AC34" s="277">
        <f t="shared" ref="AC34" si="5">AB34+31</f>
        <v>46897</v>
      </c>
      <c r="AD34" s="277">
        <f t="shared" ref="AD34" si="6">AC34+31</f>
        <v>46928</v>
      </c>
      <c r="AE34" s="277">
        <f t="shared" ref="AE34" si="7">AD34+31</f>
        <v>46959</v>
      </c>
      <c r="AF34" s="277">
        <f t="shared" ref="AF34" si="8">AE34+31</f>
        <v>46990</v>
      </c>
      <c r="AG34" s="277">
        <f t="shared" ref="AG34" si="9">AF34+31</f>
        <v>47021</v>
      </c>
      <c r="AH34" s="277">
        <f t="shared" ref="AH34" si="10">AG34+31</f>
        <v>47052</v>
      </c>
    </row>
    <row r="35" spans="1:34" x14ac:dyDescent="0.3">
      <c r="A35" s="310"/>
      <c r="B35" s="297" t="s">
        <v>343</v>
      </c>
      <c r="C35" s="297" t="s">
        <v>307</v>
      </c>
      <c r="D35" s="297" t="s">
        <v>308</v>
      </c>
      <c r="E35" s="278"/>
      <c r="F35" s="278"/>
      <c r="G35" s="278"/>
      <c r="H35" s="278"/>
      <c r="I35" s="278"/>
      <c r="J35" s="278"/>
      <c r="K35" s="278"/>
      <c r="L35" s="278"/>
      <c r="M35" s="278"/>
      <c r="N35" s="278"/>
      <c r="O35" s="278"/>
      <c r="P35" s="278"/>
      <c r="Q35" s="278"/>
      <c r="R35" s="278"/>
      <c r="S35" s="278"/>
      <c r="T35" s="278"/>
      <c r="U35" s="278"/>
      <c r="V35" s="278"/>
      <c r="W35" s="278"/>
      <c r="X35" s="278"/>
      <c r="Y35" s="278"/>
      <c r="Z35" s="278"/>
      <c r="AA35" s="278"/>
      <c r="AB35" s="278"/>
      <c r="AC35" s="278"/>
      <c r="AD35" s="278"/>
      <c r="AE35" s="278"/>
      <c r="AF35" s="278"/>
      <c r="AG35" s="278"/>
      <c r="AH35" s="278"/>
    </row>
    <row r="36" spans="1:34" x14ac:dyDescent="0.3">
      <c r="A36" s="310" t="s">
        <v>276</v>
      </c>
      <c r="B36" s="288" t="s">
        <v>270</v>
      </c>
      <c r="C36" s="279">
        <f t="shared" ref="C36:C43" si="11">SUM(E36:AH36)</f>
        <v>2248572.2472499995</v>
      </c>
      <c r="D36" s="289">
        <f>C36/C7</f>
        <v>4.8628783091389981E-2</v>
      </c>
      <c r="E36" s="279">
        <f>($C$12-$C$15)*E56</f>
        <v>27846.431138556363</v>
      </c>
      <c r="F36" s="279">
        <f>($C$12-$C$15)*F56</f>
        <v>64727.693023730622</v>
      </c>
      <c r="G36" s="279">
        <f>($C$12-$C$15)*G56</f>
        <v>49277.730627153411</v>
      </c>
      <c r="H36" s="279">
        <f>($C$12-$C$15)*H56</f>
        <v>47467.472568059857</v>
      </c>
      <c r="I36" s="279">
        <f>($C$12-$C$15)*I56</f>
        <v>51314.082625707953</v>
      </c>
      <c r="J36" s="279">
        <f>($C$12-$C$15)*J56</f>
        <v>46796.656009537757</v>
      </c>
      <c r="K36" s="279">
        <f>($C$12-$C$15)*K56</f>
        <v>24094.890715521986</v>
      </c>
      <c r="L36" s="279">
        <f>($C$12-$C$15)*L56</f>
        <v>44306.63207437806</v>
      </c>
      <c r="M36" s="279">
        <f>($C$12-$C$15)*M56</f>
        <v>36718.780054587987</v>
      </c>
      <c r="N36" s="279">
        <f>($C$12-$C$15)*N56</f>
        <v>37787.166672146355</v>
      </c>
      <c r="O36" s="279">
        <f>($C$12-$C$15)*O56</f>
        <v>76506.523940835134</v>
      </c>
      <c r="P36" s="279">
        <f>($C$12-$C$15)*P56</f>
        <v>86509.072725502047</v>
      </c>
      <c r="Q36" s="279">
        <f>($C$12-$C$15)*Q56</f>
        <v>106803.67397166927</v>
      </c>
      <c r="R36" s="279">
        <f>($C$12-$C$15)*R56</f>
        <v>111831.57145941017</v>
      </c>
      <c r="S36" s="279">
        <f>($C$12-$C$15)*S56</f>
        <v>102200.39686709907</v>
      </c>
      <c r="T36" s="279">
        <f>($C$12-$C$15)*T56</f>
        <v>105617.46216835501</v>
      </c>
      <c r="U36" s="279">
        <f>($C$12-$C$15)*U56</f>
        <v>133027.2880336628</v>
      </c>
      <c r="V36" s="279">
        <f>($C$12-$C$15)*V56</f>
        <v>138941.28038687754</v>
      </c>
      <c r="W36" s="279">
        <f>($C$12-$C$15)*W56</f>
        <v>151515.45379355684</v>
      </c>
      <c r="X36" s="279">
        <f>($C$12-$C$15)*X56</f>
        <v>115641.95701815505</v>
      </c>
      <c r="Y36" s="279">
        <f>($C$12-$C$15)*Y56</f>
        <v>132735.91804186418</v>
      </c>
      <c r="Z36" s="279">
        <f>($C$12-$C$15)*Z56</f>
        <v>116139.52108502654</v>
      </c>
      <c r="AA36" s="279">
        <f>($C$12-$C$15)*AA56</f>
        <v>116153.50720440444</v>
      </c>
      <c r="AB36" s="279">
        <f>($C$12-$C$15)*AB56</f>
        <v>109570.83443630254</v>
      </c>
      <c r="AC36" s="279">
        <f>($C$12-$C$15)*AC56</f>
        <v>67367.067127552684</v>
      </c>
      <c r="AD36" s="279">
        <f>($C$12-$C$15)*AD56</f>
        <v>53377.6648341767</v>
      </c>
      <c r="AE36" s="279">
        <f>($C$12-$C$15)*AE56</f>
        <v>50562.924580791616</v>
      </c>
      <c r="AF36" s="279">
        <f>($C$12-$C$15)*AF56</f>
        <v>33797.659848185511</v>
      </c>
      <c r="AG36" s="279">
        <f>($C$12-$C$15)*AG56</f>
        <v>9934.9342171920907</v>
      </c>
      <c r="AH36" s="279">
        <f>($C$12-$C$15)*AH56</f>
        <v>0</v>
      </c>
    </row>
    <row r="37" spans="1:34" x14ac:dyDescent="0.3">
      <c r="A37" s="310" t="s">
        <v>276</v>
      </c>
      <c r="B37" s="288" t="s">
        <v>281</v>
      </c>
      <c r="C37" s="279">
        <f t="shared" si="11"/>
        <v>2144183.4400000004</v>
      </c>
      <c r="D37" s="289">
        <f>C15/C7</f>
        <v>4.6371216908610013E-2</v>
      </c>
      <c r="E37" s="279">
        <f>$C$15/$C$10</f>
        <v>79414.201481481476</v>
      </c>
      <c r="F37" s="279">
        <f>$C$15/$C$10</f>
        <v>79414.201481481476</v>
      </c>
      <c r="G37" s="279">
        <f>$C$15/$C$10</f>
        <v>79414.201481481476</v>
      </c>
      <c r="H37" s="279">
        <f>$C$15/$C$10</f>
        <v>79414.201481481476</v>
      </c>
      <c r="I37" s="279">
        <f>$C$15/$C$10</f>
        <v>79414.201481481476</v>
      </c>
      <c r="J37" s="279">
        <f>$C$15/$C$10</f>
        <v>79414.201481481476</v>
      </c>
      <c r="K37" s="279">
        <f>$C$15/$C$10</f>
        <v>79414.201481481476</v>
      </c>
      <c r="L37" s="279">
        <f>$C$15/$C$10</f>
        <v>79414.201481481476</v>
      </c>
      <c r="M37" s="279">
        <f>$C$15/$C$10</f>
        <v>79414.201481481476</v>
      </c>
      <c r="N37" s="279">
        <f>$C$15/$C$10</f>
        <v>79414.201481481476</v>
      </c>
      <c r="O37" s="279">
        <f>$C$15/$C$10</f>
        <v>79414.201481481476</v>
      </c>
      <c r="P37" s="279">
        <f>$C$15/$C$10</f>
        <v>79414.201481481476</v>
      </c>
      <c r="Q37" s="279">
        <f>$C$15/$C$10</f>
        <v>79414.201481481476</v>
      </c>
      <c r="R37" s="279">
        <f>$C$15/$C$10</f>
        <v>79414.201481481476</v>
      </c>
      <c r="S37" s="279">
        <f>$C$15/$C$10</f>
        <v>79414.201481481476</v>
      </c>
      <c r="T37" s="279">
        <f>$C$15/$C$10</f>
        <v>79414.201481481476</v>
      </c>
      <c r="U37" s="279">
        <f>$C$15/$C$10</f>
        <v>79414.201481481476</v>
      </c>
      <c r="V37" s="279">
        <f>$C$15/$C$10</f>
        <v>79414.201481481476</v>
      </c>
      <c r="W37" s="279">
        <f>$C$15/$C$10</f>
        <v>79414.201481481476</v>
      </c>
      <c r="X37" s="279">
        <f>$C$15/$C$10</f>
        <v>79414.201481481476</v>
      </c>
      <c r="Y37" s="279">
        <f>$C$15/$C$10</f>
        <v>79414.201481481476</v>
      </c>
      <c r="Z37" s="279">
        <f>$C$15/$C$10</f>
        <v>79414.201481481476</v>
      </c>
      <c r="AA37" s="279">
        <f>$C$15/$C$10</f>
        <v>79414.201481481476</v>
      </c>
      <c r="AB37" s="279">
        <f>$C$15/$C$10</f>
        <v>79414.201481481476</v>
      </c>
      <c r="AC37" s="279">
        <f>$C$15/$C$10</f>
        <v>79414.201481481476</v>
      </c>
      <c r="AD37" s="279">
        <f>$C$15/$C$10</f>
        <v>79414.201481481476</v>
      </c>
      <c r="AE37" s="279">
        <f>$C$15/$C$10</f>
        <v>79414.201481481476</v>
      </c>
      <c r="AF37" s="279"/>
      <c r="AG37" s="279"/>
      <c r="AH37" s="279"/>
    </row>
    <row r="38" spans="1:34" x14ac:dyDescent="0.3">
      <c r="A38" s="310" t="s">
        <v>276</v>
      </c>
      <c r="B38" s="288" t="s">
        <v>282</v>
      </c>
      <c r="C38" s="280">
        <f t="shared" si="11"/>
        <v>2653384.7500000009</v>
      </c>
      <c r="D38" s="289">
        <f>C19/C7</f>
        <v>5.7383467052729391E-2</v>
      </c>
      <c r="E38" s="281">
        <f>$C$19/$C$10</f>
        <v>98273.509259259255</v>
      </c>
      <c r="F38" s="281">
        <f>$C$19/$C$10</f>
        <v>98273.509259259255</v>
      </c>
      <c r="G38" s="281">
        <f>$C$19/$C$10</f>
        <v>98273.509259259255</v>
      </c>
      <c r="H38" s="281">
        <f>$C$19/$C$10</f>
        <v>98273.509259259255</v>
      </c>
      <c r="I38" s="281">
        <f>$C$19/$C$10</f>
        <v>98273.509259259255</v>
      </c>
      <c r="J38" s="281">
        <f>$C$19/$C$10</f>
        <v>98273.509259259255</v>
      </c>
      <c r="K38" s="281">
        <f>$C$19/$C$10</f>
        <v>98273.509259259255</v>
      </c>
      <c r="L38" s="281">
        <f>$C$19/$C$10</f>
        <v>98273.509259259255</v>
      </c>
      <c r="M38" s="281">
        <f>$C$19/$C$10</f>
        <v>98273.509259259255</v>
      </c>
      <c r="N38" s="281">
        <f>$C$19/$C$10</f>
        <v>98273.509259259255</v>
      </c>
      <c r="O38" s="281">
        <f>$C$19/$C$10</f>
        <v>98273.509259259255</v>
      </c>
      <c r="P38" s="281">
        <f>$C$19/$C$10</f>
        <v>98273.509259259255</v>
      </c>
      <c r="Q38" s="281">
        <f>$C$19/$C$10</f>
        <v>98273.509259259255</v>
      </c>
      <c r="R38" s="281">
        <f>$C$19/$C$10</f>
        <v>98273.509259259255</v>
      </c>
      <c r="S38" s="281">
        <f>$C$19/$C$10</f>
        <v>98273.509259259255</v>
      </c>
      <c r="T38" s="281">
        <f>$C$19/$C$10</f>
        <v>98273.509259259255</v>
      </c>
      <c r="U38" s="281">
        <f>$C$19/$C$10</f>
        <v>98273.509259259255</v>
      </c>
      <c r="V38" s="281">
        <f>$C$19/$C$10</f>
        <v>98273.509259259255</v>
      </c>
      <c r="W38" s="281">
        <f>$C$19/$C$10</f>
        <v>98273.509259259255</v>
      </c>
      <c r="X38" s="281">
        <f>$C$19/$C$10</f>
        <v>98273.509259259255</v>
      </c>
      <c r="Y38" s="281">
        <f>$C$19/$C$10</f>
        <v>98273.509259259255</v>
      </c>
      <c r="Z38" s="281">
        <f>$C$19/$C$10</f>
        <v>98273.509259259255</v>
      </c>
      <c r="AA38" s="281">
        <f>$C$19/$C$10</f>
        <v>98273.509259259255</v>
      </c>
      <c r="AB38" s="281">
        <f>$C$19/$C$10</f>
        <v>98273.509259259255</v>
      </c>
      <c r="AC38" s="281">
        <f>$C$19/$C$10</f>
        <v>98273.509259259255</v>
      </c>
      <c r="AD38" s="281">
        <f>$C$19/$C$10</f>
        <v>98273.509259259255</v>
      </c>
      <c r="AE38" s="281">
        <f>$C$19/$C$10</f>
        <v>98273.509259259255</v>
      </c>
      <c r="AF38" s="281"/>
      <c r="AG38" s="281"/>
      <c r="AH38" s="281"/>
    </row>
    <row r="39" spans="1:34" x14ac:dyDescent="0.3">
      <c r="A39" s="310" t="s">
        <v>276</v>
      </c>
      <c r="B39" s="288" t="s">
        <v>275</v>
      </c>
      <c r="C39" s="279">
        <f t="shared" si="11"/>
        <v>231197.66774999999</v>
      </c>
      <c r="D39" s="289">
        <f>C16</f>
        <v>5.0000000000000001E-3</v>
      </c>
      <c r="E39" s="278"/>
      <c r="F39" s="278"/>
      <c r="G39" s="278"/>
      <c r="H39" s="278"/>
      <c r="I39" s="278"/>
      <c r="J39" s="278"/>
      <c r="K39" s="278"/>
      <c r="L39" s="278"/>
      <c r="M39" s="278"/>
      <c r="N39" s="278"/>
      <c r="O39" s="278"/>
      <c r="P39" s="278"/>
      <c r="Q39" s="278"/>
      <c r="R39" s="278"/>
      <c r="S39" s="278"/>
      <c r="T39" s="278"/>
      <c r="U39" s="278"/>
      <c r="V39" s="278"/>
      <c r="W39" s="278"/>
      <c r="X39" s="278"/>
      <c r="Y39" s="278"/>
      <c r="Z39" s="278"/>
      <c r="AA39" s="278"/>
      <c r="AB39" s="278"/>
      <c r="AC39" s="278"/>
      <c r="AD39" s="278"/>
      <c r="AE39" s="278"/>
      <c r="AF39" s="281"/>
      <c r="AG39" s="278"/>
      <c r="AH39" s="279">
        <f>C16*C7</f>
        <v>231197.66774999999</v>
      </c>
    </row>
    <row r="40" spans="1:34" x14ac:dyDescent="0.3">
      <c r="A40" s="310" t="s">
        <v>278</v>
      </c>
      <c r="B40" s="288" t="s">
        <v>285</v>
      </c>
      <c r="C40" s="279">
        <f t="shared" si="11"/>
        <v>-713697.65729578864</v>
      </c>
      <c r="D40" s="289">
        <f>-C20</f>
        <v>-9.8071251740445106E-2</v>
      </c>
      <c r="E40" s="279">
        <f>$D$40*(E36+E37+E38+E39)</f>
        <v>-20156.990569500907</v>
      </c>
      <c r="F40" s="279">
        <f t="shared" ref="F40:AH40" si="12">$D$40*(F36+F37+F38+F39)</f>
        <v>-23773.982088347115</v>
      </c>
      <c r="G40" s="279">
        <f t="shared" si="12"/>
        <v>-22258.784936771979</v>
      </c>
      <c r="H40" s="279">
        <f t="shared" si="12"/>
        <v>-22081.250662943443</v>
      </c>
      <c r="I40" s="279">
        <f t="shared" si="12"/>
        <v>-22458.49252625438</v>
      </c>
      <c r="J40" s="279">
        <f t="shared" si="12"/>
        <v>-22015.462843360969</v>
      </c>
      <c r="K40" s="279">
        <f t="shared" si="12"/>
        <v>-19789.072304259043</v>
      </c>
      <c r="L40" s="279">
        <f t="shared" si="12"/>
        <v>-21771.263079176184</v>
      </c>
      <c r="M40" s="279">
        <f t="shared" si="12"/>
        <v>-21027.11293357411</v>
      </c>
      <c r="N40" s="279">
        <f t="shared" si="12"/>
        <v>-21131.8909465008</v>
      </c>
      <c r="O40" s="279">
        <f t="shared" si="12"/>
        <v>-24929.146780426607</v>
      </c>
      <c r="P40" s="279">
        <f t="shared" si="12"/>
        <v>-25910.10926033376</v>
      </c>
      <c r="Q40" s="279">
        <f t="shared" si="12"/>
        <v>-27900.426208118577</v>
      </c>
      <c r="R40" s="279">
        <f t="shared" si="12"/>
        <v>-28393.518408363965</v>
      </c>
      <c r="S40" s="279">
        <f t="shared" si="12"/>
        <v>-27448.977060365247</v>
      </c>
      <c r="T40" s="279">
        <f t="shared" si="12"/>
        <v>-27784.092931738262</v>
      </c>
      <c r="U40" s="279">
        <f t="shared" si="12"/>
        <v>-30472.208864336622</v>
      </c>
      <c r="V40" s="279">
        <f t="shared" si="12"/>
        <v>-31052.201497199814</v>
      </c>
      <c r="W40" s="279">
        <f t="shared" si="12"/>
        <v>-32285.366422794268</v>
      </c>
      <c r="X40" s="279">
        <f t="shared" si="12"/>
        <v>-28767.207689723793</v>
      </c>
      <c r="Y40" s="279">
        <f t="shared" si="12"/>
        <v>-30443.63384452133</v>
      </c>
      <c r="Z40" s="279">
        <f t="shared" si="12"/>
        <v>-28816.004420582944</v>
      </c>
      <c r="AA40" s="279">
        <f t="shared" si="12"/>
        <v>-28817.376056817327</v>
      </c>
      <c r="AB40" s="279">
        <f t="shared" ref="AB40:AE40" si="13">$D$40*(AB36+AB37+AB38+AB39)</f>
        <v>-28171.805098651836</v>
      </c>
      <c r="AC40" s="279">
        <f t="shared" si="13"/>
        <v>-24032.828810520259</v>
      </c>
      <c r="AD40" s="279">
        <f t="shared" si="13"/>
        <v>-22660.870616508222</v>
      </c>
      <c r="AE40" s="279">
        <f t="shared" si="13"/>
        <v>-22384.825516534529</v>
      </c>
      <c r="AF40" s="279">
        <f t="shared" si="12"/>
        <v>-3314.5788072093351</v>
      </c>
      <c r="AG40" s="279">
        <f t="shared" si="12"/>
        <v>-974.33143463900751</v>
      </c>
      <c r="AH40" s="279">
        <f t="shared" si="12"/>
        <v>-22673.844675714037</v>
      </c>
    </row>
    <row r="41" spans="1:34" x14ac:dyDescent="0.3">
      <c r="A41" s="310" t="s">
        <v>278</v>
      </c>
      <c r="B41" s="288" t="s">
        <v>280</v>
      </c>
      <c r="C41" s="279">
        <f t="shared" si="11"/>
        <v>-693593.00324999995</v>
      </c>
      <c r="D41" s="289">
        <v>-1.4999999999999999E-2</v>
      </c>
      <c r="E41" s="278"/>
      <c r="F41" s="278"/>
      <c r="G41" s="278"/>
      <c r="H41" s="278"/>
      <c r="I41" s="278"/>
      <c r="J41" s="278"/>
      <c r="K41" s="278"/>
      <c r="L41" s="278"/>
      <c r="M41" s="278"/>
      <c r="N41" s="278"/>
      <c r="O41" s="278"/>
      <c r="P41" s="278"/>
      <c r="Q41" s="278"/>
      <c r="R41" s="278"/>
      <c r="S41" s="278"/>
      <c r="T41" s="278"/>
      <c r="U41" s="278"/>
      <c r="V41" s="278"/>
      <c r="W41" s="278"/>
      <c r="X41" s="278"/>
      <c r="Y41" s="278"/>
      <c r="Z41" s="278"/>
      <c r="AA41" s="278"/>
      <c r="AB41" s="278"/>
      <c r="AC41" s="278"/>
      <c r="AD41" s="278"/>
      <c r="AE41" s="278"/>
      <c r="AF41" s="281"/>
      <c r="AG41" s="278"/>
      <c r="AH41" s="332">
        <f>D41*C7</f>
        <v>-693593.00324999995</v>
      </c>
    </row>
    <row r="42" spans="1:34" x14ac:dyDescent="0.3">
      <c r="A42" s="310" t="s">
        <v>277</v>
      </c>
      <c r="B42" s="288" t="s">
        <v>271</v>
      </c>
      <c r="C42" s="279">
        <f t="shared" si="11"/>
        <v>-2132488.1706175003</v>
      </c>
      <c r="D42" s="289">
        <f>C42/C7</f>
        <v>-4.6118288981258561E-2</v>
      </c>
      <c r="E42" s="280">
        <f>-((SUMPRODUCT($H$6:$H$18,$I$6:$I$18)/$C$10)+($C$21/$C$10))</f>
        <v>-78981.043356203707</v>
      </c>
      <c r="F42" s="280">
        <f>-((SUMPRODUCT($H$6:$H$18,$I$6:$I$18)/$C$10)+($C$21/$C$10))</f>
        <v>-78981.043356203707</v>
      </c>
      <c r="G42" s="280">
        <f>-((SUMPRODUCT($H$6:$H$18,$I$6:$I$18)/$C$10)+($C$21/$C$10))</f>
        <v>-78981.043356203707</v>
      </c>
      <c r="H42" s="280">
        <f>-((SUMPRODUCT($H$6:$H$18,$I$6:$I$18)/$C$10)+($C$21/$C$10))</f>
        <v>-78981.043356203707</v>
      </c>
      <c r="I42" s="280">
        <f>-((SUMPRODUCT($H$6:$H$18,$I$6:$I$18)/$C$10)+($C$21/$C$10))</f>
        <v>-78981.043356203707</v>
      </c>
      <c r="J42" s="280">
        <f>-((SUMPRODUCT($H$6:$H$18,$I$6:$I$18)/$C$10)+($C$21/$C$10))</f>
        <v>-78981.043356203707</v>
      </c>
      <c r="K42" s="280">
        <f>-((SUMPRODUCT($H$6:$H$18,$I$6:$I$18)/$C$10)+($C$21/$C$10))</f>
        <v>-78981.043356203707</v>
      </c>
      <c r="L42" s="280">
        <f>-((SUMPRODUCT($H$6:$H$18,$I$6:$I$18)/$C$10)+($C$21/$C$10))</f>
        <v>-78981.043356203707</v>
      </c>
      <c r="M42" s="280">
        <f>-((SUMPRODUCT($H$6:$H$18,$I$6:$I$18)/$C$10)+($C$21/$C$10))</f>
        <v>-78981.043356203707</v>
      </c>
      <c r="N42" s="280">
        <f>-((SUMPRODUCT($H$6:$H$18,$I$6:$I$18)/$C$10)+($C$21/$C$10))</f>
        <v>-78981.043356203707</v>
      </c>
      <c r="O42" s="280">
        <f>-((SUMPRODUCT($H$6:$H$18,$I$6:$I$18)/$C$10)+($C$21/$C$10))</f>
        <v>-78981.043356203707</v>
      </c>
      <c r="P42" s="280">
        <f>-((SUMPRODUCT($H$6:$H$18,$I$6:$I$18)/$C$10)+($C$21/$C$10))</f>
        <v>-78981.043356203707</v>
      </c>
      <c r="Q42" s="280">
        <f>-((SUMPRODUCT($H$6:$H$18,$I$6:$I$18)/$C$10)+($C$21/$C$10))</f>
        <v>-78981.043356203707</v>
      </c>
      <c r="R42" s="280">
        <f>-((SUMPRODUCT($H$6:$H$18,$I$6:$I$18)/$C$10)+($C$21/$C$10))</f>
        <v>-78981.043356203707</v>
      </c>
      <c r="S42" s="280">
        <f>-((SUMPRODUCT($H$6:$H$18,$I$6:$I$18)/$C$10)+($C$21/$C$10))</f>
        <v>-78981.043356203707</v>
      </c>
      <c r="T42" s="280">
        <f>-((SUMPRODUCT($H$6:$H$18,$I$6:$I$18)/$C$10)+($C$21/$C$10))</f>
        <v>-78981.043356203707</v>
      </c>
      <c r="U42" s="280">
        <f>-((SUMPRODUCT($H$6:$H$18,$I$6:$I$18)/$C$10)+($C$21/$C$10))</f>
        <v>-78981.043356203707</v>
      </c>
      <c r="V42" s="280">
        <f>-((SUMPRODUCT($H$6:$H$18,$I$6:$I$18)/$C$10)+($C$21/$C$10))</f>
        <v>-78981.043356203707</v>
      </c>
      <c r="W42" s="280">
        <f>-((SUMPRODUCT($H$6:$H$18,$I$6:$I$18)/$C$10)+($C$21/$C$10))</f>
        <v>-78981.043356203707</v>
      </c>
      <c r="X42" s="280">
        <f>-((SUMPRODUCT($H$6:$H$18,$I$6:$I$18)/$C$10)+($C$21/$C$10))</f>
        <v>-78981.043356203707</v>
      </c>
      <c r="Y42" s="280">
        <f>-((SUMPRODUCT($H$6:$H$18,$I$6:$I$18)/$C$10)+($C$21/$C$10))</f>
        <v>-78981.043356203707</v>
      </c>
      <c r="Z42" s="280">
        <f>-((SUMPRODUCT($H$6:$H$18,$I$6:$I$18)/$C$10)+($C$21/$C$10))</f>
        <v>-78981.043356203707</v>
      </c>
      <c r="AA42" s="280">
        <f>-((SUMPRODUCT($H$6:$H$18,$I$6:$I$18)/$C$10)+($C$21/$C$10))</f>
        <v>-78981.043356203707</v>
      </c>
      <c r="AB42" s="280">
        <f>-((SUMPRODUCT($H$6:$H$18,$I$6:$I$18)/$C$10)+($C$21/$C$10))</f>
        <v>-78981.043356203707</v>
      </c>
      <c r="AC42" s="280">
        <f>-((SUMPRODUCT($H$6:$H$18,$I$6:$I$18)/$C$10)+($C$21/$C$10))</f>
        <v>-78981.043356203707</v>
      </c>
      <c r="AD42" s="280">
        <f>-((SUMPRODUCT($H$6:$H$18,$I$6:$I$18)/$C$10)+($C$21/$C$10))</f>
        <v>-78981.043356203707</v>
      </c>
      <c r="AE42" s="280">
        <f>-((SUMPRODUCT($H$6:$H$18,$I$6:$I$18)/$C$10)+($C$21/$C$10))</f>
        <v>-78981.043356203707</v>
      </c>
      <c r="AF42" s="278"/>
      <c r="AG42" s="278"/>
      <c r="AH42" s="278"/>
    </row>
    <row r="43" spans="1:34" x14ac:dyDescent="0.3">
      <c r="A43" s="310" t="s">
        <v>277</v>
      </c>
      <c r="B43" s="288" t="s">
        <v>328</v>
      </c>
      <c r="C43" s="279">
        <f t="shared" si="11"/>
        <v>0</v>
      </c>
      <c r="D43" s="289">
        <f>C43/C7</f>
        <v>0</v>
      </c>
      <c r="E43" s="279">
        <f>-$C$23/$C$10</f>
        <v>0</v>
      </c>
      <c r="F43" s="279">
        <f>-$C$23/$C$10</f>
        <v>0</v>
      </c>
      <c r="G43" s="279">
        <f>-$C$23/$C$10</f>
        <v>0</v>
      </c>
      <c r="H43" s="279">
        <f>-$C$23/$C$10</f>
        <v>0</v>
      </c>
      <c r="I43" s="279">
        <f>-$C$23/$C$10</f>
        <v>0</v>
      </c>
      <c r="J43" s="279">
        <f>-$C$23/$C$10</f>
        <v>0</v>
      </c>
      <c r="K43" s="279">
        <f>-$C$23/$C$10</f>
        <v>0</v>
      </c>
      <c r="L43" s="279">
        <f>-$C$23/$C$10</f>
        <v>0</v>
      </c>
      <c r="M43" s="279">
        <f>-$C$23/$C$10</f>
        <v>0</v>
      </c>
      <c r="N43" s="279">
        <f>-$C$23/$C$10</f>
        <v>0</v>
      </c>
      <c r="O43" s="279">
        <f>-$C$23/$C$10</f>
        <v>0</v>
      </c>
      <c r="P43" s="279">
        <f>-$C$23/$C$10</f>
        <v>0</v>
      </c>
      <c r="Q43" s="279">
        <f>-$C$23/$C$10</f>
        <v>0</v>
      </c>
      <c r="R43" s="279">
        <f>-$C$23/$C$10</f>
        <v>0</v>
      </c>
      <c r="S43" s="279">
        <f>-$C$23/$C$10</f>
        <v>0</v>
      </c>
      <c r="T43" s="279">
        <f>-$C$23/$C$10</f>
        <v>0</v>
      </c>
      <c r="U43" s="279">
        <f>-$C$23/$C$10</f>
        <v>0</v>
      </c>
      <c r="V43" s="279">
        <f>-$C$23/$C$10</f>
        <v>0</v>
      </c>
      <c r="W43" s="279">
        <f>-$C$23/$C$10</f>
        <v>0</v>
      </c>
      <c r="X43" s="279">
        <f>-$C$23/$C$10</f>
        <v>0</v>
      </c>
      <c r="Y43" s="279">
        <f>-$C$23/$C$10</f>
        <v>0</v>
      </c>
      <c r="Z43" s="279">
        <f>-$C$23/$C$10</f>
        <v>0</v>
      </c>
      <c r="AA43" s="279">
        <f>-$C$23/$C$10</f>
        <v>0</v>
      </c>
      <c r="AB43" s="279">
        <f>-$C$23/$C$10</f>
        <v>0</v>
      </c>
      <c r="AC43" s="279">
        <f>-$C$23/$C$10</f>
        <v>0</v>
      </c>
      <c r="AD43" s="279">
        <f>-$C$23/$C$10</f>
        <v>0</v>
      </c>
      <c r="AE43" s="279">
        <f>-$C$23/$C$10</f>
        <v>0</v>
      </c>
      <c r="AF43" s="279">
        <f>-$C$23/$C$10</f>
        <v>0</v>
      </c>
      <c r="AG43" s="279">
        <f>-$C$23/$C$10</f>
        <v>0</v>
      </c>
      <c r="AH43" s="279">
        <f>-$C$23/$C$10</f>
        <v>0</v>
      </c>
    </row>
    <row r="44" spans="1:34" s="294" customFormat="1" ht="6.75" customHeight="1" x14ac:dyDescent="0.3">
      <c r="A44" s="310"/>
      <c r="B44" s="290"/>
      <c r="C44" s="291"/>
      <c r="D44" s="292"/>
      <c r="E44" s="293"/>
      <c r="F44" s="293"/>
      <c r="G44" s="293"/>
      <c r="H44" s="293"/>
      <c r="I44" s="293"/>
      <c r="J44" s="293"/>
      <c r="K44" s="293"/>
      <c r="L44" s="293"/>
      <c r="M44" s="293"/>
      <c r="N44" s="293"/>
      <c r="O44" s="293"/>
      <c r="P44" s="293"/>
      <c r="Q44" s="293"/>
      <c r="R44" s="293"/>
      <c r="S44" s="293"/>
      <c r="T44" s="293"/>
      <c r="U44" s="293"/>
      <c r="V44" s="293"/>
      <c r="W44" s="293"/>
      <c r="X44" s="293"/>
      <c r="Y44" s="293"/>
      <c r="Z44" s="293"/>
      <c r="AA44" s="293"/>
      <c r="AB44" s="293"/>
      <c r="AC44" s="293"/>
      <c r="AD44" s="293"/>
      <c r="AE44" s="293"/>
      <c r="AF44" s="293"/>
      <c r="AG44" s="293"/>
      <c r="AH44" s="293"/>
    </row>
    <row r="45" spans="1:34" x14ac:dyDescent="0.3">
      <c r="A45" s="310"/>
      <c r="B45" s="288" t="s">
        <v>333</v>
      </c>
      <c r="C45" s="279">
        <f>SUM(C36:C43)</f>
        <v>3737559.2738367114</v>
      </c>
      <c r="D45" s="289" t="s">
        <v>331</v>
      </c>
      <c r="E45" s="279">
        <f>SUM(E36:E43)</f>
        <v>106396.10795359249</v>
      </c>
      <c r="F45" s="279">
        <f t="shared" ref="F45:AH45" si="14">SUM(F36:F43)</f>
        <v>139660.37831992054</v>
      </c>
      <c r="G45" s="279">
        <f t="shared" si="14"/>
        <v>125725.61307491842</v>
      </c>
      <c r="H45" s="279">
        <f t="shared" si="14"/>
        <v>124092.88928965342</v>
      </c>
      <c r="I45" s="279">
        <f t="shared" si="14"/>
        <v>127562.25748399057</v>
      </c>
      <c r="J45" s="279">
        <f t="shared" si="14"/>
        <v>123487.86055071384</v>
      </c>
      <c r="K45" s="279">
        <f t="shared" si="14"/>
        <v>103012.48579579993</v>
      </c>
      <c r="L45" s="279">
        <f t="shared" si="14"/>
        <v>121242.03637973889</v>
      </c>
      <c r="M45" s="279">
        <f t="shared" si="14"/>
        <v>114398.33450555091</v>
      </c>
      <c r="N45" s="279">
        <f t="shared" si="14"/>
        <v>115361.94311018259</v>
      </c>
      <c r="O45" s="279">
        <f t="shared" si="14"/>
        <v>150284.04454494553</v>
      </c>
      <c r="P45" s="279">
        <f t="shared" si="14"/>
        <v>159305.63084970531</v>
      </c>
      <c r="Q45" s="279">
        <f t="shared" si="14"/>
        <v>177609.91514808769</v>
      </c>
      <c r="R45" s="279">
        <f t="shared" si="14"/>
        <v>182144.72043558321</v>
      </c>
      <c r="S45" s="279">
        <f t="shared" si="14"/>
        <v>173458.08719127084</v>
      </c>
      <c r="T45" s="279">
        <f t="shared" si="14"/>
        <v>176540.03662115379</v>
      </c>
      <c r="U45" s="279">
        <f t="shared" si="14"/>
        <v>201261.74655386322</v>
      </c>
      <c r="V45" s="279">
        <f t="shared" si="14"/>
        <v>206595.74627421476</v>
      </c>
      <c r="W45" s="279">
        <f t="shared" si="14"/>
        <v>217936.7547552996</v>
      </c>
      <c r="X45" s="279">
        <f t="shared" si="14"/>
        <v>185581.41671296826</v>
      </c>
      <c r="Y45" s="279">
        <f t="shared" si="14"/>
        <v>200998.95158187993</v>
      </c>
      <c r="Z45" s="279">
        <f t="shared" si="14"/>
        <v>186030.18404898059</v>
      </c>
      <c r="AA45" s="279">
        <f t="shared" si="14"/>
        <v>186042.79853212414</v>
      </c>
      <c r="AB45" s="279">
        <f t="shared" ref="AB45:AE45" si="15">SUM(AB36:AB43)</f>
        <v>180105.69672218774</v>
      </c>
      <c r="AC45" s="279">
        <f t="shared" si="15"/>
        <v>142040.90570156943</v>
      </c>
      <c r="AD45" s="279">
        <f t="shared" si="15"/>
        <v>129423.4616022055</v>
      </c>
      <c r="AE45" s="279">
        <f t="shared" si="15"/>
        <v>126884.76644879411</v>
      </c>
      <c r="AF45" s="279">
        <f t="shared" si="14"/>
        <v>30483.081040976176</v>
      </c>
      <c r="AG45" s="279">
        <f t="shared" si="14"/>
        <v>8960.6027825530837</v>
      </c>
      <c r="AH45" s="279">
        <f t="shared" si="14"/>
        <v>-485069.18017571396</v>
      </c>
    </row>
    <row r="46" spans="1:34" x14ac:dyDescent="0.3">
      <c r="A46" s="310"/>
      <c r="B46" s="288" t="s">
        <v>332</v>
      </c>
      <c r="C46" s="268" t="s">
        <v>331</v>
      </c>
      <c r="D46" s="282">
        <f>C45/(C36+C37+C38+C39+C40)</f>
        <v>0.56943388407937712</v>
      </c>
      <c r="E46" s="282">
        <f>E45/(E36+E37+E38+E39+E40)</f>
        <v>0.5739440227765007</v>
      </c>
      <c r="F46" s="282">
        <f t="shared" ref="F46:AH46" si="16">F45/(F36+F37+F38+F39+F40)</f>
        <v>0.63876449965094384</v>
      </c>
      <c r="G46" s="282">
        <f t="shared" si="16"/>
        <v>0.61417452303130871</v>
      </c>
      <c r="H46" s="282">
        <f t="shared" si="16"/>
        <v>0.61107246840026674</v>
      </c>
      <c r="I46" s="282">
        <f t="shared" si="16"/>
        <v>0.61760539782739043</v>
      </c>
      <c r="J46" s="282">
        <f t="shared" si="16"/>
        <v>0.6099102537122727</v>
      </c>
      <c r="K46" s="282">
        <f t="shared" si="16"/>
        <v>0.5660227936442862</v>
      </c>
      <c r="L46" s="282">
        <f t="shared" si="16"/>
        <v>0.60553476921659</v>
      </c>
      <c r="M46" s="282">
        <f t="shared" si="16"/>
        <v>0.59157463308902236</v>
      </c>
      <c r="N46" s="282">
        <f t="shared" si="16"/>
        <v>0.59359972390943816</v>
      </c>
      <c r="O46" s="282">
        <f t="shared" si="16"/>
        <v>0.6555033996704398</v>
      </c>
      <c r="P46" s="282">
        <f t="shared" si="16"/>
        <v>0.66854611732104519</v>
      </c>
      <c r="Q46" s="282">
        <f t="shared" si="16"/>
        <v>0.69219085576282002</v>
      </c>
      <c r="R46" s="282">
        <f t="shared" si="16"/>
        <v>0.69753638166787479</v>
      </c>
      <c r="S46" s="282">
        <f t="shared" si="16"/>
        <v>0.6871283656186169</v>
      </c>
      <c r="T46" s="282">
        <f t="shared" si="16"/>
        <v>0.69090204470330796</v>
      </c>
      <c r="U46" s="282">
        <f t="shared" si="16"/>
        <v>0.71816922254610149</v>
      </c>
      <c r="V46" s="282">
        <f t="shared" si="16"/>
        <v>0.72343325429767014</v>
      </c>
      <c r="W46" s="282">
        <f t="shared" si="16"/>
        <v>0.7339969383494368</v>
      </c>
      <c r="X46" s="282">
        <f t="shared" si="16"/>
        <v>0.7014654182775838</v>
      </c>
      <c r="Y46" s="282">
        <f t="shared" si="16"/>
        <v>0.71790469039164739</v>
      </c>
      <c r="Z46" s="282">
        <f t="shared" si="16"/>
        <v>0.70197095372322837</v>
      </c>
      <c r="AA46" s="282">
        <f t="shared" si="16"/>
        <v>0.70198513917293648</v>
      </c>
      <c r="AB46" s="282">
        <f t="shared" ref="AB46:AE46" si="17">AB45/(AB36+AB37+AB38+AB39+AB40)</f>
        <v>0.69515598006942947</v>
      </c>
      <c r="AC46" s="282">
        <f t="shared" si="17"/>
        <v>0.64265520373472607</v>
      </c>
      <c r="AD46" s="282">
        <f t="shared" si="17"/>
        <v>0.62102046032082769</v>
      </c>
      <c r="AE46" s="282">
        <f t="shared" si="17"/>
        <v>0.61634696197966587</v>
      </c>
      <c r="AF46" s="282">
        <f t="shared" si="16"/>
        <v>1</v>
      </c>
      <c r="AG46" s="282">
        <f t="shared" si="16"/>
        <v>1</v>
      </c>
      <c r="AH46" s="282">
        <f t="shared" si="16"/>
        <v>-2.326205097452628</v>
      </c>
    </row>
    <row r="47" spans="1:34" ht="7.5" customHeight="1" x14ac:dyDescent="0.3">
      <c r="A47" s="310"/>
      <c r="B47" s="283"/>
      <c r="C47" s="283"/>
      <c r="D47" s="264"/>
      <c r="E47" s="283"/>
      <c r="F47" s="283"/>
      <c r="G47" s="283"/>
      <c r="H47" s="283"/>
      <c r="I47" s="283"/>
      <c r="J47" s="283"/>
      <c r="K47" s="283"/>
      <c r="L47" s="283"/>
      <c r="M47" s="283"/>
      <c r="N47" s="283"/>
      <c r="O47" s="283"/>
      <c r="P47" s="283"/>
      <c r="Q47" s="283"/>
      <c r="R47" s="283"/>
      <c r="S47" s="283"/>
      <c r="T47" s="283"/>
      <c r="U47" s="283"/>
      <c r="V47" s="283"/>
      <c r="W47" s="283"/>
      <c r="X47" s="283"/>
      <c r="Y47" s="283"/>
      <c r="Z47" s="283"/>
      <c r="AA47" s="283"/>
      <c r="AB47" s="283"/>
      <c r="AC47" s="283"/>
      <c r="AD47" s="283"/>
      <c r="AE47" s="283"/>
      <c r="AF47" s="283"/>
      <c r="AG47" s="283"/>
      <c r="AH47" s="283"/>
    </row>
    <row r="48" spans="1:34" x14ac:dyDescent="0.3">
      <c r="A48" s="310" t="s">
        <v>278</v>
      </c>
      <c r="B48" s="288" t="s">
        <v>334</v>
      </c>
      <c r="C48" s="279">
        <f>SUM(E48:AH48)</f>
        <v>-947350.94112095935</v>
      </c>
      <c r="D48" s="313" t="s">
        <v>353</v>
      </c>
      <c r="E48" s="315">
        <f>-$C$26*(E36+E37+E38+E40)</f>
        <v>-27806.57269646943</v>
      </c>
      <c r="F48" s="315">
        <f>-$C$26*(F36+F37+F38+F40)</f>
        <v>-32796.213251418638</v>
      </c>
      <c r="G48" s="315">
        <f>-$C$26*(G36+G37+G38+G40)</f>
        <v>-30705.998464668319</v>
      </c>
      <c r="H48" s="315">
        <f>-$C$26*(H36+H37+H38+H40)</f>
        <v>-30461.08989687857</v>
      </c>
      <c r="I48" s="315">
        <f>-$C$26*(I36+I37+I38+I40)</f>
        <v>-30981.495126029142</v>
      </c>
      <c r="J48" s="315">
        <f>-$C$26*(J36+J37+J38+J40)</f>
        <v>-30370.335586037632</v>
      </c>
      <c r="K48" s="315">
        <f>-$C$26*(K36+K37+K38+K40)</f>
        <v>-27299.029372800545</v>
      </c>
      <c r="L48" s="315">
        <f>-$C$26*(L36+L37+L38+L40)</f>
        <v>-30033.461960391389</v>
      </c>
      <c r="M48" s="315">
        <f>-$C$27*(M36+M37+M38+M40)</f>
        <v>-29006.906679263193</v>
      </c>
      <c r="N48" s="315">
        <f>-$C$27*(N36+N37+N38+N40)</f>
        <v>-29151.447969957942</v>
      </c>
      <c r="O48" s="315">
        <f>-$C$27*(O36+O37+O38+O40)</f>
        <v>-34389.763185172385</v>
      </c>
      <c r="P48" s="315">
        <f>-$C$27*(P36+P37+P38+P40)</f>
        <v>-35743.001130886354</v>
      </c>
      <c r="Q48" s="315">
        <f>-$C$27*(Q36+Q37+Q38+Q40)</f>
        <v>-38488.643775643708</v>
      </c>
      <c r="R48" s="315">
        <f>-$C$27*(R36+R37+R38+R40)</f>
        <v>-39168.864568768033</v>
      </c>
      <c r="S48" s="315">
        <f>-$C$27*(S36+S37+S38+S40)</f>
        <v>-37865.86958212118</v>
      </c>
      <c r="T48" s="315">
        <f>-$C$27*(T36+T37+T38+T40)</f>
        <v>-38328.161996603623</v>
      </c>
      <c r="U48" s="315">
        <f>-$C$27*(U36+U37+U38+U40)</f>
        <v>-42036.41848651004</v>
      </c>
      <c r="V48" s="315">
        <f>-$C$27*(V36+V37+V38+V40)</f>
        <v>-42836.518444562767</v>
      </c>
      <c r="W48" s="315">
        <f>-$C$27*(W36+W37+W38+W40)</f>
        <v>-44537.669716725497</v>
      </c>
      <c r="X48" s="315">
        <f>-$C$27*(X36+X37+X38+X40)</f>
        <v>-39684.369010375791</v>
      </c>
      <c r="Y48" s="315">
        <f>-$C$28*(Y36+Y37+Y38+Y40)</f>
        <v>-41996.999240712546</v>
      </c>
      <c r="Z48" s="315">
        <f>-$C$28*(Z36+Z37+Z38+Z40)</f>
        <v>-39751.684110777642</v>
      </c>
      <c r="AA48" s="315">
        <f>-$C$28*(AA36+AA37+AA38+AA40)</f>
        <v>-39753.576283249175</v>
      </c>
      <c r="AB48" s="315">
        <f>-$C$28*(AB36+AB37+AB38+AB40)</f>
        <v>-38863.011011758717</v>
      </c>
      <c r="AC48" s="315">
        <f>-$C$28*(AC36+AC37+AC38+AC40)</f>
        <v>-33153.292358665967</v>
      </c>
      <c r="AD48" s="315">
        <f>-$C$28*(AD36+AD37+AD38+AD40)</f>
        <v>-31260.675743761378</v>
      </c>
      <c r="AE48" s="315">
        <f>-$C$28*(AE36+AE37+AE38+AE40)</f>
        <v>-30879.871470749669</v>
      </c>
      <c r="AF48" s="315"/>
      <c r="AG48" s="315"/>
      <c r="AH48" s="315"/>
    </row>
    <row r="49" spans="1:34" s="294" customFormat="1" ht="7.5" customHeight="1" x14ac:dyDescent="0.3">
      <c r="A49" s="310"/>
      <c r="B49" s="295"/>
      <c r="C49" s="295"/>
      <c r="D49" s="296"/>
      <c r="E49" s="295"/>
      <c r="F49" s="295"/>
      <c r="G49" s="295"/>
      <c r="H49" s="295"/>
      <c r="I49" s="295"/>
      <c r="J49" s="295"/>
      <c r="K49" s="295"/>
      <c r="L49" s="295"/>
      <c r="M49" s="295"/>
      <c r="N49" s="295"/>
      <c r="O49" s="295"/>
      <c r="P49" s="295"/>
      <c r="Q49" s="295"/>
      <c r="R49" s="295"/>
      <c r="S49" s="295"/>
      <c r="T49" s="295"/>
      <c r="U49" s="295"/>
      <c r="V49" s="295"/>
      <c r="W49" s="295"/>
      <c r="X49" s="295"/>
      <c r="Y49" s="295"/>
      <c r="Z49" s="295"/>
      <c r="AA49" s="295"/>
      <c r="AB49" s="295"/>
      <c r="AC49" s="295"/>
      <c r="AD49" s="295"/>
      <c r="AE49" s="295"/>
      <c r="AF49" s="295"/>
      <c r="AG49" s="295"/>
      <c r="AH49" s="295"/>
    </row>
    <row r="50" spans="1:34" x14ac:dyDescent="0.3">
      <c r="A50" s="310"/>
      <c r="B50" s="288" t="s">
        <v>335</v>
      </c>
      <c r="C50" s="279">
        <f>SUM(E50:AH50)</f>
        <v>2790208.3327157516</v>
      </c>
      <c r="D50" s="278" t="s">
        <v>331</v>
      </c>
      <c r="E50" s="284">
        <f>SUM(E36:E43,E48)</f>
        <v>78589.535257123061</v>
      </c>
      <c r="F50" s="284">
        <f t="shared" ref="F50:AH50" si="18">SUM(F36:F43,F48)</f>
        <v>106864.1650685019</v>
      </c>
      <c r="G50" s="284">
        <f t="shared" si="18"/>
        <v>95019.614610250108</v>
      </c>
      <c r="H50" s="284">
        <f t="shared" si="18"/>
        <v>93631.799392774847</v>
      </c>
      <c r="I50" s="284">
        <f t="shared" si="18"/>
        <v>96580.76235796143</v>
      </c>
      <c r="J50" s="284">
        <f t="shared" si="18"/>
        <v>93117.524964676209</v>
      </c>
      <c r="K50" s="284">
        <f t="shared" si="18"/>
        <v>75713.456422999385</v>
      </c>
      <c r="L50" s="284">
        <f t="shared" si="18"/>
        <v>91208.574419347497</v>
      </c>
      <c r="M50" s="284">
        <f t="shared" si="18"/>
        <v>85391.42782628772</v>
      </c>
      <c r="N50" s="284">
        <f t="shared" si="18"/>
        <v>86210.495140224652</v>
      </c>
      <c r="O50" s="284">
        <f t="shared" si="18"/>
        <v>115894.28135977314</v>
      </c>
      <c r="P50" s="284">
        <f t="shared" si="18"/>
        <v>123562.62971881896</v>
      </c>
      <c r="Q50" s="284">
        <f t="shared" si="18"/>
        <v>139121.271372444</v>
      </c>
      <c r="R50" s="284">
        <f t="shared" si="18"/>
        <v>142975.85586681517</v>
      </c>
      <c r="S50" s="284">
        <f t="shared" si="18"/>
        <v>135592.21760914967</v>
      </c>
      <c r="T50" s="284">
        <f t="shared" si="18"/>
        <v>138211.87462455017</v>
      </c>
      <c r="U50" s="284">
        <f t="shared" si="18"/>
        <v>159225.32806735317</v>
      </c>
      <c r="V50" s="284">
        <f t="shared" si="18"/>
        <v>163759.22782965199</v>
      </c>
      <c r="W50" s="284">
        <f t="shared" si="18"/>
        <v>173399.08503857409</v>
      </c>
      <c r="X50" s="284">
        <f t="shared" si="18"/>
        <v>145897.04770259248</v>
      </c>
      <c r="Y50" s="284">
        <f t="shared" si="18"/>
        <v>159001.95234116737</v>
      </c>
      <c r="Z50" s="284">
        <f t="shared" si="18"/>
        <v>146278.49993820296</v>
      </c>
      <c r="AA50" s="284">
        <f t="shared" si="18"/>
        <v>146289.22224887495</v>
      </c>
      <c r="AB50" s="284">
        <f t="shared" ref="AB50:AE50" si="19">SUM(AB36:AB43,AB48)</f>
        <v>141242.68571042904</v>
      </c>
      <c r="AC50" s="284">
        <f t="shared" si="19"/>
        <v>108887.61334290347</v>
      </c>
      <c r="AD50" s="284">
        <f t="shared" si="19"/>
        <v>98162.785858444113</v>
      </c>
      <c r="AE50" s="284">
        <f t="shared" si="19"/>
        <v>96004.894978044438</v>
      </c>
      <c r="AF50" s="284">
        <f t="shared" si="18"/>
        <v>30483.081040976176</v>
      </c>
      <c r="AG50" s="284">
        <f t="shared" si="18"/>
        <v>8960.6027825530837</v>
      </c>
      <c r="AH50" s="284">
        <f t="shared" si="18"/>
        <v>-485069.18017571396</v>
      </c>
    </row>
    <row r="51" spans="1:34" x14ac:dyDescent="0.3">
      <c r="A51" s="310"/>
      <c r="B51" s="283" t="s">
        <v>284</v>
      </c>
      <c r="C51" s="279">
        <f>SUM(E51:AH51)</f>
        <v>-791774.38582399988</v>
      </c>
      <c r="D51" s="266">
        <f>C24</f>
        <v>0.10879999999999999</v>
      </c>
      <c r="E51" s="284">
        <f>-$C$24*(E36+E37+E38+E39)</f>
        <v>-22362.114636467522</v>
      </c>
      <c r="F51" s="284">
        <f>-$C$24*(F36+F37+F38+F39)</f>
        <v>-26374.79592957448</v>
      </c>
      <c r="G51" s="284">
        <f>-$C$24*(G36+G37+G38+G39)</f>
        <v>-24693.840020826879</v>
      </c>
      <c r="H51" s="284">
        <f>-$C$24*(H36+H37+H38+H39)</f>
        <v>-24496.883943997502</v>
      </c>
      <c r="I51" s="284">
        <f>-$C$24*(I36+I37+I38+I39)</f>
        <v>-24915.395118269615</v>
      </c>
      <c r="J51" s="284">
        <f>-$C$24*(J36+J37+J38+J39)</f>
        <v>-24423.8991024303</v>
      </c>
      <c r="K51" s="284">
        <f>-$C$24*(K36+K37+K38+K39)</f>
        <v>-21953.94703844138</v>
      </c>
      <c r="L51" s="284">
        <f>-$C$24*(L36+L37+L38+L39)</f>
        <v>-24152.984498284921</v>
      </c>
      <c r="M51" s="284">
        <f>-$C$24*(M36+M37+M38+M39)</f>
        <v>-23327.426198531764</v>
      </c>
      <c r="N51" s="284">
        <f>-$C$24*(N36+N37+N38+N39)</f>
        <v>-23443.666662522115</v>
      </c>
      <c r="O51" s="284">
        <f>-$C$24*(O36+O37+O38+O39)</f>
        <v>-27656.332733355452</v>
      </c>
      <c r="P51" s="284">
        <f>-$C$24*(P36+P37+P38+P39)</f>
        <v>-28744.610041127213</v>
      </c>
      <c r="Q51" s="284">
        <f>-$C$24*(Q36+Q37+Q38+Q39)</f>
        <v>-30952.662656710203</v>
      </c>
      <c r="R51" s="284">
        <f>-$C$24*(R36+R37+R38+R39)</f>
        <v>-31499.697903376415</v>
      </c>
      <c r="S51" s="284">
        <f>-$C$24*(S36+S37+S38+S39)</f>
        <v>-30451.82610773297</v>
      </c>
      <c r="T51" s="284">
        <f>-$C$24*(T36+T37+T38+T39)</f>
        <v>-30823.602812509616</v>
      </c>
      <c r="U51" s="284">
        <f>-$C$24*(U36+U37+U38+U39)</f>
        <v>-33805.791866655105</v>
      </c>
      <c r="V51" s="284">
        <f>-$C$24*(V36+V37+V38+V39)</f>
        <v>-34449.234234684867</v>
      </c>
      <c r="W51" s="284">
        <f>-$C$24*(W36+W37+W38+W39)</f>
        <v>-35817.304301331576</v>
      </c>
      <c r="X51" s="284">
        <f>-$C$24*(X36+X37+X38+X39)</f>
        <v>-31914.267852167861</v>
      </c>
      <c r="Y51" s="284">
        <f>-$C$24*(Y36+Y37+Y38+Y39)</f>
        <v>-33774.090811547416</v>
      </c>
      <c r="Z51" s="284">
        <f>-$C$24*(Z36+Z37+Z38+Z39)</f>
        <v>-31968.402822643475</v>
      </c>
      <c r="AA51" s="284">
        <f>-$C$24*(AA36+AA37+AA38+AA39)</f>
        <v>-31969.924512431789</v>
      </c>
      <c r="AB51" s="284">
        <f>-$C$24*(AB36+AB37+AB38+AB39)</f>
        <v>-31253.72971526231</v>
      </c>
      <c r="AC51" s="284">
        <f>-$C$24*(AC36+AC37+AC38+AC39)</f>
        <v>-26661.959832070319</v>
      </c>
      <c r="AD51" s="284">
        <f>-$C$24*(AD36+AD37+AD38+AD39)</f>
        <v>-25139.912862551013</v>
      </c>
      <c r="AE51" s="284">
        <f>-$C$24*(AE36+AE37+AE38+AE39)</f>
        <v>-24833.669122982719</v>
      </c>
      <c r="AF51" s="284">
        <f>-$C$24*(AF36+AF37+AF38+AF39)</f>
        <v>-3677.1853914825833</v>
      </c>
      <c r="AG51" s="284">
        <f>-$C$24*(AG36+AG37+AG38+AG39)</f>
        <v>-1080.9208428304994</v>
      </c>
      <c r="AH51" s="284">
        <f>-$C$24*(AH36+AH37+AH38+AH39)</f>
        <v>-25154.3062512</v>
      </c>
    </row>
    <row r="52" spans="1:34" x14ac:dyDescent="0.3">
      <c r="A52" s="310"/>
      <c r="B52" s="283" t="s">
        <v>272</v>
      </c>
      <c r="C52" s="279">
        <f>SUM(E52:AH52)</f>
        <v>1998433.9468917509</v>
      </c>
      <c r="D52" s="264" t="s">
        <v>331</v>
      </c>
      <c r="E52" s="284">
        <f>SUM(E50:E51)</f>
        <v>56227.420620655539</v>
      </c>
      <c r="F52" s="284">
        <f t="shared" ref="F52:AH52" si="20">SUM(F50:F51)</f>
        <v>80489.369138927417</v>
      </c>
      <c r="G52" s="284">
        <f t="shared" si="20"/>
        <v>70325.774589423236</v>
      </c>
      <c r="H52" s="284">
        <f t="shared" si="20"/>
        <v>69134.915448777349</v>
      </c>
      <c r="I52" s="284">
        <f t="shared" si="20"/>
        <v>71665.367239691812</v>
      </c>
      <c r="J52" s="284">
        <f t="shared" si="20"/>
        <v>68693.625862245914</v>
      </c>
      <c r="K52" s="284">
        <f t="shared" si="20"/>
        <v>53759.509384558005</v>
      </c>
      <c r="L52" s="284">
        <f t="shared" si="20"/>
        <v>67055.589921062579</v>
      </c>
      <c r="M52" s="284">
        <f t="shared" si="20"/>
        <v>62064.001627755955</v>
      </c>
      <c r="N52" s="284">
        <f t="shared" si="20"/>
        <v>62766.82847770254</v>
      </c>
      <c r="O52" s="284">
        <f t="shared" si="20"/>
        <v>88237.948626417696</v>
      </c>
      <c r="P52" s="284">
        <f t="shared" si="20"/>
        <v>94818.019677691744</v>
      </c>
      <c r="Q52" s="284">
        <f t="shared" si="20"/>
        <v>108168.60871573379</v>
      </c>
      <c r="R52" s="284">
        <f t="shared" si="20"/>
        <v>111476.15796343875</v>
      </c>
      <c r="S52" s="284">
        <f t="shared" si="20"/>
        <v>105140.3915014167</v>
      </c>
      <c r="T52" s="284">
        <f t="shared" si="20"/>
        <v>107388.27181204055</v>
      </c>
      <c r="U52" s="284">
        <f t="shared" si="20"/>
        <v>125419.53620069806</v>
      </c>
      <c r="V52" s="284">
        <f t="shared" si="20"/>
        <v>129309.99359496712</v>
      </c>
      <c r="W52" s="284">
        <f t="shared" si="20"/>
        <v>137581.78073724252</v>
      </c>
      <c r="X52" s="284">
        <f t="shared" si="20"/>
        <v>113982.77985042462</v>
      </c>
      <c r="Y52" s="284">
        <f t="shared" si="20"/>
        <v>125227.86152961996</v>
      </c>
      <c r="Z52" s="284">
        <f t="shared" si="20"/>
        <v>114310.09711555949</v>
      </c>
      <c r="AA52" s="284">
        <f t="shared" si="20"/>
        <v>114319.29773644317</v>
      </c>
      <c r="AB52" s="284">
        <f t="shared" ref="AB52:AE52" si="21">SUM(AB50:AB51)</f>
        <v>109988.95599516673</v>
      </c>
      <c r="AC52" s="284">
        <f t="shared" si="21"/>
        <v>82225.653510833145</v>
      </c>
      <c r="AD52" s="284">
        <f t="shared" si="21"/>
        <v>73022.872995893093</v>
      </c>
      <c r="AE52" s="284">
        <f t="shared" si="21"/>
        <v>71171.225855061726</v>
      </c>
      <c r="AF52" s="284">
        <f t="shared" si="20"/>
        <v>26805.895649493592</v>
      </c>
      <c r="AG52" s="284">
        <f t="shared" si="20"/>
        <v>7879.6819397225845</v>
      </c>
      <c r="AH52" s="284">
        <f t="shared" si="20"/>
        <v>-510223.48642691394</v>
      </c>
    </row>
    <row r="53" spans="1:34" x14ac:dyDescent="0.3">
      <c r="A53" s="310"/>
      <c r="B53" s="283" t="s">
        <v>273</v>
      </c>
      <c r="C53" s="268" t="s">
        <v>331</v>
      </c>
      <c r="D53" s="289">
        <f>C52/(C36+C37+C38+C39+C40)</f>
        <v>0.30447035647584114</v>
      </c>
      <c r="E53" s="282">
        <f>E52/(E36+E37+E38+E39+E40)</f>
        <v>0.30331365124221876</v>
      </c>
      <c r="F53" s="282">
        <f t="shared" ref="F53:AH53" si="22">F52/(F36+F37+F38+F39+F40)</f>
        <v>0.36813412811666191</v>
      </c>
      <c r="G53" s="282">
        <f t="shared" si="22"/>
        <v>0.34354415149702677</v>
      </c>
      <c r="H53" s="282">
        <f t="shared" si="22"/>
        <v>0.3404420968659847</v>
      </c>
      <c r="I53" s="282">
        <f t="shared" si="22"/>
        <v>0.34697502629310839</v>
      </c>
      <c r="J53" s="282">
        <f t="shared" si="22"/>
        <v>0.33927988217799071</v>
      </c>
      <c r="K53" s="282">
        <f t="shared" si="22"/>
        <v>0.29539242211000416</v>
      </c>
      <c r="L53" s="282">
        <f t="shared" si="22"/>
        <v>0.33490439768230801</v>
      </c>
      <c r="M53" s="282">
        <f t="shared" si="22"/>
        <v>0.32094426155474043</v>
      </c>
      <c r="N53" s="282">
        <f t="shared" si="22"/>
        <v>0.32296935237515628</v>
      </c>
      <c r="O53" s="282">
        <f t="shared" si="22"/>
        <v>0.38487302813615776</v>
      </c>
      <c r="P53" s="282">
        <f t="shared" si="22"/>
        <v>0.39791574578676314</v>
      </c>
      <c r="Q53" s="282">
        <f t="shared" si="22"/>
        <v>0.42156048422853803</v>
      </c>
      <c r="R53" s="282">
        <f t="shared" si="22"/>
        <v>0.42690601013359281</v>
      </c>
      <c r="S53" s="282">
        <f t="shared" si="22"/>
        <v>0.41649799408433491</v>
      </c>
      <c r="T53" s="282">
        <f t="shared" si="22"/>
        <v>0.42027167316902603</v>
      </c>
      <c r="U53" s="282">
        <f t="shared" si="22"/>
        <v>0.44753885101181945</v>
      </c>
      <c r="V53" s="282">
        <f t="shared" si="22"/>
        <v>0.45280288276338809</v>
      </c>
      <c r="W53" s="282">
        <f t="shared" si="22"/>
        <v>0.4633665668151547</v>
      </c>
      <c r="X53" s="282">
        <f t="shared" si="22"/>
        <v>0.43083504674330181</v>
      </c>
      <c r="Y53" s="282">
        <f t="shared" si="22"/>
        <v>0.44727431885736535</v>
      </c>
      <c r="Z53" s="282">
        <f t="shared" si="22"/>
        <v>0.4313405821889465</v>
      </c>
      <c r="AA53" s="282">
        <f t="shared" si="22"/>
        <v>0.43135476763865449</v>
      </c>
      <c r="AB53" s="282">
        <f t="shared" ref="AB53:AE53" si="23">AB52/(AB36+AB37+AB38+AB39+AB40)</f>
        <v>0.42452560853514754</v>
      </c>
      <c r="AC53" s="282">
        <f t="shared" si="23"/>
        <v>0.37202483220044408</v>
      </c>
      <c r="AD53" s="282">
        <f t="shared" si="23"/>
        <v>0.35039008878654565</v>
      </c>
      <c r="AE53" s="282">
        <f t="shared" si="23"/>
        <v>0.34571659044538389</v>
      </c>
      <c r="AF53" s="282">
        <f t="shared" si="22"/>
        <v>0.87936962846571798</v>
      </c>
      <c r="AG53" s="282">
        <f t="shared" si="22"/>
        <v>0.87936962846571809</v>
      </c>
      <c r="AH53" s="282">
        <f t="shared" si="22"/>
        <v>-2.4468354689869098</v>
      </c>
    </row>
    <row r="54" spans="1:34" x14ac:dyDescent="0.3">
      <c r="A54" s="310"/>
      <c r="B54" s="283" t="s">
        <v>289</v>
      </c>
      <c r="C54" s="279">
        <f>SUM(E54:AH54)</f>
        <v>6563640.4477042099</v>
      </c>
      <c r="D54" s="278" t="s">
        <v>331</v>
      </c>
      <c r="E54" s="284">
        <f>E36+E37+E38+E39+E40</f>
        <v>185377.1513097962</v>
      </c>
      <c r="F54" s="284">
        <f t="shared" ref="F54:AH54" si="24">F36+F37+F38+F39+F40</f>
        <v>218641.42167612424</v>
      </c>
      <c r="G54" s="284">
        <f t="shared" si="24"/>
        <v>204706.65643112213</v>
      </c>
      <c r="H54" s="284">
        <f t="shared" si="24"/>
        <v>203073.93264585713</v>
      </c>
      <c r="I54" s="284">
        <f t="shared" si="24"/>
        <v>206543.30084019428</v>
      </c>
      <c r="J54" s="284">
        <f t="shared" si="24"/>
        <v>202468.90390691755</v>
      </c>
      <c r="K54" s="284">
        <f t="shared" si="24"/>
        <v>181993.52915200364</v>
      </c>
      <c r="L54" s="284">
        <f t="shared" si="24"/>
        <v>200223.07973594259</v>
      </c>
      <c r="M54" s="284">
        <f t="shared" si="24"/>
        <v>193379.37786175462</v>
      </c>
      <c r="N54" s="284">
        <f t="shared" si="24"/>
        <v>194342.9864663863</v>
      </c>
      <c r="O54" s="284">
        <f t="shared" si="24"/>
        <v>229265.08790114924</v>
      </c>
      <c r="P54" s="284">
        <f t="shared" si="24"/>
        <v>238286.67420590902</v>
      </c>
      <c r="Q54" s="284">
        <f t="shared" si="24"/>
        <v>256590.9585042914</v>
      </c>
      <c r="R54" s="284">
        <f t="shared" si="24"/>
        <v>261125.76379178691</v>
      </c>
      <c r="S54" s="284">
        <f t="shared" si="24"/>
        <v>252439.13054747455</v>
      </c>
      <c r="T54" s="284">
        <f t="shared" si="24"/>
        <v>255521.0799773575</v>
      </c>
      <c r="U54" s="284">
        <f t="shared" si="24"/>
        <v>280242.78991006693</v>
      </c>
      <c r="V54" s="284">
        <f t="shared" si="24"/>
        <v>285576.78963041847</v>
      </c>
      <c r="W54" s="284">
        <f t="shared" si="24"/>
        <v>296917.7981115033</v>
      </c>
      <c r="X54" s="284">
        <f t="shared" si="24"/>
        <v>264562.46006917197</v>
      </c>
      <c r="Y54" s="284">
        <f t="shared" si="24"/>
        <v>279979.99493808363</v>
      </c>
      <c r="Z54" s="284">
        <f t="shared" si="24"/>
        <v>265011.2274051843</v>
      </c>
      <c r="AA54" s="284">
        <f t="shared" si="24"/>
        <v>265023.84188832785</v>
      </c>
      <c r="AB54" s="284">
        <f t="shared" ref="AB54:AE54" si="25">AB36+AB37+AB38+AB39+AB40</f>
        <v>259086.74007839145</v>
      </c>
      <c r="AC54" s="284">
        <f t="shared" si="25"/>
        <v>221021.94905777313</v>
      </c>
      <c r="AD54" s="284">
        <f t="shared" si="25"/>
        <v>208404.5049584092</v>
      </c>
      <c r="AE54" s="284">
        <f t="shared" si="25"/>
        <v>205865.80980499781</v>
      </c>
      <c r="AF54" s="284">
        <f t="shared" si="24"/>
        <v>30483.081040976176</v>
      </c>
      <c r="AG54" s="284">
        <f t="shared" si="24"/>
        <v>8960.6027825530837</v>
      </c>
      <c r="AH54" s="284">
        <f t="shared" si="24"/>
        <v>208523.82307428596</v>
      </c>
    </row>
    <row r="55" spans="1:34" s="294" customFormat="1" ht="7.5" customHeight="1" x14ac:dyDescent="0.3">
      <c r="A55" s="310"/>
      <c r="B55" s="295"/>
      <c r="C55" s="295"/>
      <c r="D55" s="295"/>
      <c r="E55" s="295"/>
      <c r="F55" s="295"/>
      <c r="G55" s="295"/>
      <c r="H55" s="295"/>
      <c r="I55" s="295"/>
      <c r="J55" s="295"/>
      <c r="K55" s="295"/>
      <c r="L55" s="295"/>
      <c r="M55" s="295"/>
      <c r="N55" s="295"/>
      <c r="O55" s="295"/>
      <c r="P55" s="295"/>
      <c r="Q55" s="295"/>
      <c r="R55" s="295"/>
      <c r="S55" s="295"/>
      <c r="T55" s="295"/>
      <c r="U55" s="295"/>
      <c r="V55" s="295"/>
      <c r="W55" s="295"/>
      <c r="X55" s="295"/>
      <c r="Y55" s="295"/>
      <c r="Z55" s="295"/>
      <c r="AA55" s="295"/>
      <c r="AB55" s="295"/>
      <c r="AC55" s="295"/>
      <c r="AD55" s="295"/>
      <c r="AE55" s="295"/>
      <c r="AF55" s="295"/>
      <c r="AG55" s="295"/>
      <c r="AH55" s="295"/>
    </row>
    <row r="56" spans="1:34" s="299" customFormat="1" x14ac:dyDescent="0.3">
      <c r="A56" s="311"/>
      <c r="B56" s="335" t="s">
        <v>336</v>
      </c>
      <c r="C56" s="267" t="s">
        <v>331</v>
      </c>
      <c r="D56" s="289">
        <f>SUM(E56:AH56)</f>
        <v>1</v>
      </c>
      <c r="E56" s="304">
        <v>1.2384050000000002E-2</v>
      </c>
      <c r="F56" s="304">
        <v>2.8786129999999997E-2</v>
      </c>
      <c r="G56" s="304">
        <v>2.191512E-2</v>
      </c>
      <c r="H56" s="304">
        <v>2.1110050000000002E-2</v>
      </c>
      <c r="I56" s="304">
        <v>2.2820739999999999E-2</v>
      </c>
      <c r="J56" s="304">
        <v>2.0811719999999999E-2</v>
      </c>
      <c r="K56" s="304">
        <v>1.071564E-2</v>
      </c>
      <c r="L56" s="304">
        <v>1.9704340000000001E-2</v>
      </c>
      <c r="M56" s="304">
        <v>1.6329819999999998E-2</v>
      </c>
      <c r="N56" s="304">
        <v>1.6804960000000001E-2</v>
      </c>
      <c r="O56" s="304">
        <v>3.4024489999999998E-2</v>
      </c>
      <c r="P56" s="304">
        <v>3.8472890000000003E-2</v>
      </c>
      <c r="Q56" s="304">
        <v>4.7498440000000003E-2</v>
      </c>
      <c r="R56" s="304">
        <v>4.9734480000000005E-2</v>
      </c>
      <c r="S56" s="304">
        <v>4.5451240000000004E-2</v>
      </c>
      <c r="T56" s="304">
        <v>4.6970900000000003E-2</v>
      </c>
      <c r="U56" s="304">
        <v>5.9160779999999989E-2</v>
      </c>
      <c r="V56" s="304">
        <v>6.1790890000000001E-2</v>
      </c>
      <c r="W56" s="304">
        <v>6.7382960000000006E-2</v>
      </c>
      <c r="X56" s="304">
        <v>5.1429059999999999E-2</v>
      </c>
      <c r="Y56" s="304">
        <v>5.9031200000000006E-2</v>
      </c>
      <c r="Z56" s="304">
        <v>5.1650340000000003E-2</v>
      </c>
      <c r="AA56" s="304">
        <v>5.1656559999999997E-2</v>
      </c>
      <c r="AB56" s="304">
        <v>4.8729069999999999E-2</v>
      </c>
      <c r="AC56" s="304">
        <v>2.9959929999999999E-2</v>
      </c>
      <c r="AD56" s="304">
        <v>2.3738470000000001E-2</v>
      </c>
      <c r="AE56" s="304">
        <v>2.2486679999999998E-2</v>
      </c>
      <c r="AF56" s="304">
        <v>1.5030719999999999E-2</v>
      </c>
      <c r="AG56" s="304">
        <v>4.4183299999999998E-3</v>
      </c>
      <c r="AH56" s="304"/>
    </row>
    <row r="57" spans="1:34" s="294" customFormat="1" ht="6" customHeight="1" x14ac:dyDescent="0.3">
      <c r="A57" s="310"/>
      <c r="B57" s="295"/>
      <c r="C57" s="295"/>
      <c r="D57" s="295"/>
      <c r="E57" s="295"/>
      <c r="F57" s="295"/>
      <c r="G57" s="295"/>
      <c r="H57" s="295"/>
      <c r="I57" s="295"/>
      <c r="J57" s="295"/>
      <c r="K57" s="295"/>
      <c r="L57" s="295"/>
      <c r="M57" s="295"/>
      <c r="N57" s="295"/>
      <c r="O57" s="295"/>
      <c r="P57" s="295"/>
      <c r="Q57" s="295"/>
      <c r="R57" s="295"/>
      <c r="S57" s="295"/>
      <c r="T57" s="295"/>
      <c r="U57" s="295"/>
      <c r="V57" s="295"/>
      <c r="W57" s="295"/>
      <c r="X57" s="295"/>
      <c r="Y57" s="295"/>
      <c r="Z57" s="295"/>
      <c r="AA57" s="295"/>
      <c r="AB57" s="295"/>
      <c r="AC57" s="295"/>
      <c r="AD57" s="295"/>
      <c r="AE57" s="295"/>
      <c r="AF57" s="295"/>
      <c r="AG57" s="295"/>
      <c r="AH57" s="295"/>
    </row>
    <row r="58" spans="1:34" x14ac:dyDescent="0.3">
      <c r="A58" s="310"/>
      <c r="B58" s="283" t="s">
        <v>337</v>
      </c>
      <c r="C58" s="279">
        <f>SUM(E58:AH58)</f>
        <v>5771866.0618802104</v>
      </c>
      <c r="D58" s="283"/>
      <c r="E58" s="284">
        <f>E54+E51</f>
        <v>163015.03667332866</v>
      </c>
      <c r="F58" s="284">
        <f t="shared" ref="F58:AH58" si="26">F54+F51</f>
        <v>192266.62574654975</v>
      </c>
      <c r="G58" s="284">
        <f t="shared" si="26"/>
        <v>180012.81641029526</v>
      </c>
      <c r="H58" s="284">
        <f t="shared" si="26"/>
        <v>178577.04870185963</v>
      </c>
      <c r="I58" s="284">
        <f t="shared" si="26"/>
        <v>181627.90572192468</v>
      </c>
      <c r="J58" s="284">
        <f t="shared" si="26"/>
        <v>178045.00480448725</v>
      </c>
      <c r="K58" s="284">
        <f t="shared" si="26"/>
        <v>160039.58211356227</v>
      </c>
      <c r="L58" s="284">
        <f t="shared" si="26"/>
        <v>176070.09523765766</v>
      </c>
      <c r="M58" s="284">
        <f t="shared" si="26"/>
        <v>170051.95166322286</v>
      </c>
      <c r="N58" s="284">
        <f t="shared" si="26"/>
        <v>170899.31980386417</v>
      </c>
      <c r="O58" s="284">
        <f t="shared" si="26"/>
        <v>201608.75516779377</v>
      </c>
      <c r="P58" s="284">
        <f t="shared" si="26"/>
        <v>209542.0641647818</v>
      </c>
      <c r="Q58" s="284">
        <f t="shared" si="26"/>
        <v>225638.2958475812</v>
      </c>
      <c r="R58" s="284">
        <f t="shared" si="26"/>
        <v>229626.06588841049</v>
      </c>
      <c r="S58" s="284">
        <f t="shared" si="26"/>
        <v>221987.30443974157</v>
      </c>
      <c r="T58" s="284">
        <f t="shared" si="26"/>
        <v>224697.47716484789</v>
      </c>
      <c r="U58" s="284">
        <f t="shared" si="26"/>
        <v>246436.99804341182</v>
      </c>
      <c r="V58" s="284">
        <f t="shared" si="26"/>
        <v>251127.55539573359</v>
      </c>
      <c r="W58" s="284">
        <f t="shared" si="26"/>
        <v>261100.49381017173</v>
      </c>
      <c r="X58" s="284">
        <f t="shared" si="26"/>
        <v>232648.19221700411</v>
      </c>
      <c r="Y58" s="284">
        <f t="shared" si="26"/>
        <v>246205.90412653622</v>
      </c>
      <c r="Z58" s="284">
        <f t="shared" si="26"/>
        <v>233042.82458254084</v>
      </c>
      <c r="AA58" s="284">
        <f t="shared" si="26"/>
        <v>233053.91737589607</v>
      </c>
      <c r="AB58" s="284">
        <f t="shared" ref="AB58:AE58" si="27">AB54+AB51</f>
        <v>227833.01036312914</v>
      </c>
      <c r="AC58" s="284">
        <f t="shared" si="27"/>
        <v>194359.98922570283</v>
      </c>
      <c r="AD58" s="284">
        <f t="shared" si="27"/>
        <v>183264.59209585818</v>
      </c>
      <c r="AE58" s="284">
        <f t="shared" si="27"/>
        <v>181032.1406820151</v>
      </c>
      <c r="AF58" s="284">
        <f t="shared" si="26"/>
        <v>26805.895649493592</v>
      </c>
      <c r="AG58" s="284">
        <f t="shared" si="26"/>
        <v>7879.6819397225845</v>
      </c>
      <c r="AH58" s="284">
        <f t="shared" si="26"/>
        <v>183369.51682308596</v>
      </c>
    </row>
    <row r="59" spans="1:34" x14ac:dyDescent="0.3">
      <c r="E59" s="299"/>
    </row>
    <row r="61" spans="1:34" s="270" customFormat="1" x14ac:dyDescent="0.3">
      <c r="B61" s="270" t="s">
        <v>293</v>
      </c>
    </row>
    <row r="63" spans="1:34" x14ac:dyDescent="0.3">
      <c r="C63" s="303" t="s">
        <v>346</v>
      </c>
    </row>
    <row r="64" spans="1:34" x14ac:dyDescent="0.3">
      <c r="A64" s="301">
        <v>1</v>
      </c>
      <c r="B64" s="301" t="s">
        <v>344</v>
      </c>
      <c r="C64" s="302">
        <v>0.04</v>
      </c>
    </row>
    <row r="65" spans="1:3" x14ac:dyDescent="0.3">
      <c r="A65" s="301">
        <v>2</v>
      </c>
      <c r="B65" s="301" t="s">
        <v>345</v>
      </c>
      <c r="C65" s="302">
        <v>0.4</v>
      </c>
    </row>
    <row r="66" spans="1:3" x14ac:dyDescent="0.3">
      <c r="C66" s="300"/>
    </row>
    <row r="67" spans="1:3" x14ac:dyDescent="0.3">
      <c r="B67" s="305" t="s">
        <v>290</v>
      </c>
      <c r="C67" s="306">
        <f>POWER(1 + 10%, 1/12) - 1</f>
        <v>7.9741404289037643E-3</v>
      </c>
    </row>
    <row r="68" spans="1:3" x14ac:dyDescent="0.3">
      <c r="B68" s="305" t="s">
        <v>288</v>
      </c>
      <c r="C68" s="307">
        <v>6.2E-2</v>
      </c>
    </row>
    <row r="70" spans="1:3" x14ac:dyDescent="0.3">
      <c r="B70" s="301" t="s">
        <v>287</v>
      </c>
      <c r="C70" s="308">
        <f>NPV(C67,E52:AH52)</f>
        <v>1822055.9848556018</v>
      </c>
    </row>
    <row r="71" spans="1:3" x14ac:dyDescent="0.3">
      <c r="B71" s="301" t="s">
        <v>276</v>
      </c>
      <c r="C71" s="309">
        <f>NPV(C67,E54:AH54)</f>
        <v>5828250.5960878907</v>
      </c>
    </row>
    <row r="72" spans="1:3" x14ac:dyDescent="0.3">
      <c r="B72" s="301" t="s">
        <v>286</v>
      </c>
      <c r="C72" s="298">
        <f>C70/C71</f>
        <v>0.31262485282953079</v>
      </c>
    </row>
  </sheetData>
  <phoneticPr fontId="72" type="noConversion"/>
  <pageMargins left="0.511811024" right="0.511811024" top="0.78740157499999996" bottom="0.78740157499999996" header="0.31496062000000002" footer="0.31496062000000002"/>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C3AED-C862-4646-B763-EF8D24D91EEF}">
  <sheetPr>
    <tabColor rgb="FFFEA0FA"/>
  </sheetPr>
  <dimension ref="A1:AH72"/>
  <sheetViews>
    <sheetView tabSelected="1" topLeftCell="A38" workbookViewId="0">
      <selection activeCell="E67" sqref="E67"/>
    </sheetView>
  </sheetViews>
  <sheetFormatPr defaultColWidth="9.109375" defaultRowHeight="13.8" x14ac:dyDescent="0.3"/>
  <cols>
    <col min="1" max="1" width="8.33203125" style="265" bestFit="1" customWidth="1"/>
    <col min="2" max="2" width="28.6640625" style="265" bestFit="1" customWidth="1"/>
    <col min="3" max="3" width="16.88671875" style="265" bestFit="1" customWidth="1"/>
    <col min="4" max="4" width="11.6640625" style="265" customWidth="1"/>
    <col min="5" max="5" width="15.88671875" style="265" bestFit="1" customWidth="1"/>
    <col min="6" max="6" width="14.33203125" style="265" bestFit="1" customWidth="1"/>
    <col min="7" max="7" width="18.44140625" style="265" customWidth="1"/>
    <col min="8" max="8" width="14.33203125" style="265" bestFit="1" customWidth="1"/>
    <col min="9" max="9" width="16.109375" style="265" bestFit="1" customWidth="1"/>
    <col min="10" max="10" width="15.5546875" style="265" customWidth="1"/>
    <col min="11" max="13" width="14.33203125" style="265" bestFit="1" customWidth="1"/>
    <col min="14" max="14" width="15" style="265" bestFit="1" customWidth="1"/>
    <col min="15" max="27" width="14.33203125" style="265" bestFit="1" customWidth="1"/>
    <col min="28" max="31" width="14.33203125" style="265" customWidth="1"/>
    <col min="32" max="32" width="16.33203125" style="265" bestFit="1" customWidth="1"/>
    <col min="33" max="33" width="13.5546875" style="265" bestFit="1" customWidth="1"/>
    <col min="34" max="34" width="15" style="265" bestFit="1" customWidth="1"/>
    <col min="35" max="16384" width="9.109375" style="265"/>
  </cols>
  <sheetData>
    <row r="1" spans="1:16" x14ac:dyDescent="0.3">
      <c r="A1" s="323">
        <v>46082</v>
      </c>
      <c r="B1" s="271" t="s">
        <v>305</v>
      </c>
      <c r="C1" s="329" t="s">
        <v>361</v>
      </c>
    </row>
    <row r="2" spans="1:16" ht="3.75" customHeight="1" x14ac:dyDescent="0.3">
      <c r="B2" s="271"/>
      <c r="C2" s="271"/>
    </row>
    <row r="3" spans="1:16" s="270" customFormat="1" ht="14.4" thickBot="1" x14ac:dyDescent="0.35">
      <c r="B3" s="270" t="s">
        <v>291</v>
      </c>
    </row>
    <row r="4" spans="1:16" x14ac:dyDescent="0.3">
      <c r="O4" s="317" t="s">
        <v>338</v>
      </c>
      <c r="P4" s="318"/>
    </row>
    <row r="5" spans="1:16" s="263" customFormat="1" x14ac:dyDescent="0.3">
      <c r="B5" s="265"/>
      <c r="C5" s="265"/>
      <c r="E5" s="262" t="s">
        <v>311</v>
      </c>
      <c r="G5" s="261" t="s">
        <v>324</v>
      </c>
      <c r="H5" s="261" t="s">
        <v>325</v>
      </c>
      <c r="I5" s="261" t="s">
        <v>326</v>
      </c>
      <c r="J5" s="261"/>
      <c r="L5" s="263" t="s">
        <v>363</v>
      </c>
      <c r="O5" s="319"/>
      <c r="P5" s="320" t="s">
        <v>339</v>
      </c>
    </row>
    <row r="6" spans="1:16" ht="14.4" thickBot="1" x14ac:dyDescent="0.35">
      <c r="B6" s="264" t="s">
        <v>294</v>
      </c>
      <c r="C6" s="336" t="s">
        <v>362</v>
      </c>
      <c r="E6" s="264"/>
      <c r="G6" s="260" t="s">
        <v>312</v>
      </c>
      <c r="H6" s="326">
        <f>18100*15/12/2</f>
        <v>11312.5</v>
      </c>
      <c r="I6" s="327">
        <v>27</v>
      </c>
      <c r="J6" s="316"/>
      <c r="K6" s="325">
        <f>H6/0.8</f>
        <v>14140.625</v>
      </c>
      <c r="L6" s="300">
        <f>[2]PRELIMINAR!$I$180</f>
        <v>14132.39</v>
      </c>
      <c r="M6" s="265" t="b">
        <f>K6&lt;L6</f>
        <v>0</v>
      </c>
      <c r="N6" s="325">
        <f>L6-K6</f>
        <v>-8.2350000000005821</v>
      </c>
      <c r="O6" s="321"/>
      <c r="P6" s="322" t="s">
        <v>339</v>
      </c>
    </row>
    <row r="7" spans="1:16" x14ac:dyDescent="0.3">
      <c r="B7" s="264" t="s">
        <v>295</v>
      </c>
      <c r="C7" s="337">
        <v>46239533.549999997</v>
      </c>
      <c r="D7" s="334"/>
      <c r="E7" s="264"/>
      <c r="G7" s="260" t="s">
        <v>313</v>
      </c>
      <c r="H7" s="326">
        <f>13100*15/12</f>
        <v>16375</v>
      </c>
      <c r="I7" s="327">
        <v>30</v>
      </c>
      <c r="J7" s="316"/>
      <c r="K7" s="325">
        <f t="shared" ref="K7:K18" si="0">H7/0.8</f>
        <v>20468.75</v>
      </c>
      <c r="L7" s="300">
        <f>[2]PRELIMINAR!$I$181</f>
        <v>20618.419999999998</v>
      </c>
      <c r="M7" s="265" t="b">
        <f t="shared" ref="M7:M18" si="1">K7&lt;L7</f>
        <v>1</v>
      </c>
      <c r="N7" s="325">
        <f t="shared" ref="N7:N18" si="2">L7-K7</f>
        <v>149.66999999999825</v>
      </c>
    </row>
    <row r="8" spans="1:16" x14ac:dyDescent="0.3">
      <c r="B8" s="264" t="s">
        <v>340</v>
      </c>
      <c r="C8" s="274">
        <f>C7/C9</f>
        <v>38000.150843383388</v>
      </c>
      <c r="D8" s="334"/>
      <c r="E8" s="264"/>
      <c r="G8" s="260" t="s">
        <v>314</v>
      </c>
      <c r="H8" s="326">
        <f>2100*2</f>
        <v>4200</v>
      </c>
      <c r="I8" s="327">
        <v>27</v>
      </c>
      <c r="J8" s="316"/>
      <c r="K8" s="325">
        <f t="shared" si="0"/>
        <v>5250</v>
      </c>
      <c r="L8" s="300">
        <f>[2]PRELIMINAR!$I$182</f>
        <v>5279.04</v>
      </c>
      <c r="M8" s="265" t="b">
        <f t="shared" si="1"/>
        <v>1</v>
      </c>
      <c r="N8" s="325">
        <f t="shared" si="2"/>
        <v>29.039999999999964</v>
      </c>
    </row>
    <row r="9" spans="1:16" x14ac:dyDescent="0.3">
      <c r="B9" s="264" t="s">
        <v>296</v>
      </c>
      <c r="C9" s="338">
        <v>1216.825</v>
      </c>
      <c r="D9" s="334"/>
      <c r="E9" s="264"/>
      <c r="G9" s="260" t="s">
        <v>315</v>
      </c>
      <c r="H9" s="326">
        <f>9200*1.94</f>
        <v>17848</v>
      </c>
      <c r="I9" s="327">
        <v>27</v>
      </c>
      <c r="J9" s="316"/>
      <c r="K9" s="325">
        <f t="shared" si="0"/>
        <v>22310</v>
      </c>
      <c r="L9" s="300">
        <f>[2]PRELIMINAR!$I$183</f>
        <v>22221.88</v>
      </c>
      <c r="M9" s="265" t="b">
        <f t="shared" si="1"/>
        <v>0</v>
      </c>
      <c r="N9" s="325">
        <f t="shared" si="2"/>
        <v>-88.119999999998981</v>
      </c>
    </row>
    <row r="10" spans="1:16" x14ac:dyDescent="0.3">
      <c r="B10" s="264" t="s">
        <v>303</v>
      </c>
      <c r="C10" s="272">
        <v>27</v>
      </c>
      <c r="E10" s="264"/>
      <c r="G10" s="260" t="s">
        <v>316</v>
      </c>
      <c r="H10" s="326">
        <v>0</v>
      </c>
      <c r="I10" s="327"/>
      <c r="J10" s="316"/>
      <c r="K10" s="325">
        <f t="shared" si="0"/>
        <v>0</v>
      </c>
      <c r="L10" s="300"/>
      <c r="N10" s="325"/>
    </row>
    <row r="11" spans="1:16" x14ac:dyDescent="0.3">
      <c r="B11" s="264" t="s">
        <v>304</v>
      </c>
      <c r="C11" s="275">
        <v>46153</v>
      </c>
      <c r="E11" s="264" t="b">
        <f>C11=E34</f>
        <v>1</v>
      </c>
      <c r="G11" s="260" t="s">
        <v>317</v>
      </c>
      <c r="H11" s="326">
        <f>8000*15/12</f>
        <v>10000</v>
      </c>
      <c r="I11" s="327">
        <v>30</v>
      </c>
      <c r="J11" s="316"/>
      <c r="K11" s="325">
        <f t="shared" si="0"/>
        <v>12500</v>
      </c>
      <c r="L11" s="300">
        <f>[2]PRELIMINAR!$I$185</f>
        <v>11328.8</v>
      </c>
      <c r="M11" s="265" t="b">
        <f t="shared" si="1"/>
        <v>0</v>
      </c>
      <c r="N11" s="325">
        <f t="shared" si="2"/>
        <v>-1171.2000000000007</v>
      </c>
    </row>
    <row r="12" spans="1:16" x14ac:dyDescent="0.3">
      <c r="B12" s="264" t="s">
        <v>297</v>
      </c>
      <c r="C12" s="273">
        <f>9.5%*C7</f>
        <v>4392755.6872499995</v>
      </c>
      <c r="E12" s="331" t="b">
        <f>C12=C36</f>
        <v>0</v>
      </c>
      <c r="G12" s="260" t="s">
        <v>318</v>
      </c>
      <c r="H12" s="326">
        <v>0</v>
      </c>
      <c r="I12" s="327"/>
      <c r="J12" s="316"/>
      <c r="K12" s="325">
        <f t="shared" si="0"/>
        <v>0</v>
      </c>
      <c r="L12" s="300"/>
      <c r="N12" s="325"/>
    </row>
    <row r="13" spans="1:16" x14ac:dyDescent="0.3">
      <c r="B13" s="264" t="s">
        <v>299</v>
      </c>
      <c r="C13" s="336" t="s">
        <v>356</v>
      </c>
      <c r="E13" s="264"/>
      <c r="G13" s="260" t="s">
        <v>319</v>
      </c>
      <c r="H13" s="326">
        <f>4400*1.94</f>
        <v>8536</v>
      </c>
      <c r="I13" s="327">
        <v>27</v>
      </c>
      <c r="J13" s="316"/>
      <c r="K13" s="325">
        <f t="shared" si="0"/>
        <v>10670</v>
      </c>
      <c r="L13" s="300">
        <f>[2]PRELIMINAR!$I$187</f>
        <v>10633.68</v>
      </c>
      <c r="M13" s="265" t="b">
        <f t="shared" si="1"/>
        <v>0</v>
      </c>
      <c r="N13" s="325">
        <f t="shared" si="2"/>
        <v>-36.319999999999709</v>
      </c>
    </row>
    <row r="14" spans="1:16" x14ac:dyDescent="0.3">
      <c r="B14" s="264" t="s">
        <v>300</v>
      </c>
      <c r="C14" s="336" t="s">
        <v>356</v>
      </c>
      <c r="E14" s="264"/>
      <c r="G14" s="260" t="s">
        <v>320</v>
      </c>
      <c r="H14" s="326">
        <v>0</v>
      </c>
      <c r="I14" s="327"/>
      <c r="J14" s="316"/>
      <c r="K14" s="325">
        <f t="shared" si="0"/>
        <v>0</v>
      </c>
      <c r="L14" s="300"/>
      <c r="N14" s="325"/>
    </row>
    <row r="15" spans="1:16" x14ac:dyDescent="0.3">
      <c r="B15" s="264" t="s">
        <v>301</v>
      </c>
      <c r="C15" s="273">
        <v>2144183.44</v>
      </c>
      <c r="D15" s="333">
        <f>C15/C12</f>
        <v>0.48811807272221069</v>
      </c>
      <c r="E15" s="264"/>
      <c r="G15" s="260" t="s">
        <v>321</v>
      </c>
      <c r="H15" s="326">
        <f>14000*15/12/10</f>
        <v>1750</v>
      </c>
      <c r="I15" s="327">
        <v>27</v>
      </c>
      <c r="J15" s="328"/>
      <c r="K15" s="325">
        <f t="shared" si="0"/>
        <v>2187.5</v>
      </c>
      <c r="L15" s="300">
        <f>[2]PRELIMINAR!$I$189</f>
        <v>8425.1299999999992</v>
      </c>
      <c r="M15" s="265" t="b">
        <f t="shared" si="1"/>
        <v>1</v>
      </c>
      <c r="N15" s="325">
        <f t="shared" si="2"/>
        <v>6237.6299999999992</v>
      </c>
    </row>
    <row r="16" spans="1:16" x14ac:dyDescent="0.3">
      <c r="B16" s="264" t="s">
        <v>341</v>
      </c>
      <c r="C16" s="324">
        <v>5.0000000000000001E-3</v>
      </c>
      <c r="E16" s="264"/>
      <c r="G16" s="260" t="s">
        <v>322</v>
      </c>
      <c r="H16" s="326">
        <v>0</v>
      </c>
      <c r="I16" s="327"/>
      <c r="J16" s="316"/>
      <c r="K16" s="325">
        <f t="shared" si="0"/>
        <v>0</v>
      </c>
      <c r="L16" s="300"/>
      <c r="N16" s="325"/>
      <c r="O16" s="300"/>
    </row>
    <row r="17" spans="2:34" x14ac:dyDescent="0.3">
      <c r="B17" s="264" t="s">
        <v>342</v>
      </c>
      <c r="C17" s="273">
        <f>C16*C7</f>
        <v>231197.66774999999</v>
      </c>
      <c r="E17" s="264" t="b">
        <f>C17=C39</f>
        <v>1</v>
      </c>
      <c r="G17" s="260" t="s">
        <v>323</v>
      </c>
      <c r="H17" s="326">
        <v>0</v>
      </c>
      <c r="I17" s="327"/>
      <c r="J17" s="316"/>
      <c r="K17" s="325">
        <f t="shared" si="0"/>
        <v>0</v>
      </c>
      <c r="L17" s="300"/>
      <c r="N17" s="325"/>
      <c r="O17" s="325"/>
    </row>
    <row r="18" spans="2:34" x14ac:dyDescent="0.3">
      <c r="B18" s="264" t="s">
        <v>298</v>
      </c>
      <c r="C18" s="272" t="s">
        <v>356</v>
      </c>
      <c r="E18" s="264"/>
      <c r="G18" s="260" t="s">
        <v>355</v>
      </c>
      <c r="H18" s="326">
        <v>31000</v>
      </c>
      <c r="I18" s="327">
        <v>1</v>
      </c>
      <c r="J18" s="316"/>
      <c r="K18" s="325">
        <f t="shared" si="0"/>
        <v>38750</v>
      </c>
      <c r="L18" s="300">
        <f>[2]PRELIMINAR!$I$203</f>
        <v>39303.51</v>
      </c>
      <c r="M18" s="265" t="b">
        <f t="shared" si="1"/>
        <v>1</v>
      </c>
      <c r="N18" s="325">
        <f t="shared" si="2"/>
        <v>553.51000000000204</v>
      </c>
      <c r="O18" s="325"/>
    </row>
    <row r="19" spans="2:34" x14ac:dyDescent="0.3">
      <c r="B19" s="264" t="s">
        <v>302</v>
      </c>
      <c r="C19" s="276">
        <v>2653384.75</v>
      </c>
      <c r="E19" s="264" t="b">
        <f>C19&gt;-C42</f>
        <v>1</v>
      </c>
    </row>
    <row r="20" spans="2:34" x14ac:dyDescent="0.3">
      <c r="B20" s="264" t="s">
        <v>285</v>
      </c>
      <c r="C20" s="266">
        <v>9.8071251740445106E-2</v>
      </c>
      <c r="D20" s="267"/>
      <c r="E20" s="264"/>
      <c r="F20" s="268"/>
      <c r="G20" s="268"/>
      <c r="H20" s="268"/>
      <c r="I20" s="268"/>
      <c r="J20" s="268"/>
      <c r="K20" s="268"/>
      <c r="L20" s="268"/>
      <c r="M20" s="268"/>
      <c r="N20" s="268"/>
      <c r="O20" s="268"/>
      <c r="P20" s="268"/>
      <c r="Q20" s="268"/>
      <c r="R20" s="268"/>
      <c r="S20" s="268"/>
      <c r="T20" s="268"/>
      <c r="U20" s="268"/>
      <c r="V20" s="268"/>
      <c r="W20" s="268"/>
      <c r="X20" s="268"/>
      <c r="Y20" s="268"/>
      <c r="Z20" s="268"/>
      <c r="AA20" s="268"/>
      <c r="AB20" s="268"/>
      <c r="AC20" s="268"/>
      <c r="AD20" s="268"/>
      <c r="AE20" s="268"/>
      <c r="AF20" s="268"/>
      <c r="AG20" s="268"/>
      <c r="AH20" s="268"/>
    </row>
    <row r="21" spans="2:34" hidden="1" x14ac:dyDescent="0.3">
      <c r="B21" s="264" t="s">
        <v>327</v>
      </c>
      <c r="C21" s="273">
        <f>3%*C12</f>
        <v>131782.67061749997</v>
      </c>
      <c r="D21" s="267"/>
      <c r="E21" s="264"/>
      <c r="F21" s="268"/>
      <c r="G21" s="268"/>
      <c r="H21" s="268"/>
      <c r="I21" s="268"/>
      <c r="J21" s="268"/>
      <c r="K21" s="268"/>
      <c r="L21" s="268"/>
      <c r="M21" s="268"/>
      <c r="N21" s="268"/>
      <c r="O21" s="268"/>
      <c r="P21" s="268"/>
      <c r="Q21" s="268"/>
      <c r="R21" s="268"/>
      <c r="S21" s="268"/>
      <c r="T21" s="268"/>
      <c r="U21" s="268"/>
      <c r="V21" s="268"/>
      <c r="W21" s="268"/>
      <c r="X21" s="268"/>
      <c r="Y21" s="268"/>
      <c r="Z21" s="268"/>
      <c r="AA21" s="268"/>
      <c r="AB21" s="268"/>
      <c r="AC21" s="268"/>
      <c r="AD21" s="268"/>
      <c r="AE21" s="268"/>
      <c r="AF21" s="268"/>
      <c r="AG21" s="268"/>
      <c r="AH21" s="268"/>
    </row>
    <row r="22" spans="2:34" x14ac:dyDescent="0.3">
      <c r="B22" s="264" t="s">
        <v>329</v>
      </c>
      <c r="C22" s="273" t="s">
        <v>306</v>
      </c>
      <c r="D22" s="267"/>
      <c r="E22" s="264"/>
      <c r="F22" s="268"/>
      <c r="G22" s="268"/>
      <c r="H22" s="268"/>
      <c r="I22" s="268"/>
      <c r="J22" s="268"/>
      <c r="K22" s="268"/>
      <c r="L22" s="268"/>
      <c r="M22" s="268"/>
      <c r="N22" s="268"/>
      <c r="O22" s="268"/>
      <c r="P22" s="268"/>
      <c r="Q22" s="268"/>
      <c r="R22" s="268"/>
      <c r="S22" s="268"/>
      <c r="T22" s="268"/>
      <c r="U22" s="268"/>
      <c r="V22" s="268"/>
      <c r="W22" s="268"/>
      <c r="X22" s="268"/>
      <c r="Y22" s="268"/>
      <c r="Z22" s="268"/>
      <c r="AA22" s="268"/>
      <c r="AB22" s="268"/>
      <c r="AC22" s="268"/>
      <c r="AD22" s="268"/>
      <c r="AE22" s="268"/>
      <c r="AF22" s="268"/>
      <c r="AG22" s="268"/>
      <c r="AH22" s="268"/>
    </row>
    <row r="23" spans="2:34" x14ac:dyDescent="0.3">
      <c r="B23" s="264" t="s">
        <v>330</v>
      </c>
      <c r="C23" s="273">
        <v>0</v>
      </c>
      <c r="D23" s="267"/>
      <c r="E23" s="264"/>
      <c r="F23" s="268"/>
      <c r="G23" s="268"/>
      <c r="H23" s="268"/>
      <c r="I23" s="268"/>
      <c r="J23" s="268"/>
      <c r="K23" s="268"/>
      <c r="L23" s="268"/>
      <c r="M23" s="268"/>
      <c r="N23" s="268"/>
      <c r="O23" s="268"/>
      <c r="P23" s="268"/>
      <c r="Q23" s="268"/>
      <c r="R23" s="268"/>
      <c r="S23" s="268"/>
      <c r="T23" s="268"/>
      <c r="U23" s="268"/>
      <c r="V23" s="268"/>
      <c r="W23" s="268"/>
      <c r="X23" s="268"/>
      <c r="Y23" s="268"/>
      <c r="Z23" s="268"/>
      <c r="AA23" s="268"/>
      <c r="AB23" s="268"/>
      <c r="AC23" s="268"/>
      <c r="AD23" s="268"/>
      <c r="AE23" s="268"/>
      <c r="AF23" s="268"/>
      <c r="AG23" s="268"/>
      <c r="AH23" s="268"/>
    </row>
    <row r="24" spans="2:34" x14ac:dyDescent="0.3">
      <c r="B24" s="264" t="s">
        <v>284</v>
      </c>
      <c r="C24" s="266">
        <v>0.10879999999999999</v>
      </c>
      <c r="D24" s="267"/>
      <c r="E24" s="264"/>
      <c r="F24" s="268"/>
      <c r="G24" s="268"/>
      <c r="H24" s="268"/>
      <c r="I24" s="268"/>
      <c r="J24" s="268"/>
      <c r="K24" s="268"/>
      <c r="L24" s="268"/>
      <c r="M24" s="268"/>
      <c r="N24" s="268"/>
      <c r="O24" s="268"/>
      <c r="P24" s="268"/>
      <c r="Q24" s="268"/>
      <c r="R24" s="268"/>
      <c r="S24" s="268"/>
      <c r="T24" s="268"/>
      <c r="U24" s="268"/>
      <c r="V24" s="268"/>
      <c r="W24" s="268"/>
      <c r="X24" s="268"/>
      <c r="Y24" s="268"/>
      <c r="Z24" s="268"/>
      <c r="AA24" s="268"/>
      <c r="AB24" s="268"/>
      <c r="AC24" s="268"/>
      <c r="AD24" s="268"/>
      <c r="AE24" s="268"/>
      <c r="AF24" s="268"/>
      <c r="AG24" s="268"/>
      <c r="AH24" s="268"/>
    </row>
    <row r="25" spans="2:34" x14ac:dyDescent="0.3">
      <c r="B25" s="264"/>
      <c r="C25" s="314"/>
      <c r="D25" s="267"/>
      <c r="E25" s="264"/>
      <c r="F25" s="268"/>
      <c r="G25" s="268"/>
      <c r="H25" s="268"/>
      <c r="I25" s="268"/>
      <c r="J25" s="268"/>
      <c r="K25" s="268"/>
      <c r="L25" s="268"/>
      <c r="M25" s="268"/>
      <c r="N25" s="268"/>
      <c r="O25" s="268"/>
      <c r="P25" s="268"/>
      <c r="Q25" s="268"/>
      <c r="R25" s="268"/>
      <c r="S25" s="268"/>
      <c r="T25" s="268"/>
      <c r="U25" s="268"/>
      <c r="V25" s="268"/>
      <c r="W25" s="268"/>
      <c r="X25" s="268"/>
      <c r="Y25" s="268"/>
      <c r="Z25" s="268"/>
      <c r="AA25" s="268"/>
      <c r="AB25" s="268"/>
      <c r="AC25" s="268"/>
      <c r="AD25" s="268"/>
      <c r="AE25" s="268"/>
      <c r="AF25" s="268"/>
      <c r="AG25" s="268"/>
      <c r="AH25" s="268"/>
    </row>
    <row r="26" spans="2:34" x14ac:dyDescent="0.3">
      <c r="B26" s="264" t="s">
        <v>351</v>
      </c>
      <c r="C26" s="339">
        <f>'[3]DRE Geral'!$U$23</f>
        <v>0.34650530570409194</v>
      </c>
      <c r="D26" s="267"/>
      <c r="E26" s="268"/>
      <c r="F26" s="268"/>
      <c r="G26" s="268"/>
      <c r="H26" s="268"/>
      <c r="I26" s="268"/>
      <c r="J26" s="268"/>
      <c r="K26" s="268"/>
      <c r="L26" s="268"/>
      <c r="M26" s="268"/>
      <c r="N26" s="268"/>
      <c r="O26" s="268"/>
      <c r="P26" s="268"/>
      <c r="Q26" s="268"/>
      <c r="R26" s="268"/>
      <c r="S26" s="268"/>
      <c r="T26" s="268"/>
      <c r="U26" s="268"/>
      <c r="V26" s="268"/>
      <c r="W26" s="268"/>
      <c r="X26" s="268"/>
      <c r="Y26" s="268"/>
      <c r="Z26" s="268"/>
      <c r="AA26" s="268"/>
      <c r="AB26" s="268"/>
      <c r="AC26" s="268"/>
      <c r="AD26" s="268"/>
      <c r="AE26" s="268"/>
      <c r="AF26" s="268"/>
      <c r="AG26" s="268"/>
      <c r="AH26" s="268"/>
    </row>
    <row r="27" spans="2:34" x14ac:dyDescent="0.3">
      <c r="B27" s="264" t="s">
        <v>352</v>
      </c>
      <c r="C27" s="339">
        <f>C26</f>
        <v>0.34650530570409194</v>
      </c>
      <c r="D27" s="267"/>
      <c r="G27" s="268"/>
      <c r="H27" s="268"/>
      <c r="I27" s="268"/>
      <c r="J27" s="268"/>
      <c r="K27" s="268"/>
      <c r="L27" s="268"/>
      <c r="M27" s="268"/>
      <c r="N27" s="268"/>
      <c r="O27" s="268"/>
      <c r="P27" s="268"/>
      <c r="Q27" s="268"/>
      <c r="R27" s="268"/>
      <c r="S27" s="268"/>
      <c r="T27" s="268"/>
      <c r="U27" s="268"/>
      <c r="V27" s="268"/>
      <c r="W27" s="268"/>
      <c r="X27" s="268"/>
      <c r="Y27" s="268"/>
      <c r="Z27" s="268"/>
      <c r="AA27" s="268"/>
      <c r="AB27" s="268"/>
      <c r="AC27" s="268"/>
      <c r="AD27" s="268"/>
      <c r="AE27" s="268"/>
      <c r="AF27" s="268"/>
      <c r="AG27" s="268"/>
      <c r="AH27" s="268"/>
    </row>
    <row r="28" spans="2:34" x14ac:dyDescent="0.3">
      <c r="B28" s="264" t="s">
        <v>354</v>
      </c>
      <c r="C28" s="339">
        <f>C27</f>
        <v>0.34650530570409194</v>
      </c>
      <c r="D28" s="267"/>
      <c r="G28" s="268"/>
      <c r="H28" s="268"/>
      <c r="I28" s="268"/>
      <c r="J28" s="268"/>
      <c r="K28" s="268"/>
      <c r="L28" s="268"/>
      <c r="M28" s="268"/>
      <c r="N28" s="268"/>
      <c r="O28" s="268"/>
      <c r="P28" s="268"/>
      <c r="Q28" s="268"/>
      <c r="R28" s="268"/>
      <c r="S28" s="268"/>
      <c r="T28" s="268"/>
      <c r="U28" s="268"/>
      <c r="V28" s="268"/>
      <c r="W28" s="268"/>
      <c r="X28" s="268"/>
      <c r="Y28" s="268"/>
      <c r="Z28" s="268"/>
      <c r="AA28" s="268"/>
      <c r="AB28" s="268"/>
      <c r="AC28" s="268"/>
      <c r="AD28" s="268"/>
      <c r="AE28" s="268"/>
      <c r="AF28" s="268"/>
      <c r="AG28" s="268"/>
      <c r="AH28" s="268"/>
    </row>
    <row r="29" spans="2:34" x14ac:dyDescent="0.3">
      <c r="D29" s="267"/>
      <c r="G29" s="268"/>
      <c r="H29" s="268"/>
      <c r="I29" s="268"/>
      <c r="J29" s="268"/>
      <c r="K29" s="268"/>
      <c r="L29" s="268"/>
      <c r="M29" s="268"/>
      <c r="N29" s="268"/>
      <c r="O29" s="268"/>
      <c r="P29" s="268"/>
      <c r="Q29" s="268"/>
      <c r="R29" s="268"/>
      <c r="S29" s="268"/>
      <c r="T29" s="268"/>
      <c r="U29" s="268"/>
      <c r="V29" s="268"/>
      <c r="W29" s="268"/>
      <c r="X29" s="268"/>
      <c r="Y29" s="268"/>
      <c r="Z29" s="268"/>
      <c r="AA29" s="268"/>
      <c r="AB29" s="268"/>
      <c r="AC29" s="268"/>
      <c r="AD29" s="268"/>
      <c r="AE29" s="268"/>
      <c r="AF29" s="268"/>
      <c r="AG29" s="268"/>
      <c r="AH29" s="268"/>
    </row>
    <row r="30" spans="2:34" x14ac:dyDescent="0.3">
      <c r="C30" s="269"/>
      <c r="D30" s="267"/>
      <c r="E30" s="268"/>
      <c r="F30" s="268"/>
      <c r="G30" s="268"/>
      <c r="H30" s="268"/>
      <c r="I30" s="268"/>
      <c r="J30" s="268"/>
      <c r="K30" s="268"/>
      <c r="L30" s="268"/>
      <c r="M30" s="268"/>
      <c r="N30" s="268"/>
      <c r="O30" s="268"/>
      <c r="P30" s="268"/>
      <c r="Q30" s="268"/>
      <c r="R30" s="268"/>
      <c r="S30" s="268"/>
      <c r="T30" s="268"/>
      <c r="U30" s="268"/>
      <c r="V30" s="268"/>
      <c r="W30" s="268"/>
      <c r="X30" s="268"/>
      <c r="Y30" s="268"/>
      <c r="Z30" s="268"/>
      <c r="AA30" s="268"/>
      <c r="AB30" s="268"/>
      <c r="AC30" s="268"/>
      <c r="AD30" s="268"/>
      <c r="AE30" s="268"/>
      <c r="AF30" s="268"/>
      <c r="AG30" s="268"/>
      <c r="AH30" s="268"/>
    </row>
    <row r="31" spans="2:34" s="270" customFormat="1" x14ac:dyDescent="0.3">
      <c r="B31" s="270" t="s">
        <v>292</v>
      </c>
    </row>
    <row r="32" spans="2:34" x14ac:dyDescent="0.3">
      <c r="E32" s="263" t="s">
        <v>309</v>
      </c>
      <c r="AF32" s="286" t="s">
        <v>310</v>
      </c>
    </row>
    <row r="33" spans="1:34" x14ac:dyDescent="0.3">
      <c r="D33" s="268"/>
      <c r="E33" s="287">
        <v>1</v>
      </c>
      <c r="F33" s="287">
        <v>2</v>
      </c>
      <c r="G33" s="287">
        <v>3</v>
      </c>
      <c r="H33" s="287">
        <v>4</v>
      </c>
      <c r="I33" s="287">
        <v>5</v>
      </c>
      <c r="J33" s="287">
        <v>6</v>
      </c>
      <c r="K33" s="287">
        <v>7</v>
      </c>
      <c r="L33" s="287">
        <v>8</v>
      </c>
      <c r="M33" s="287">
        <v>9</v>
      </c>
      <c r="N33" s="287">
        <v>10</v>
      </c>
      <c r="O33" s="287">
        <v>11</v>
      </c>
      <c r="P33" s="287">
        <v>12</v>
      </c>
      <c r="Q33" s="287">
        <v>13</v>
      </c>
      <c r="R33" s="287">
        <v>14</v>
      </c>
      <c r="S33" s="287">
        <v>15</v>
      </c>
      <c r="T33" s="287">
        <v>16</v>
      </c>
      <c r="U33" s="287">
        <v>17</v>
      </c>
      <c r="V33" s="287">
        <v>18</v>
      </c>
      <c r="W33" s="287">
        <v>19</v>
      </c>
      <c r="X33" s="287">
        <v>20</v>
      </c>
      <c r="Y33" s="287">
        <v>21</v>
      </c>
      <c r="Z33" s="287">
        <v>22</v>
      </c>
      <c r="AA33" s="287">
        <v>23</v>
      </c>
      <c r="AB33" s="287">
        <v>24</v>
      </c>
      <c r="AC33" s="287">
        <v>25</v>
      </c>
      <c r="AD33" s="287">
        <v>26</v>
      </c>
      <c r="AE33" s="287">
        <v>27</v>
      </c>
      <c r="AF33" s="285">
        <v>28</v>
      </c>
      <c r="AG33" s="285">
        <v>29</v>
      </c>
      <c r="AH33" s="285">
        <v>30</v>
      </c>
    </row>
    <row r="34" spans="1:34" x14ac:dyDescent="0.3">
      <c r="B34" s="268"/>
      <c r="C34" s="268"/>
      <c r="D34" s="268"/>
      <c r="E34" s="277">
        <f>C11</f>
        <v>46153</v>
      </c>
      <c r="F34" s="277">
        <f>E34+31</f>
        <v>46184</v>
      </c>
      <c r="G34" s="277">
        <f t="shared" ref="G34:AH34" si="3">F34+31</f>
        <v>46215</v>
      </c>
      <c r="H34" s="277">
        <f t="shared" si="3"/>
        <v>46246</v>
      </c>
      <c r="I34" s="277">
        <f t="shared" si="3"/>
        <v>46277</v>
      </c>
      <c r="J34" s="277">
        <f t="shared" si="3"/>
        <v>46308</v>
      </c>
      <c r="K34" s="277">
        <f t="shared" si="3"/>
        <v>46339</v>
      </c>
      <c r="L34" s="277">
        <f t="shared" si="3"/>
        <v>46370</v>
      </c>
      <c r="M34" s="277">
        <f t="shared" si="3"/>
        <v>46401</v>
      </c>
      <c r="N34" s="277">
        <f t="shared" si="3"/>
        <v>46432</v>
      </c>
      <c r="O34" s="277">
        <f t="shared" si="3"/>
        <v>46463</v>
      </c>
      <c r="P34" s="277">
        <f t="shared" si="3"/>
        <v>46494</v>
      </c>
      <c r="Q34" s="277">
        <f t="shared" si="3"/>
        <v>46525</v>
      </c>
      <c r="R34" s="277">
        <f t="shared" si="3"/>
        <v>46556</v>
      </c>
      <c r="S34" s="277">
        <f t="shared" si="3"/>
        <v>46587</v>
      </c>
      <c r="T34" s="277">
        <f t="shared" si="3"/>
        <v>46618</v>
      </c>
      <c r="U34" s="277">
        <f t="shared" si="3"/>
        <v>46649</v>
      </c>
      <c r="V34" s="277">
        <f t="shared" si="3"/>
        <v>46680</v>
      </c>
      <c r="W34" s="277">
        <f t="shared" si="3"/>
        <v>46711</v>
      </c>
      <c r="X34" s="277">
        <f t="shared" si="3"/>
        <v>46742</v>
      </c>
      <c r="Y34" s="277">
        <f t="shared" si="3"/>
        <v>46773</v>
      </c>
      <c r="Z34" s="277">
        <f t="shared" si="3"/>
        <v>46804</v>
      </c>
      <c r="AA34" s="277">
        <f t="shared" si="3"/>
        <v>46835</v>
      </c>
      <c r="AB34" s="277">
        <f t="shared" si="3"/>
        <v>46866</v>
      </c>
      <c r="AC34" s="277">
        <f t="shared" si="3"/>
        <v>46897</v>
      </c>
      <c r="AD34" s="277">
        <f t="shared" si="3"/>
        <v>46928</v>
      </c>
      <c r="AE34" s="277">
        <f t="shared" si="3"/>
        <v>46959</v>
      </c>
      <c r="AF34" s="277">
        <f t="shared" si="3"/>
        <v>46990</v>
      </c>
      <c r="AG34" s="277">
        <f t="shared" si="3"/>
        <v>47021</v>
      </c>
      <c r="AH34" s="277">
        <f t="shared" si="3"/>
        <v>47052</v>
      </c>
    </row>
    <row r="35" spans="1:34" x14ac:dyDescent="0.3">
      <c r="A35" s="310"/>
      <c r="B35" s="297" t="s">
        <v>343</v>
      </c>
      <c r="C35" s="297" t="s">
        <v>307</v>
      </c>
      <c r="D35" s="297" t="s">
        <v>308</v>
      </c>
      <c r="E35" s="278"/>
      <c r="F35" s="278"/>
      <c r="G35" s="278"/>
      <c r="H35" s="278"/>
      <c r="I35" s="278"/>
      <c r="J35" s="278"/>
      <c r="K35" s="278"/>
      <c r="L35" s="278"/>
      <c r="M35" s="278"/>
      <c r="N35" s="278"/>
      <c r="O35" s="278"/>
      <c r="P35" s="278"/>
      <c r="Q35" s="278"/>
      <c r="R35" s="278"/>
      <c r="S35" s="278"/>
      <c r="T35" s="278"/>
      <c r="U35" s="278"/>
      <c r="V35" s="278"/>
      <c r="W35" s="278"/>
      <c r="X35" s="278"/>
      <c r="Y35" s="278"/>
      <c r="Z35" s="278"/>
      <c r="AA35" s="278"/>
      <c r="AB35" s="278"/>
      <c r="AC35" s="278"/>
      <c r="AD35" s="278"/>
      <c r="AE35" s="278"/>
      <c r="AF35" s="278"/>
      <c r="AG35" s="278"/>
      <c r="AH35" s="278"/>
    </row>
    <row r="36" spans="1:34" x14ac:dyDescent="0.3">
      <c r="A36" s="310" t="s">
        <v>276</v>
      </c>
      <c r="B36" s="288" t="s">
        <v>270</v>
      </c>
      <c r="C36" s="279">
        <f t="shared" ref="C36:C43" si="4">SUM(E36:AH36)</f>
        <v>2248572.2472499995</v>
      </c>
      <c r="D36" s="289">
        <f>C36/C7</f>
        <v>4.8628783091389981E-2</v>
      </c>
      <c r="E36" s="279">
        <f>($C$12-$C$15)*E56</f>
        <v>27846.431138556363</v>
      </c>
      <c r="F36" s="279">
        <f t="shared" ref="F36:AH36" si="5">($C$12-$C$15)*F56</f>
        <v>64727.693023730622</v>
      </c>
      <c r="G36" s="279">
        <f t="shared" si="5"/>
        <v>49277.730627153411</v>
      </c>
      <c r="H36" s="279">
        <f t="shared" si="5"/>
        <v>47467.472568059857</v>
      </c>
      <c r="I36" s="279">
        <f t="shared" si="5"/>
        <v>51314.082625707953</v>
      </c>
      <c r="J36" s="279">
        <f t="shared" si="5"/>
        <v>46796.656009537757</v>
      </c>
      <c r="K36" s="279">
        <f t="shared" si="5"/>
        <v>24094.890715521986</v>
      </c>
      <c r="L36" s="279">
        <f t="shared" si="5"/>
        <v>44306.63207437806</v>
      </c>
      <c r="M36" s="279">
        <f t="shared" si="5"/>
        <v>36718.780054587987</v>
      </c>
      <c r="N36" s="279">
        <f t="shared" si="5"/>
        <v>37787.166672146355</v>
      </c>
      <c r="O36" s="279">
        <f t="shared" si="5"/>
        <v>76506.523940835134</v>
      </c>
      <c r="P36" s="279">
        <f t="shared" si="5"/>
        <v>86509.072725502047</v>
      </c>
      <c r="Q36" s="279">
        <f t="shared" si="5"/>
        <v>106803.67397166927</v>
      </c>
      <c r="R36" s="279">
        <f t="shared" si="5"/>
        <v>111831.57145941017</v>
      </c>
      <c r="S36" s="279">
        <f t="shared" si="5"/>
        <v>102200.39686709907</v>
      </c>
      <c r="T36" s="279">
        <f t="shared" si="5"/>
        <v>105617.46216835501</v>
      </c>
      <c r="U36" s="279">
        <f t="shared" si="5"/>
        <v>133027.2880336628</v>
      </c>
      <c r="V36" s="279">
        <f t="shared" si="5"/>
        <v>138941.28038687754</v>
      </c>
      <c r="W36" s="279">
        <f t="shared" si="5"/>
        <v>151515.45379355684</v>
      </c>
      <c r="X36" s="279">
        <f t="shared" si="5"/>
        <v>115641.95701815505</v>
      </c>
      <c r="Y36" s="279">
        <f t="shared" si="5"/>
        <v>132735.91804186418</v>
      </c>
      <c r="Z36" s="279">
        <f t="shared" si="5"/>
        <v>116139.52108502654</v>
      </c>
      <c r="AA36" s="279">
        <f t="shared" si="5"/>
        <v>116153.50720440444</v>
      </c>
      <c r="AB36" s="279">
        <f t="shared" si="5"/>
        <v>109570.83443630254</v>
      </c>
      <c r="AC36" s="279">
        <f t="shared" si="5"/>
        <v>67367.067127552684</v>
      </c>
      <c r="AD36" s="279">
        <f t="shared" si="5"/>
        <v>53377.6648341767</v>
      </c>
      <c r="AE36" s="279">
        <f t="shared" si="5"/>
        <v>50562.924580791616</v>
      </c>
      <c r="AF36" s="279">
        <f t="shared" si="5"/>
        <v>33797.659848185511</v>
      </c>
      <c r="AG36" s="279">
        <f t="shared" si="5"/>
        <v>9934.9342171920907</v>
      </c>
      <c r="AH36" s="279">
        <f t="shared" si="5"/>
        <v>0</v>
      </c>
    </row>
    <row r="37" spans="1:34" x14ac:dyDescent="0.3">
      <c r="A37" s="310" t="s">
        <v>276</v>
      </c>
      <c r="B37" s="288" t="s">
        <v>281</v>
      </c>
      <c r="C37" s="279">
        <f t="shared" si="4"/>
        <v>2144183.4400000004</v>
      </c>
      <c r="D37" s="289">
        <f>C15/C7</f>
        <v>4.6371216908610013E-2</v>
      </c>
      <c r="E37" s="279">
        <f>$C$15/$C$10</f>
        <v>79414.201481481476</v>
      </c>
      <c r="F37" s="279">
        <f t="shared" ref="F37:AE37" si="6">$C$15/$C$10</f>
        <v>79414.201481481476</v>
      </c>
      <c r="G37" s="279">
        <f t="shared" si="6"/>
        <v>79414.201481481476</v>
      </c>
      <c r="H37" s="279">
        <f t="shared" si="6"/>
        <v>79414.201481481476</v>
      </c>
      <c r="I37" s="279">
        <f t="shared" si="6"/>
        <v>79414.201481481476</v>
      </c>
      <c r="J37" s="279">
        <f t="shared" si="6"/>
        <v>79414.201481481476</v>
      </c>
      <c r="K37" s="279">
        <f t="shared" si="6"/>
        <v>79414.201481481476</v>
      </c>
      <c r="L37" s="279">
        <f t="shared" si="6"/>
        <v>79414.201481481476</v>
      </c>
      <c r="M37" s="279">
        <f t="shared" si="6"/>
        <v>79414.201481481476</v>
      </c>
      <c r="N37" s="279">
        <f t="shared" si="6"/>
        <v>79414.201481481476</v>
      </c>
      <c r="O37" s="279">
        <f t="shared" si="6"/>
        <v>79414.201481481476</v>
      </c>
      <c r="P37" s="279">
        <f t="shared" si="6"/>
        <v>79414.201481481476</v>
      </c>
      <c r="Q37" s="279">
        <f t="shared" si="6"/>
        <v>79414.201481481476</v>
      </c>
      <c r="R37" s="279">
        <f t="shared" si="6"/>
        <v>79414.201481481476</v>
      </c>
      <c r="S37" s="279">
        <f t="shared" si="6"/>
        <v>79414.201481481476</v>
      </c>
      <c r="T37" s="279">
        <f t="shared" si="6"/>
        <v>79414.201481481476</v>
      </c>
      <c r="U37" s="279">
        <f t="shared" si="6"/>
        <v>79414.201481481476</v>
      </c>
      <c r="V37" s="279">
        <f t="shared" si="6"/>
        <v>79414.201481481476</v>
      </c>
      <c r="W37" s="279">
        <f t="shared" si="6"/>
        <v>79414.201481481476</v>
      </c>
      <c r="X37" s="279">
        <f t="shared" si="6"/>
        <v>79414.201481481476</v>
      </c>
      <c r="Y37" s="279">
        <f t="shared" si="6"/>
        <v>79414.201481481476</v>
      </c>
      <c r="Z37" s="279">
        <f t="shared" si="6"/>
        <v>79414.201481481476</v>
      </c>
      <c r="AA37" s="279">
        <f t="shared" si="6"/>
        <v>79414.201481481476</v>
      </c>
      <c r="AB37" s="279">
        <f t="shared" si="6"/>
        <v>79414.201481481476</v>
      </c>
      <c r="AC37" s="279">
        <f t="shared" si="6"/>
        <v>79414.201481481476</v>
      </c>
      <c r="AD37" s="279">
        <f t="shared" si="6"/>
        <v>79414.201481481476</v>
      </c>
      <c r="AE37" s="279">
        <f t="shared" si="6"/>
        <v>79414.201481481476</v>
      </c>
      <c r="AF37" s="279"/>
      <c r="AG37" s="279"/>
      <c r="AH37" s="279"/>
    </row>
    <row r="38" spans="1:34" x14ac:dyDescent="0.3">
      <c r="A38" s="310" t="s">
        <v>276</v>
      </c>
      <c r="B38" s="288" t="s">
        <v>282</v>
      </c>
      <c r="C38" s="280">
        <f t="shared" si="4"/>
        <v>2653384.7500000009</v>
      </c>
      <c r="D38" s="289">
        <f>C19/C7</f>
        <v>5.7383467052729391E-2</v>
      </c>
      <c r="E38" s="281">
        <f>$C$19/$C$10</f>
        <v>98273.509259259255</v>
      </c>
      <c r="F38" s="281">
        <f t="shared" ref="F38:AE38" si="7">$C$19/$C$10</f>
        <v>98273.509259259255</v>
      </c>
      <c r="G38" s="281">
        <f t="shared" si="7"/>
        <v>98273.509259259255</v>
      </c>
      <c r="H38" s="281">
        <f t="shared" si="7"/>
        <v>98273.509259259255</v>
      </c>
      <c r="I38" s="281">
        <f t="shared" si="7"/>
        <v>98273.509259259255</v>
      </c>
      <c r="J38" s="281">
        <f t="shared" si="7"/>
        <v>98273.509259259255</v>
      </c>
      <c r="K38" s="281">
        <f t="shared" si="7"/>
        <v>98273.509259259255</v>
      </c>
      <c r="L38" s="281">
        <f t="shared" si="7"/>
        <v>98273.509259259255</v>
      </c>
      <c r="M38" s="281">
        <f t="shared" si="7"/>
        <v>98273.509259259255</v>
      </c>
      <c r="N38" s="281">
        <f t="shared" si="7"/>
        <v>98273.509259259255</v>
      </c>
      <c r="O38" s="281">
        <f t="shared" si="7"/>
        <v>98273.509259259255</v>
      </c>
      <c r="P38" s="281">
        <f t="shared" si="7"/>
        <v>98273.509259259255</v>
      </c>
      <c r="Q38" s="281">
        <f t="shared" si="7"/>
        <v>98273.509259259255</v>
      </c>
      <c r="R38" s="281">
        <f t="shared" si="7"/>
        <v>98273.509259259255</v>
      </c>
      <c r="S38" s="281">
        <f t="shared" si="7"/>
        <v>98273.509259259255</v>
      </c>
      <c r="T38" s="281">
        <f t="shared" si="7"/>
        <v>98273.509259259255</v>
      </c>
      <c r="U38" s="281">
        <f t="shared" si="7"/>
        <v>98273.509259259255</v>
      </c>
      <c r="V38" s="281">
        <f t="shared" si="7"/>
        <v>98273.509259259255</v>
      </c>
      <c r="W38" s="281">
        <f t="shared" si="7"/>
        <v>98273.509259259255</v>
      </c>
      <c r="X38" s="281">
        <f t="shared" si="7"/>
        <v>98273.509259259255</v>
      </c>
      <c r="Y38" s="281">
        <f t="shared" si="7"/>
        <v>98273.509259259255</v>
      </c>
      <c r="Z38" s="281">
        <f t="shared" si="7"/>
        <v>98273.509259259255</v>
      </c>
      <c r="AA38" s="281">
        <f t="shared" si="7"/>
        <v>98273.509259259255</v>
      </c>
      <c r="AB38" s="281">
        <f t="shared" si="7"/>
        <v>98273.509259259255</v>
      </c>
      <c r="AC38" s="281">
        <f t="shared" si="7"/>
        <v>98273.509259259255</v>
      </c>
      <c r="AD38" s="281">
        <f t="shared" si="7"/>
        <v>98273.509259259255</v>
      </c>
      <c r="AE38" s="281">
        <f t="shared" si="7"/>
        <v>98273.509259259255</v>
      </c>
      <c r="AF38" s="281"/>
      <c r="AG38" s="281"/>
      <c r="AH38" s="281"/>
    </row>
    <row r="39" spans="1:34" x14ac:dyDescent="0.3">
      <c r="A39" s="310" t="s">
        <v>276</v>
      </c>
      <c r="B39" s="288" t="s">
        <v>275</v>
      </c>
      <c r="C39" s="279">
        <f t="shared" si="4"/>
        <v>231197.66774999999</v>
      </c>
      <c r="D39" s="289">
        <f>C16</f>
        <v>5.0000000000000001E-3</v>
      </c>
      <c r="E39" s="278"/>
      <c r="F39" s="278"/>
      <c r="G39" s="278"/>
      <c r="H39" s="278"/>
      <c r="I39" s="278"/>
      <c r="J39" s="278"/>
      <c r="K39" s="278"/>
      <c r="L39" s="278"/>
      <c r="M39" s="278"/>
      <c r="N39" s="278"/>
      <c r="O39" s="278"/>
      <c r="P39" s="278"/>
      <c r="Q39" s="278"/>
      <c r="R39" s="278"/>
      <c r="S39" s="278"/>
      <c r="T39" s="278"/>
      <c r="U39" s="278"/>
      <c r="V39" s="278"/>
      <c r="W39" s="278"/>
      <c r="X39" s="278"/>
      <c r="Y39" s="278"/>
      <c r="Z39" s="278"/>
      <c r="AA39" s="278"/>
      <c r="AB39" s="278"/>
      <c r="AC39" s="278"/>
      <c r="AD39" s="278"/>
      <c r="AE39" s="278"/>
      <c r="AF39" s="281"/>
      <c r="AG39" s="278"/>
      <c r="AH39" s="279">
        <f>C16*C7</f>
        <v>231197.66774999999</v>
      </c>
    </row>
    <row r="40" spans="1:34" x14ac:dyDescent="0.3">
      <c r="A40" s="310" t="s">
        <v>278</v>
      </c>
      <c r="B40" s="288" t="s">
        <v>285</v>
      </c>
      <c r="C40" s="279">
        <f t="shared" si="4"/>
        <v>-713697.65729578864</v>
      </c>
      <c r="D40" s="289">
        <f>-C20</f>
        <v>-9.8071251740445106E-2</v>
      </c>
      <c r="E40" s="279">
        <f>$D$40*(E36+E37+E38+E39)</f>
        <v>-20156.990569500907</v>
      </c>
      <c r="F40" s="279">
        <f t="shared" ref="F40:AH40" si="8">$D$40*(F36+F37+F38+F39)</f>
        <v>-23773.982088347115</v>
      </c>
      <c r="G40" s="279">
        <f t="shared" si="8"/>
        <v>-22258.784936771979</v>
      </c>
      <c r="H40" s="279">
        <f t="shared" si="8"/>
        <v>-22081.250662943443</v>
      </c>
      <c r="I40" s="279">
        <f t="shared" si="8"/>
        <v>-22458.49252625438</v>
      </c>
      <c r="J40" s="279">
        <f t="shared" si="8"/>
        <v>-22015.462843360969</v>
      </c>
      <c r="K40" s="279">
        <f t="shared" si="8"/>
        <v>-19789.072304259043</v>
      </c>
      <c r="L40" s="279">
        <f t="shared" si="8"/>
        <v>-21771.263079176184</v>
      </c>
      <c r="M40" s="279">
        <f t="shared" si="8"/>
        <v>-21027.11293357411</v>
      </c>
      <c r="N40" s="279">
        <f t="shared" si="8"/>
        <v>-21131.8909465008</v>
      </c>
      <c r="O40" s="279">
        <f t="shared" si="8"/>
        <v>-24929.146780426607</v>
      </c>
      <c r="P40" s="279">
        <f t="shared" si="8"/>
        <v>-25910.10926033376</v>
      </c>
      <c r="Q40" s="279">
        <f t="shared" si="8"/>
        <v>-27900.426208118577</v>
      </c>
      <c r="R40" s="279">
        <f t="shared" si="8"/>
        <v>-28393.518408363965</v>
      </c>
      <c r="S40" s="279">
        <f t="shared" si="8"/>
        <v>-27448.977060365247</v>
      </c>
      <c r="T40" s="279">
        <f t="shared" si="8"/>
        <v>-27784.092931738262</v>
      </c>
      <c r="U40" s="279">
        <f t="shared" si="8"/>
        <v>-30472.208864336622</v>
      </c>
      <c r="V40" s="279">
        <f t="shared" si="8"/>
        <v>-31052.201497199814</v>
      </c>
      <c r="W40" s="279">
        <f t="shared" si="8"/>
        <v>-32285.366422794268</v>
      </c>
      <c r="X40" s="279">
        <f t="shared" si="8"/>
        <v>-28767.207689723793</v>
      </c>
      <c r="Y40" s="279">
        <f t="shared" si="8"/>
        <v>-30443.63384452133</v>
      </c>
      <c r="Z40" s="279">
        <f t="shared" si="8"/>
        <v>-28816.004420582944</v>
      </c>
      <c r="AA40" s="279">
        <f t="shared" si="8"/>
        <v>-28817.376056817327</v>
      </c>
      <c r="AB40" s="279">
        <f t="shared" si="8"/>
        <v>-28171.805098651836</v>
      </c>
      <c r="AC40" s="279">
        <f t="shared" si="8"/>
        <v>-24032.828810520259</v>
      </c>
      <c r="AD40" s="279">
        <f t="shared" si="8"/>
        <v>-22660.870616508222</v>
      </c>
      <c r="AE40" s="279">
        <f t="shared" si="8"/>
        <v>-22384.825516534529</v>
      </c>
      <c r="AF40" s="279">
        <f t="shared" si="8"/>
        <v>-3314.5788072093351</v>
      </c>
      <c r="AG40" s="279">
        <f t="shared" si="8"/>
        <v>-974.33143463900751</v>
      </c>
      <c r="AH40" s="279">
        <f t="shared" si="8"/>
        <v>-22673.844675714037</v>
      </c>
    </row>
    <row r="41" spans="1:34" x14ac:dyDescent="0.3">
      <c r="A41" s="310" t="s">
        <v>278</v>
      </c>
      <c r="B41" s="288" t="s">
        <v>280</v>
      </c>
      <c r="C41" s="279">
        <f t="shared" si="4"/>
        <v>-693593.00324999995</v>
      </c>
      <c r="D41" s="289">
        <v>-1.4999999999999999E-2</v>
      </c>
      <c r="E41" s="278"/>
      <c r="F41" s="278"/>
      <c r="G41" s="278"/>
      <c r="H41" s="278"/>
      <c r="I41" s="278"/>
      <c r="J41" s="278"/>
      <c r="K41" s="278"/>
      <c r="L41" s="278"/>
      <c r="M41" s="278"/>
      <c r="N41" s="278"/>
      <c r="O41" s="278"/>
      <c r="P41" s="278"/>
      <c r="Q41" s="278"/>
      <c r="R41" s="278"/>
      <c r="S41" s="278"/>
      <c r="T41" s="278"/>
      <c r="U41" s="278"/>
      <c r="V41" s="278"/>
      <c r="W41" s="278"/>
      <c r="X41" s="278"/>
      <c r="Y41" s="278"/>
      <c r="Z41" s="278"/>
      <c r="AA41" s="278"/>
      <c r="AB41" s="278"/>
      <c r="AC41" s="278"/>
      <c r="AD41" s="278"/>
      <c r="AE41" s="278"/>
      <c r="AF41" s="281"/>
      <c r="AG41" s="278"/>
      <c r="AH41" s="332">
        <f>D41*C7</f>
        <v>-693593.00324999995</v>
      </c>
    </row>
    <row r="42" spans="1:34" x14ac:dyDescent="0.3">
      <c r="A42" s="310" t="s">
        <v>277</v>
      </c>
      <c r="B42" s="288" t="s">
        <v>271</v>
      </c>
      <c r="C42" s="279">
        <f t="shared" si="4"/>
        <v>-2132488.1706175003</v>
      </c>
      <c r="D42" s="289">
        <f>C42/C7</f>
        <v>-4.6118288981258561E-2</v>
      </c>
      <c r="E42" s="280">
        <f>-((SUMPRODUCT($H$6:$H$18,$I$6:$I$18)/$C$10)+($C$21/$C$10))</f>
        <v>-78981.043356203707</v>
      </c>
      <c r="F42" s="280">
        <f t="shared" ref="F42:AE42" si="9">-((SUMPRODUCT($H$6:$H$18,$I$6:$I$18)/$C$10)+($C$21/$C$10))</f>
        <v>-78981.043356203707</v>
      </c>
      <c r="G42" s="280">
        <f t="shared" si="9"/>
        <v>-78981.043356203707</v>
      </c>
      <c r="H42" s="280">
        <f t="shared" si="9"/>
        <v>-78981.043356203707</v>
      </c>
      <c r="I42" s="280">
        <f t="shared" si="9"/>
        <v>-78981.043356203707</v>
      </c>
      <c r="J42" s="280">
        <f t="shared" si="9"/>
        <v>-78981.043356203707</v>
      </c>
      <c r="K42" s="280">
        <f t="shared" si="9"/>
        <v>-78981.043356203707</v>
      </c>
      <c r="L42" s="280">
        <f t="shared" si="9"/>
        <v>-78981.043356203707</v>
      </c>
      <c r="M42" s="280">
        <f t="shared" si="9"/>
        <v>-78981.043356203707</v>
      </c>
      <c r="N42" s="280">
        <f t="shared" si="9"/>
        <v>-78981.043356203707</v>
      </c>
      <c r="O42" s="280">
        <f t="shared" si="9"/>
        <v>-78981.043356203707</v>
      </c>
      <c r="P42" s="280">
        <f t="shared" si="9"/>
        <v>-78981.043356203707</v>
      </c>
      <c r="Q42" s="280">
        <f t="shared" si="9"/>
        <v>-78981.043356203707</v>
      </c>
      <c r="R42" s="280">
        <f t="shared" si="9"/>
        <v>-78981.043356203707</v>
      </c>
      <c r="S42" s="280">
        <f t="shared" si="9"/>
        <v>-78981.043356203707</v>
      </c>
      <c r="T42" s="280">
        <f t="shared" si="9"/>
        <v>-78981.043356203707</v>
      </c>
      <c r="U42" s="280">
        <f t="shared" si="9"/>
        <v>-78981.043356203707</v>
      </c>
      <c r="V42" s="280">
        <f t="shared" si="9"/>
        <v>-78981.043356203707</v>
      </c>
      <c r="W42" s="280">
        <f t="shared" si="9"/>
        <v>-78981.043356203707</v>
      </c>
      <c r="X42" s="280">
        <f t="shared" si="9"/>
        <v>-78981.043356203707</v>
      </c>
      <c r="Y42" s="280">
        <f t="shared" si="9"/>
        <v>-78981.043356203707</v>
      </c>
      <c r="Z42" s="280">
        <f t="shared" si="9"/>
        <v>-78981.043356203707</v>
      </c>
      <c r="AA42" s="280">
        <f t="shared" si="9"/>
        <v>-78981.043356203707</v>
      </c>
      <c r="AB42" s="280">
        <f t="shared" si="9"/>
        <v>-78981.043356203707</v>
      </c>
      <c r="AC42" s="280">
        <f t="shared" si="9"/>
        <v>-78981.043356203707</v>
      </c>
      <c r="AD42" s="280">
        <f t="shared" si="9"/>
        <v>-78981.043356203707</v>
      </c>
      <c r="AE42" s="280">
        <f t="shared" si="9"/>
        <v>-78981.043356203707</v>
      </c>
      <c r="AF42" s="278"/>
      <c r="AG42" s="278"/>
      <c r="AH42" s="278"/>
    </row>
    <row r="43" spans="1:34" x14ac:dyDescent="0.3">
      <c r="A43" s="310" t="s">
        <v>277</v>
      </c>
      <c r="B43" s="288" t="s">
        <v>328</v>
      </c>
      <c r="C43" s="279">
        <f t="shared" si="4"/>
        <v>0</v>
      </c>
      <c r="D43" s="289">
        <f>C43/C7</f>
        <v>0</v>
      </c>
      <c r="E43" s="279">
        <f>-$C$23/$C$10</f>
        <v>0</v>
      </c>
      <c r="F43" s="279">
        <f t="shared" ref="F43:AH43" si="10">-$C$23/$C$10</f>
        <v>0</v>
      </c>
      <c r="G43" s="279">
        <f t="shared" si="10"/>
        <v>0</v>
      </c>
      <c r="H43" s="279">
        <f t="shared" si="10"/>
        <v>0</v>
      </c>
      <c r="I43" s="279">
        <f t="shared" si="10"/>
        <v>0</v>
      </c>
      <c r="J43" s="279">
        <f t="shared" si="10"/>
        <v>0</v>
      </c>
      <c r="K43" s="279">
        <f t="shared" si="10"/>
        <v>0</v>
      </c>
      <c r="L43" s="279">
        <f t="shared" si="10"/>
        <v>0</v>
      </c>
      <c r="M43" s="279">
        <f t="shared" si="10"/>
        <v>0</v>
      </c>
      <c r="N43" s="279">
        <f t="shared" si="10"/>
        <v>0</v>
      </c>
      <c r="O43" s="279">
        <f t="shared" si="10"/>
        <v>0</v>
      </c>
      <c r="P43" s="279">
        <f t="shared" si="10"/>
        <v>0</v>
      </c>
      <c r="Q43" s="279">
        <f t="shared" si="10"/>
        <v>0</v>
      </c>
      <c r="R43" s="279">
        <f t="shared" si="10"/>
        <v>0</v>
      </c>
      <c r="S43" s="279">
        <f t="shared" si="10"/>
        <v>0</v>
      </c>
      <c r="T43" s="279">
        <f t="shared" si="10"/>
        <v>0</v>
      </c>
      <c r="U43" s="279">
        <f t="shared" si="10"/>
        <v>0</v>
      </c>
      <c r="V43" s="279">
        <f t="shared" si="10"/>
        <v>0</v>
      </c>
      <c r="W43" s="279">
        <f t="shared" si="10"/>
        <v>0</v>
      </c>
      <c r="X43" s="279">
        <f t="shared" si="10"/>
        <v>0</v>
      </c>
      <c r="Y43" s="279">
        <f t="shared" si="10"/>
        <v>0</v>
      </c>
      <c r="Z43" s="279">
        <f t="shared" si="10"/>
        <v>0</v>
      </c>
      <c r="AA43" s="279">
        <f t="shared" si="10"/>
        <v>0</v>
      </c>
      <c r="AB43" s="279">
        <f t="shared" si="10"/>
        <v>0</v>
      </c>
      <c r="AC43" s="279">
        <f t="shared" si="10"/>
        <v>0</v>
      </c>
      <c r="AD43" s="279">
        <f t="shared" si="10"/>
        <v>0</v>
      </c>
      <c r="AE43" s="279">
        <f t="shared" si="10"/>
        <v>0</v>
      </c>
      <c r="AF43" s="279">
        <f t="shared" si="10"/>
        <v>0</v>
      </c>
      <c r="AG43" s="279">
        <f t="shared" si="10"/>
        <v>0</v>
      </c>
      <c r="AH43" s="279">
        <f t="shared" si="10"/>
        <v>0</v>
      </c>
    </row>
    <row r="44" spans="1:34" s="294" customFormat="1" ht="6.75" customHeight="1" x14ac:dyDescent="0.3">
      <c r="A44" s="310"/>
      <c r="B44" s="290"/>
      <c r="C44" s="291"/>
      <c r="D44" s="292"/>
      <c r="E44" s="293"/>
      <c r="F44" s="293"/>
      <c r="G44" s="293"/>
      <c r="H44" s="293"/>
      <c r="I44" s="293"/>
      <c r="J44" s="293"/>
      <c r="K44" s="293"/>
      <c r="L44" s="293"/>
      <c r="M44" s="293"/>
      <c r="N44" s="293"/>
      <c r="O44" s="293"/>
      <c r="P44" s="293"/>
      <c r="Q44" s="293"/>
      <c r="R44" s="293"/>
      <c r="S44" s="293"/>
      <c r="T44" s="293"/>
      <c r="U44" s="293"/>
      <c r="V44" s="293"/>
      <c r="W44" s="293"/>
      <c r="X44" s="293"/>
      <c r="Y44" s="293"/>
      <c r="Z44" s="293"/>
      <c r="AA44" s="293"/>
      <c r="AB44" s="293"/>
      <c r="AC44" s="293"/>
      <c r="AD44" s="293"/>
      <c r="AE44" s="293"/>
      <c r="AF44" s="293"/>
      <c r="AG44" s="293"/>
      <c r="AH44" s="293"/>
    </row>
    <row r="45" spans="1:34" x14ac:dyDescent="0.3">
      <c r="A45" s="310"/>
      <c r="B45" s="288" t="s">
        <v>333</v>
      </c>
      <c r="C45" s="279">
        <f>SUM(C36:C43)</f>
        <v>3737559.2738367114</v>
      </c>
      <c r="D45" s="289" t="s">
        <v>331</v>
      </c>
      <c r="E45" s="279">
        <f>SUM(E36:E43)</f>
        <v>106396.10795359249</v>
      </c>
      <c r="F45" s="279">
        <f t="shared" ref="F45:AH45" si="11">SUM(F36:F43)</f>
        <v>139660.37831992054</v>
      </c>
      <c r="G45" s="279">
        <f t="shared" si="11"/>
        <v>125725.61307491842</v>
      </c>
      <c r="H45" s="279">
        <f t="shared" si="11"/>
        <v>124092.88928965342</v>
      </c>
      <c r="I45" s="279">
        <f t="shared" si="11"/>
        <v>127562.25748399057</v>
      </c>
      <c r="J45" s="279">
        <f t="shared" si="11"/>
        <v>123487.86055071384</v>
      </c>
      <c r="K45" s="279">
        <f t="shared" si="11"/>
        <v>103012.48579579993</v>
      </c>
      <c r="L45" s="279">
        <f t="shared" si="11"/>
        <v>121242.03637973889</v>
      </c>
      <c r="M45" s="279">
        <f t="shared" si="11"/>
        <v>114398.33450555091</v>
      </c>
      <c r="N45" s="279">
        <f t="shared" si="11"/>
        <v>115361.94311018259</v>
      </c>
      <c r="O45" s="279">
        <f t="shared" si="11"/>
        <v>150284.04454494553</v>
      </c>
      <c r="P45" s="279">
        <f t="shared" si="11"/>
        <v>159305.63084970531</v>
      </c>
      <c r="Q45" s="279">
        <f t="shared" si="11"/>
        <v>177609.91514808769</v>
      </c>
      <c r="R45" s="279">
        <f t="shared" si="11"/>
        <v>182144.72043558321</v>
      </c>
      <c r="S45" s="279">
        <f t="shared" si="11"/>
        <v>173458.08719127084</v>
      </c>
      <c r="T45" s="279">
        <f t="shared" si="11"/>
        <v>176540.03662115379</v>
      </c>
      <c r="U45" s="279">
        <f t="shared" si="11"/>
        <v>201261.74655386322</v>
      </c>
      <c r="V45" s="279">
        <f t="shared" si="11"/>
        <v>206595.74627421476</v>
      </c>
      <c r="W45" s="279">
        <f t="shared" si="11"/>
        <v>217936.7547552996</v>
      </c>
      <c r="X45" s="279">
        <f t="shared" si="11"/>
        <v>185581.41671296826</v>
      </c>
      <c r="Y45" s="279">
        <f t="shared" si="11"/>
        <v>200998.95158187993</v>
      </c>
      <c r="Z45" s="279">
        <f t="shared" si="11"/>
        <v>186030.18404898059</v>
      </c>
      <c r="AA45" s="279">
        <f t="shared" si="11"/>
        <v>186042.79853212414</v>
      </c>
      <c r="AB45" s="279">
        <f t="shared" si="11"/>
        <v>180105.69672218774</v>
      </c>
      <c r="AC45" s="279">
        <f t="shared" si="11"/>
        <v>142040.90570156943</v>
      </c>
      <c r="AD45" s="279">
        <f t="shared" si="11"/>
        <v>129423.4616022055</v>
      </c>
      <c r="AE45" s="279">
        <f t="shared" si="11"/>
        <v>126884.76644879411</v>
      </c>
      <c r="AF45" s="279">
        <f t="shared" si="11"/>
        <v>30483.081040976176</v>
      </c>
      <c r="AG45" s="279">
        <f t="shared" si="11"/>
        <v>8960.6027825530837</v>
      </c>
      <c r="AH45" s="279">
        <f t="shared" si="11"/>
        <v>-485069.18017571396</v>
      </c>
    </row>
    <row r="46" spans="1:34" x14ac:dyDescent="0.3">
      <c r="A46" s="310"/>
      <c r="B46" s="288" t="s">
        <v>332</v>
      </c>
      <c r="C46" s="268" t="s">
        <v>331</v>
      </c>
      <c r="D46" s="282">
        <f>C45/(C36+C37+C38+C39+C40)</f>
        <v>0.56943388407937712</v>
      </c>
      <c r="E46" s="282">
        <f>E45/(E36+E37+E38+E39+E40)</f>
        <v>0.5739440227765007</v>
      </c>
      <c r="F46" s="282">
        <f t="shared" ref="F46:AH46" si="12">F45/(F36+F37+F38+F39+F40)</f>
        <v>0.63876449965094384</v>
      </c>
      <c r="G46" s="282">
        <f t="shared" si="12"/>
        <v>0.61417452303130871</v>
      </c>
      <c r="H46" s="282">
        <f t="shared" si="12"/>
        <v>0.61107246840026674</v>
      </c>
      <c r="I46" s="282">
        <f t="shared" si="12"/>
        <v>0.61760539782739043</v>
      </c>
      <c r="J46" s="282">
        <f t="shared" si="12"/>
        <v>0.6099102537122727</v>
      </c>
      <c r="K46" s="282">
        <f t="shared" si="12"/>
        <v>0.5660227936442862</v>
      </c>
      <c r="L46" s="282">
        <f t="shared" si="12"/>
        <v>0.60553476921659</v>
      </c>
      <c r="M46" s="282">
        <f t="shared" si="12"/>
        <v>0.59157463308902236</v>
      </c>
      <c r="N46" s="282">
        <f t="shared" si="12"/>
        <v>0.59359972390943816</v>
      </c>
      <c r="O46" s="282">
        <f t="shared" si="12"/>
        <v>0.6555033996704398</v>
      </c>
      <c r="P46" s="282">
        <f t="shared" si="12"/>
        <v>0.66854611732104519</v>
      </c>
      <c r="Q46" s="282">
        <f t="shared" si="12"/>
        <v>0.69219085576282002</v>
      </c>
      <c r="R46" s="282">
        <f t="shared" si="12"/>
        <v>0.69753638166787479</v>
      </c>
      <c r="S46" s="282">
        <f t="shared" si="12"/>
        <v>0.6871283656186169</v>
      </c>
      <c r="T46" s="282">
        <f t="shared" si="12"/>
        <v>0.69090204470330796</v>
      </c>
      <c r="U46" s="282">
        <f t="shared" si="12"/>
        <v>0.71816922254610149</v>
      </c>
      <c r="V46" s="282">
        <f t="shared" si="12"/>
        <v>0.72343325429767014</v>
      </c>
      <c r="W46" s="282">
        <f t="shared" si="12"/>
        <v>0.7339969383494368</v>
      </c>
      <c r="X46" s="282">
        <f t="shared" si="12"/>
        <v>0.7014654182775838</v>
      </c>
      <c r="Y46" s="282">
        <f t="shared" si="12"/>
        <v>0.71790469039164739</v>
      </c>
      <c r="Z46" s="282">
        <f t="shared" si="12"/>
        <v>0.70197095372322837</v>
      </c>
      <c r="AA46" s="282">
        <f t="shared" si="12"/>
        <v>0.70198513917293648</v>
      </c>
      <c r="AB46" s="282">
        <f t="shared" si="12"/>
        <v>0.69515598006942947</v>
      </c>
      <c r="AC46" s="282">
        <f t="shared" si="12"/>
        <v>0.64265520373472607</v>
      </c>
      <c r="AD46" s="282">
        <f t="shared" si="12"/>
        <v>0.62102046032082769</v>
      </c>
      <c r="AE46" s="282">
        <f t="shared" si="12"/>
        <v>0.61634696197966587</v>
      </c>
      <c r="AF46" s="282">
        <f t="shared" si="12"/>
        <v>1</v>
      </c>
      <c r="AG46" s="282">
        <f t="shared" si="12"/>
        <v>1</v>
      </c>
      <c r="AH46" s="282">
        <f t="shared" si="12"/>
        <v>-2.326205097452628</v>
      </c>
    </row>
    <row r="47" spans="1:34" ht="7.5" customHeight="1" x14ac:dyDescent="0.3">
      <c r="A47" s="310"/>
      <c r="B47" s="283"/>
      <c r="C47" s="283"/>
      <c r="D47" s="264"/>
      <c r="E47" s="283"/>
      <c r="F47" s="283"/>
      <c r="G47" s="283"/>
      <c r="H47" s="283"/>
      <c r="I47" s="283"/>
      <c r="J47" s="283"/>
      <c r="K47" s="283"/>
      <c r="L47" s="283"/>
      <c r="M47" s="283"/>
      <c r="N47" s="283"/>
      <c r="O47" s="283"/>
      <c r="P47" s="283"/>
      <c r="Q47" s="283"/>
      <c r="R47" s="283"/>
      <c r="S47" s="283"/>
      <c r="T47" s="283"/>
      <c r="U47" s="283"/>
      <c r="V47" s="283"/>
      <c r="W47" s="283"/>
      <c r="X47" s="283"/>
      <c r="Y47" s="283"/>
      <c r="Z47" s="283"/>
      <c r="AA47" s="283"/>
      <c r="AB47" s="283"/>
      <c r="AC47" s="283"/>
      <c r="AD47" s="283"/>
      <c r="AE47" s="283"/>
      <c r="AF47" s="283"/>
      <c r="AG47" s="283"/>
      <c r="AH47" s="283"/>
    </row>
    <row r="48" spans="1:34" x14ac:dyDescent="0.3">
      <c r="A48" s="310" t="s">
        <v>278</v>
      </c>
      <c r="B48" s="288" t="s">
        <v>334</v>
      </c>
      <c r="C48" s="279">
        <f>SUM(E48:AH48)</f>
        <v>-1506959.5764180927</v>
      </c>
      <c r="D48" s="313" t="s">
        <v>353</v>
      </c>
      <c r="E48" s="315">
        <f>-$C$26*(E36+E37)</f>
        <v>-37166.378296020506</v>
      </c>
      <c r="F48" s="315">
        <f t="shared" ref="F48:L48" si="13">-$C$26*(F36+F37)</f>
        <v>-49945.931220295482</v>
      </c>
      <c r="G48" s="315">
        <f t="shared" si="13"/>
        <v>-44592.437276952776</v>
      </c>
      <c r="H48" s="315">
        <f t="shared" si="13"/>
        <v>-43965.173254783265</v>
      </c>
      <c r="I48" s="315">
        <f t="shared" si="13"/>
        <v>-45298.044048733056</v>
      </c>
      <c r="J48" s="315">
        <f t="shared" si="13"/>
        <v>-43732.731758101203</v>
      </c>
      <c r="K48" s="315">
        <f t="shared" si="13"/>
        <v>-35866.449634875717</v>
      </c>
      <c r="L48" s="315">
        <f t="shared" si="13"/>
        <v>-42869.925253238187</v>
      </c>
      <c r="M48" s="315">
        <f>-$C$27*(M36+M37)</f>
        <v>-40240.694269483414</v>
      </c>
      <c r="N48" s="315">
        <f t="shared" ref="N48:X48" si="14">-$C$27*(N36+N37)</f>
        <v>-40610.895901010634</v>
      </c>
      <c r="O48" s="315">
        <f t="shared" si="14"/>
        <v>-54027.358628063594</v>
      </c>
      <c r="P48" s="315">
        <f t="shared" si="14"/>
        <v>-57493.294852514693</v>
      </c>
      <c r="Q48" s="315">
        <f t="shared" si="14"/>
        <v>-64525.481861460517</v>
      </c>
      <c r="R48" s="315">
        <f t="shared" si="14"/>
        <v>-66267.675017499016</v>
      </c>
      <c r="S48" s="315">
        <f t="shared" si="14"/>
        <v>-62930.421921100766</v>
      </c>
      <c r="T48" s="315">
        <f t="shared" si="14"/>
        <v>-64114.453177923308</v>
      </c>
      <c r="U48" s="315">
        <f t="shared" si="14"/>
        <v>-73612.103268677703</v>
      </c>
      <c r="V48" s="315">
        <f t="shared" si="14"/>
        <v>-75661.332996960045</v>
      </c>
      <c r="W48" s="315">
        <f t="shared" si="14"/>
        <v>-80018.350797217718</v>
      </c>
      <c r="X48" s="315">
        <f t="shared" si="14"/>
        <v>-67587.993830382358</v>
      </c>
      <c r="Y48" s="315">
        <f>-$C$28*(Y36+Y37)</f>
        <v>-73511.142020596541</v>
      </c>
      <c r="Z48" s="315">
        <f t="shared" ref="Z48:AE48" si="15">-$C$28*(Z36+Z37)</f>
        <v>-67760.402419481048</v>
      </c>
      <c r="AA48" s="315">
        <f t="shared" si="15"/>
        <v>-67765.248684051694</v>
      </c>
      <c r="AB48" s="315">
        <f t="shared" si="15"/>
        <v>-65484.317644190553</v>
      </c>
      <c r="AC48" s="315">
        <f t="shared" si="15"/>
        <v>-50860.488351007814</v>
      </c>
      <c r="AD48" s="315">
        <f t="shared" si="15"/>
        <v>-46013.086232724047</v>
      </c>
      <c r="AE48" s="315">
        <f t="shared" si="15"/>
        <v>-45037.763800747234</v>
      </c>
      <c r="AF48" s="315"/>
      <c r="AG48" s="315"/>
      <c r="AH48" s="315"/>
    </row>
    <row r="49" spans="1:34" s="294" customFormat="1" ht="7.5" customHeight="1" x14ac:dyDescent="0.3">
      <c r="A49" s="310"/>
      <c r="B49" s="295"/>
      <c r="C49" s="295"/>
      <c r="D49" s="296"/>
      <c r="E49" s="295"/>
      <c r="F49" s="295"/>
      <c r="G49" s="295"/>
      <c r="H49" s="295"/>
      <c r="I49" s="295"/>
      <c r="J49" s="295"/>
      <c r="K49" s="295"/>
      <c r="L49" s="295"/>
      <c r="M49" s="295"/>
      <c r="N49" s="295"/>
      <c r="O49" s="295"/>
      <c r="P49" s="295"/>
      <c r="Q49" s="295"/>
      <c r="R49" s="295"/>
      <c r="S49" s="295"/>
      <c r="T49" s="295"/>
      <c r="U49" s="295"/>
      <c r="V49" s="295"/>
      <c r="W49" s="295"/>
      <c r="X49" s="295"/>
      <c r="Y49" s="295"/>
      <c r="Z49" s="295"/>
      <c r="AA49" s="295"/>
      <c r="AB49" s="295"/>
      <c r="AC49" s="295"/>
      <c r="AD49" s="295"/>
      <c r="AE49" s="295"/>
      <c r="AF49" s="295"/>
      <c r="AG49" s="295"/>
      <c r="AH49" s="295"/>
    </row>
    <row r="50" spans="1:34" x14ac:dyDescent="0.3">
      <c r="A50" s="310"/>
      <c r="B50" s="288" t="s">
        <v>335</v>
      </c>
      <c r="C50" s="279">
        <f>SUM(E50:AH50)</f>
        <v>2230599.6974186171</v>
      </c>
      <c r="D50" s="278" t="s">
        <v>331</v>
      </c>
      <c r="E50" s="284">
        <f>SUM(E36:E43,E48)</f>
        <v>69229.729657571996</v>
      </c>
      <c r="F50" s="284">
        <f t="shared" ref="F50:AH50" si="16">SUM(F36:F43,F48)</f>
        <v>89714.447099625046</v>
      </c>
      <c r="G50" s="284">
        <f t="shared" si="16"/>
        <v>81133.17579796564</v>
      </c>
      <c r="H50" s="284">
        <f t="shared" si="16"/>
        <v>80127.716034870158</v>
      </c>
      <c r="I50" s="284">
        <f t="shared" si="16"/>
        <v>82264.213435257523</v>
      </c>
      <c r="J50" s="284">
        <f t="shared" si="16"/>
        <v>79755.128792612639</v>
      </c>
      <c r="K50" s="284">
        <f t="shared" si="16"/>
        <v>67146.03616092421</v>
      </c>
      <c r="L50" s="284">
        <f t="shared" si="16"/>
        <v>78372.111126500706</v>
      </c>
      <c r="M50" s="284">
        <f t="shared" si="16"/>
        <v>74157.640236067498</v>
      </c>
      <c r="N50" s="284">
        <f t="shared" si="16"/>
        <v>74751.047209171957</v>
      </c>
      <c r="O50" s="284">
        <f t="shared" si="16"/>
        <v>96256.685916881936</v>
      </c>
      <c r="P50" s="284">
        <f t="shared" si="16"/>
        <v>101812.33599719062</v>
      </c>
      <c r="Q50" s="284">
        <f t="shared" si="16"/>
        <v>113084.43328662717</v>
      </c>
      <c r="R50" s="284">
        <f t="shared" si="16"/>
        <v>115877.04541808419</v>
      </c>
      <c r="S50" s="284">
        <f t="shared" si="16"/>
        <v>110527.66527017008</v>
      </c>
      <c r="T50" s="284">
        <f t="shared" si="16"/>
        <v>112425.58344323048</v>
      </c>
      <c r="U50" s="284">
        <f t="shared" si="16"/>
        <v>127649.64328518552</v>
      </c>
      <c r="V50" s="284">
        <f t="shared" si="16"/>
        <v>130934.41327725472</v>
      </c>
      <c r="W50" s="284">
        <f t="shared" si="16"/>
        <v>137918.40395808188</v>
      </c>
      <c r="X50" s="284">
        <f t="shared" si="16"/>
        <v>117993.4228825859</v>
      </c>
      <c r="Y50" s="284">
        <f t="shared" si="16"/>
        <v>127487.80956128339</v>
      </c>
      <c r="Z50" s="284">
        <f t="shared" si="16"/>
        <v>118269.78162949954</v>
      </c>
      <c r="AA50" s="284">
        <f t="shared" si="16"/>
        <v>118277.54984807245</v>
      </c>
      <c r="AB50" s="284">
        <f t="shared" si="16"/>
        <v>114621.37907799719</v>
      </c>
      <c r="AC50" s="284">
        <f t="shared" si="16"/>
        <v>91180.41735056162</v>
      </c>
      <c r="AD50" s="284">
        <f t="shared" si="16"/>
        <v>83410.375369481451</v>
      </c>
      <c r="AE50" s="284">
        <f t="shared" si="16"/>
        <v>81847.00264804688</v>
      </c>
      <c r="AF50" s="284">
        <f t="shared" si="16"/>
        <v>30483.081040976176</v>
      </c>
      <c r="AG50" s="284">
        <f t="shared" si="16"/>
        <v>8960.6027825530837</v>
      </c>
      <c r="AH50" s="284">
        <f t="shared" si="16"/>
        <v>-485069.18017571396</v>
      </c>
    </row>
    <row r="51" spans="1:34" x14ac:dyDescent="0.3">
      <c r="A51" s="310"/>
      <c r="B51" s="283" t="s">
        <v>284</v>
      </c>
      <c r="C51" s="279">
        <f>SUM(E51:AH51)</f>
        <v>-791774.38582399988</v>
      </c>
      <c r="D51" s="266">
        <f>C24</f>
        <v>0.10879999999999999</v>
      </c>
      <c r="E51" s="284">
        <f>-$C$24*(E36+E37+E38+E39)</f>
        <v>-22362.114636467522</v>
      </c>
      <c r="F51" s="284">
        <f t="shared" ref="F51:AH51" si="17">-$C$24*(F36+F37+F38+F39)</f>
        <v>-26374.79592957448</v>
      </c>
      <c r="G51" s="284">
        <f t="shared" si="17"/>
        <v>-24693.840020826879</v>
      </c>
      <c r="H51" s="284">
        <f t="shared" si="17"/>
        <v>-24496.883943997502</v>
      </c>
      <c r="I51" s="284">
        <f t="shared" si="17"/>
        <v>-24915.395118269615</v>
      </c>
      <c r="J51" s="284">
        <f t="shared" si="17"/>
        <v>-24423.8991024303</v>
      </c>
      <c r="K51" s="284">
        <f t="shared" si="17"/>
        <v>-21953.94703844138</v>
      </c>
      <c r="L51" s="284">
        <f t="shared" si="17"/>
        <v>-24152.984498284921</v>
      </c>
      <c r="M51" s="284">
        <f t="shared" si="17"/>
        <v>-23327.426198531764</v>
      </c>
      <c r="N51" s="284">
        <f t="shared" si="17"/>
        <v>-23443.666662522115</v>
      </c>
      <c r="O51" s="284">
        <f t="shared" si="17"/>
        <v>-27656.332733355452</v>
      </c>
      <c r="P51" s="284">
        <f t="shared" si="17"/>
        <v>-28744.610041127213</v>
      </c>
      <c r="Q51" s="284">
        <f t="shared" si="17"/>
        <v>-30952.662656710203</v>
      </c>
      <c r="R51" s="284">
        <f t="shared" si="17"/>
        <v>-31499.697903376415</v>
      </c>
      <c r="S51" s="284">
        <f t="shared" si="17"/>
        <v>-30451.82610773297</v>
      </c>
      <c r="T51" s="284">
        <f t="shared" si="17"/>
        <v>-30823.602812509616</v>
      </c>
      <c r="U51" s="284">
        <f t="shared" si="17"/>
        <v>-33805.791866655105</v>
      </c>
      <c r="V51" s="284">
        <f t="shared" si="17"/>
        <v>-34449.234234684867</v>
      </c>
      <c r="W51" s="284">
        <f t="shared" si="17"/>
        <v>-35817.304301331576</v>
      </c>
      <c r="X51" s="284">
        <f t="shared" si="17"/>
        <v>-31914.267852167861</v>
      </c>
      <c r="Y51" s="284">
        <f t="shared" si="17"/>
        <v>-33774.090811547416</v>
      </c>
      <c r="Z51" s="284">
        <f t="shared" si="17"/>
        <v>-31968.402822643475</v>
      </c>
      <c r="AA51" s="284">
        <f t="shared" si="17"/>
        <v>-31969.924512431789</v>
      </c>
      <c r="AB51" s="284">
        <f t="shared" si="17"/>
        <v>-31253.72971526231</v>
      </c>
      <c r="AC51" s="284">
        <f t="shared" si="17"/>
        <v>-26661.959832070319</v>
      </c>
      <c r="AD51" s="284">
        <f t="shared" si="17"/>
        <v>-25139.912862551013</v>
      </c>
      <c r="AE51" s="284">
        <f t="shared" si="17"/>
        <v>-24833.669122982719</v>
      </c>
      <c r="AF51" s="284">
        <f t="shared" si="17"/>
        <v>-3677.1853914825833</v>
      </c>
      <c r="AG51" s="284">
        <f t="shared" si="17"/>
        <v>-1080.9208428304994</v>
      </c>
      <c r="AH51" s="284">
        <f t="shared" si="17"/>
        <v>-25154.3062512</v>
      </c>
    </row>
    <row r="52" spans="1:34" x14ac:dyDescent="0.3">
      <c r="A52" s="310"/>
      <c r="B52" s="283" t="s">
        <v>272</v>
      </c>
      <c r="C52" s="279">
        <f>SUM(E52:AH52)</f>
        <v>1438825.3115946173</v>
      </c>
      <c r="D52" s="264" t="s">
        <v>331</v>
      </c>
      <c r="E52" s="284">
        <f>SUM(E50:E51)</f>
        <v>46867.615021104473</v>
      </c>
      <c r="F52" s="284">
        <f t="shared" ref="F52:AH52" si="18">SUM(F50:F51)</f>
        <v>63339.651170050565</v>
      </c>
      <c r="G52" s="284">
        <f t="shared" si="18"/>
        <v>56439.33577713876</v>
      </c>
      <c r="H52" s="284">
        <f t="shared" si="18"/>
        <v>55630.83209087266</v>
      </c>
      <c r="I52" s="284">
        <f t="shared" si="18"/>
        <v>57348.818316987905</v>
      </c>
      <c r="J52" s="284">
        <f t="shared" si="18"/>
        <v>55331.229690182343</v>
      </c>
      <c r="K52" s="284">
        <f t="shared" si="18"/>
        <v>45192.08912248283</v>
      </c>
      <c r="L52" s="284">
        <f t="shared" si="18"/>
        <v>54219.126628215789</v>
      </c>
      <c r="M52" s="284">
        <f t="shared" si="18"/>
        <v>50830.214037535734</v>
      </c>
      <c r="N52" s="284">
        <f t="shared" si="18"/>
        <v>51307.380546649845</v>
      </c>
      <c r="O52" s="284">
        <f t="shared" si="18"/>
        <v>68600.353183526488</v>
      </c>
      <c r="P52" s="284">
        <f t="shared" si="18"/>
        <v>73067.725956063397</v>
      </c>
      <c r="Q52" s="284">
        <f t="shared" si="18"/>
        <v>82131.770629916966</v>
      </c>
      <c r="R52" s="284">
        <f t="shared" si="18"/>
        <v>84377.34751470777</v>
      </c>
      <c r="S52" s="284">
        <f t="shared" si="18"/>
        <v>80075.839162437114</v>
      </c>
      <c r="T52" s="284">
        <f t="shared" si="18"/>
        <v>81601.980630720864</v>
      </c>
      <c r="U52" s="284">
        <f t="shared" si="18"/>
        <v>93843.851418530423</v>
      </c>
      <c r="V52" s="284">
        <f t="shared" si="18"/>
        <v>96485.179042569856</v>
      </c>
      <c r="W52" s="284">
        <f t="shared" si="18"/>
        <v>102101.0996567503</v>
      </c>
      <c r="X52" s="284">
        <f t="shared" si="18"/>
        <v>86079.155030418042</v>
      </c>
      <c r="Y52" s="284">
        <f t="shared" si="18"/>
        <v>93713.71874973597</v>
      </c>
      <c r="Z52" s="284">
        <f t="shared" si="18"/>
        <v>86301.378806856068</v>
      </c>
      <c r="AA52" s="284">
        <f t="shared" si="18"/>
        <v>86307.625335640652</v>
      </c>
      <c r="AB52" s="284">
        <f t="shared" si="18"/>
        <v>83367.649362734883</v>
      </c>
      <c r="AC52" s="284">
        <f t="shared" si="18"/>
        <v>64518.457518491297</v>
      </c>
      <c r="AD52" s="284">
        <f t="shared" si="18"/>
        <v>58270.462506930438</v>
      </c>
      <c r="AE52" s="284">
        <f t="shared" si="18"/>
        <v>57013.333525064161</v>
      </c>
      <c r="AF52" s="284">
        <f t="shared" si="18"/>
        <v>26805.895649493592</v>
      </c>
      <c r="AG52" s="284">
        <f t="shared" si="18"/>
        <v>7879.6819397225845</v>
      </c>
      <c r="AH52" s="284">
        <f t="shared" si="18"/>
        <v>-510223.48642691394</v>
      </c>
    </row>
    <row r="53" spans="1:34" x14ac:dyDescent="0.3">
      <c r="A53" s="310"/>
      <c r="B53" s="283" t="s">
        <v>273</v>
      </c>
      <c r="C53" s="268" t="s">
        <v>331</v>
      </c>
      <c r="D53" s="289">
        <f>C52/(C36+C37+C38+C39+C40)</f>
        <v>0.21921147617064862</v>
      </c>
      <c r="E53" s="282">
        <f>E52/(E36+E37+E38+E39+E40)</f>
        <v>0.25282304043382808</v>
      </c>
      <c r="F53" s="282">
        <f t="shared" ref="F53:AH53" si="19">F52/(F36+F37+F38+F39+F40)</f>
        <v>0.28969648424568073</v>
      </c>
      <c r="G53" s="282">
        <f t="shared" si="19"/>
        <v>0.27570835634320939</v>
      </c>
      <c r="H53" s="282">
        <f t="shared" si="19"/>
        <v>0.27394373746574296</v>
      </c>
      <c r="I53" s="282">
        <f t="shared" si="19"/>
        <v>0.27766002617223379</v>
      </c>
      <c r="J53" s="282">
        <f t="shared" si="19"/>
        <v>0.27328260598289283</v>
      </c>
      <c r="K53" s="282">
        <f t="shared" si="19"/>
        <v>0.24831701068194431</v>
      </c>
      <c r="L53" s="282">
        <f t="shared" si="19"/>
        <v>0.27079359032795242</v>
      </c>
      <c r="M53" s="282">
        <f t="shared" si="19"/>
        <v>0.26285229893475948</v>
      </c>
      <c r="N53" s="282">
        <f t="shared" si="19"/>
        <v>0.26400428170596218</v>
      </c>
      <c r="O53" s="282">
        <f t="shared" si="19"/>
        <v>0.2992184890056373</v>
      </c>
      <c r="P53" s="282">
        <f t="shared" si="19"/>
        <v>0.3066379024322774</v>
      </c>
      <c r="Q53" s="282">
        <f t="shared" si="19"/>
        <v>0.32008832699591533</v>
      </c>
      <c r="R53" s="282">
        <f t="shared" si="19"/>
        <v>0.32312915542867493</v>
      </c>
      <c r="S53" s="282">
        <f t="shared" si="19"/>
        <v>0.31720850483351581</v>
      </c>
      <c r="T53" s="282">
        <f t="shared" si="19"/>
        <v>0.31935518055086437</v>
      </c>
      <c r="U53" s="282">
        <f t="shared" si="19"/>
        <v>0.33486624740156912</v>
      </c>
      <c r="V53" s="282">
        <f t="shared" si="19"/>
        <v>0.33786071748840979</v>
      </c>
      <c r="W53" s="282">
        <f t="shared" si="19"/>
        <v>0.34386992058457766</v>
      </c>
      <c r="X53" s="282">
        <f t="shared" si="19"/>
        <v>0.32536420703040014</v>
      </c>
      <c r="Y53" s="282">
        <f t="shared" si="19"/>
        <v>0.33471576699778266</v>
      </c>
      <c r="Z53" s="282">
        <f t="shared" si="19"/>
        <v>0.32565178332956846</v>
      </c>
      <c r="AA53" s="282">
        <f t="shared" si="19"/>
        <v>0.3256598527916888</v>
      </c>
      <c r="AB53" s="282">
        <f t="shared" si="19"/>
        <v>0.32177505239176063</v>
      </c>
      <c r="AC53" s="282">
        <f t="shared" si="19"/>
        <v>0.29190973020343225</v>
      </c>
      <c r="AD53" s="282">
        <f t="shared" si="19"/>
        <v>0.27960270109592561</v>
      </c>
      <c r="AE53" s="282">
        <f t="shared" si="19"/>
        <v>0.27694415881427265</v>
      </c>
      <c r="AF53" s="282">
        <f t="shared" si="19"/>
        <v>0.87936962846571798</v>
      </c>
      <c r="AG53" s="282">
        <f t="shared" si="19"/>
        <v>0.87936962846571809</v>
      </c>
      <c r="AH53" s="282">
        <f t="shared" si="19"/>
        <v>-2.4468354689869098</v>
      </c>
    </row>
    <row r="54" spans="1:34" x14ac:dyDescent="0.3">
      <c r="A54" s="310"/>
      <c r="B54" s="283" t="s">
        <v>289</v>
      </c>
      <c r="C54" s="279">
        <f>SUM(E54:AH54)</f>
        <v>6563640.4477042099</v>
      </c>
      <c r="D54" s="278" t="s">
        <v>331</v>
      </c>
      <c r="E54" s="284">
        <f>E36+E37+E38+E39+E40</f>
        <v>185377.1513097962</v>
      </c>
      <c r="F54" s="284">
        <f t="shared" ref="F54:AH54" si="20">F36+F37+F38+F39+F40</f>
        <v>218641.42167612424</v>
      </c>
      <c r="G54" s="284">
        <f t="shared" si="20"/>
        <v>204706.65643112213</v>
      </c>
      <c r="H54" s="284">
        <f t="shared" si="20"/>
        <v>203073.93264585713</v>
      </c>
      <c r="I54" s="284">
        <f t="shared" si="20"/>
        <v>206543.30084019428</v>
      </c>
      <c r="J54" s="284">
        <f t="shared" si="20"/>
        <v>202468.90390691755</v>
      </c>
      <c r="K54" s="284">
        <f t="shared" si="20"/>
        <v>181993.52915200364</v>
      </c>
      <c r="L54" s="284">
        <f t="shared" si="20"/>
        <v>200223.07973594259</v>
      </c>
      <c r="M54" s="284">
        <f t="shared" si="20"/>
        <v>193379.37786175462</v>
      </c>
      <c r="N54" s="284">
        <f t="shared" si="20"/>
        <v>194342.9864663863</v>
      </c>
      <c r="O54" s="284">
        <f t="shared" si="20"/>
        <v>229265.08790114924</v>
      </c>
      <c r="P54" s="284">
        <f t="shared" si="20"/>
        <v>238286.67420590902</v>
      </c>
      <c r="Q54" s="284">
        <f t="shared" si="20"/>
        <v>256590.9585042914</v>
      </c>
      <c r="R54" s="284">
        <f t="shared" si="20"/>
        <v>261125.76379178691</v>
      </c>
      <c r="S54" s="284">
        <f t="shared" si="20"/>
        <v>252439.13054747455</v>
      </c>
      <c r="T54" s="284">
        <f t="shared" si="20"/>
        <v>255521.0799773575</v>
      </c>
      <c r="U54" s="284">
        <f t="shared" si="20"/>
        <v>280242.78991006693</v>
      </c>
      <c r="V54" s="284">
        <f t="shared" si="20"/>
        <v>285576.78963041847</v>
      </c>
      <c r="W54" s="284">
        <f t="shared" si="20"/>
        <v>296917.7981115033</v>
      </c>
      <c r="X54" s="284">
        <f t="shared" si="20"/>
        <v>264562.46006917197</v>
      </c>
      <c r="Y54" s="284">
        <f t="shared" si="20"/>
        <v>279979.99493808363</v>
      </c>
      <c r="Z54" s="284">
        <f t="shared" si="20"/>
        <v>265011.2274051843</v>
      </c>
      <c r="AA54" s="284">
        <f t="shared" si="20"/>
        <v>265023.84188832785</v>
      </c>
      <c r="AB54" s="284">
        <f t="shared" si="20"/>
        <v>259086.74007839145</v>
      </c>
      <c r="AC54" s="284">
        <f t="shared" si="20"/>
        <v>221021.94905777313</v>
      </c>
      <c r="AD54" s="284">
        <f t="shared" si="20"/>
        <v>208404.5049584092</v>
      </c>
      <c r="AE54" s="284">
        <f t="shared" si="20"/>
        <v>205865.80980499781</v>
      </c>
      <c r="AF54" s="284">
        <f t="shared" si="20"/>
        <v>30483.081040976176</v>
      </c>
      <c r="AG54" s="284">
        <f t="shared" si="20"/>
        <v>8960.6027825530837</v>
      </c>
      <c r="AH54" s="284">
        <f t="shared" si="20"/>
        <v>208523.82307428596</v>
      </c>
    </row>
    <row r="55" spans="1:34" s="294" customFormat="1" ht="7.5" customHeight="1" x14ac:dyDescent="0.3">
      <c r="A55" s="310"/>
      <c r="B55" s="295"/>
      <c r="C55" s="295"/>
      <c r="D55" s="295"/>
      <c r="E55" s="295"/>
      <c r="F55" s="295"/>
      <c r="G55" s="295"/>
      <c r="H55" s="295"/>
      <c r="I55" s="295"/>
      <c r="J55" s="295"/>
      <c r="K55" s="295"/>
      <c r="L55" s="295"/>
      <c r="M55" s="295"/>
      <c r="N55" s="295"/>
      <c r="O55" s="295"/>
      <c r="P55" s="295"/>
      <c r="Q55" s="295"/>
      <c r="R55" s="295"/>
      <c r="S55" s="295"/>
      <c r="T55" s="295"/>
      <c r="U55" s="295"/>
      <c r="V55" s="295"/>
      <c r="W55" s="295"/>
      <c r="X55" s="295"/>
      <c r="Y55" s="295"/>
      <c r="Z55" s="295"/>
      <c r="AA55" s="295"/>
      <c r="AB55" s="295"/>
      <c r="AC55" s="295"/>
      <c r="AD55" s="295"/>
      <c r="AE55" s="295"/>
      <c r="AF55" s="295"/>
      <c r="AG55" s="295"/>
      <c r="AH55" s="295"/>
    </row>
    <row r="56" spans="1:34" s="299" customFormat="1" x14ac:dyDescent="0.3">
      <c r="A56" s="311"/>
      <c r="B56" s="335" t="s">
        <v>336</v>
      </c>
      <c r="C56" s="267" t="s">
        <v>331</v>
      </c>
      <c r="D56" s="289">
        <f>SUM(E56:AH56)</f>
        <v>1</v>
      </c>
      <c r="E56" s="304">
        <v>1.2384050000000002E-2</v>
      </c>
      <c r="F56" s="304">
        <v>2.8786129999999997E-2</v>
      </c>
      <c r="G56" s="304">
        <v>2.191512E-2</v>
      </c>
      <c r="H56" s="304">
        <v>2.1110050000000002E-2</v>
      </c>
      <c r="I56" s="304">
        <v>2.2820739999999999E-2</v>
      </c>
      <c r="J56" s="304">
        <v>2.0811719999999999E-2</v>
      </c>
      <c r="K56" s="304">
        <v>1.071564E-2</v>
      </c>
      <c r="L56" s="304">
        <v>1.9704340000000001E-2</v>
      </c>
      <c r="M56" s="304">
        <v>1.6329819999999998E-2</v>
      </c>
      <c r="N56" s="304">
        <v>1.6804960000000001E-2</v>
      </c>
      <c r="O56" s="304">
        <v>3.4024489999999998E-2</v>
      </c>
      <c r="P56" s="304">
        <v>3.8472890000000003E-2</v>
      </c>
      <c r="Q56" s="304">
        <v>4.7498440000000003E-2</v>
      </c>
      <c r="R56" s="304">
        <v>4.9734480000000005E-2</v>
      </c>
      <c r="S56" s="304">
        <v>4.5451240000000004E-2</v>
      </c>
      <c r="T56" s="304">
        <v>4.6970900000000003E-2</v>
      </c>
      <c r="U56" s="304">
        <v>5.9160779999999989E-2</v>
      </c>
      <c r="V56" s="304">
        <v>6.1790890000000001E-2</v>
      </c>
      <c r="W56" s="304">
        <v>6.7382960000000006E-2</v>
      </c>
      <c r="X56" s="304">
        <v>5.1429059999999999E-2</v>
      </c>
      <c r="Y56" s="304">
        <v>5.9031200000000006E-2</v>
      </c>
      <c r="Z56" s="304">
        <v>5.1650340000000003E-2</v>
      </c>
      <c r="AA56" s="304">
        <v>5.1656559999999997E-2</v>
      </c>
      <c r="AB56" s="304">
        <v>4.8729069999999999E-2</v>
      </c>
      <c r="AC56" s="304">
        <v>2.9959929999999999E-2</v>
      </c>
      <c r="AD56" s="304">
        <v>2.3738470000000001E-2</v>
      </c>
      <c r="AE56" s="304">
        <v>2.2486679999999998E-2</v>
      </c>
      <c r="AF56" s="304">
        <v>1.5030719999999999E-2</v>
      </c>
      <c r="AG56" s="304">
        <v>4.4183299999999998E-3</v>
      </c>
      <c r="AH56" s="304"/>
    </row>
    <row r="57" spans="1:34" s="294" customFormat="1" ht="6" customHeight="1" x14ac:dyDescent="0.3">
      <c r="A57" s="310"/>
      <c r="B57" s="295"/>
      <c r="C57" s="295"/>
      <c r="D57" s="295"/>
      <c r="E57" s="295"/>
      <c r="F57" s="295"/>
      <c r="G57" s="295"/>
      <c r="H57" s="295"/>
      <c r="I57" s="295"/>
      <c r="J57" s="295"/>
      <c r="K57" s="295"/>
      <c r="L57" s="295"/>
      <c r="M57" s="295"/>
      <c r="N57" s="295"/>
      <c r="O57" s="295"/>
      <c r="P57" s="295"/>
      <c r="Q57" s="295"/>
      <c r="R57" s="295"/>
      <c r="S57" s="295"/>
      <c r="T57" s="295"/>
      <c r="U57" s="295"/>
      <c r="V57" s="295"/>
      <c r="W57" s="295"/>
      <c r="X57" s="295"/>
      <c r="Y57" s="295"/>
      <c r="Z57" s="295"/>
      <c r="AA57" s="295"/>
      <c r="AB57" s="295"/>
      <c r="AC57" s="295"/>
      <c r="AD57" s="295"/>
      <c r="AE57" s="295"/>
      <c r="AF57" s="295"/>
      <c r="AG57" s="295"/>
      <c r="AH57" s="295"/>
    </row>
    <row r="58" spans="1:34" x14ac:dyDescent="0.3">
      <c r="A58" s="310"/>
      <c r="B58" s="283" t="s">
        <v>337</v>
      </c>
      <c r="C58" s="279">
        <f>SUM(E58:AH58)</f>
        <v>5771866.0618802104</v>
      </c>
      <c r="D58" s="283"/>
      <c r="E58" s="284">
        <f>E54+E51</f>
        <v>163015.03667332866</v>
      </c>
      <c r="F58" s="284">
        <f t="shared" ref="F58:AH58" si="21">F54+F51</f>
        <v>192266.62574654975</v>
      </c>
      <c r="G58" s="284">
        <f t="shared" si="21"/>
        <v>180012.81641029526</v>
      </c>
      <c r="H58" s="284">
        <f t="shared" si="21"/>
        <v>178577.04870185963</v>
      </c>
      <c r="I58" s="284">
        <f t="shared" si="21"/>
        <v>181627.90572192468</v>
      </c>
      <c r="J58" s="284">
        <f t="shared" si="21"/>
        <v>178045.00480448725</v>
      </c>
      <c r="K58" s="284">
        <f t="shared" si="21"/>
        <v>160039.58211356227</v>
      </c>
      <c r="L58" s="284">
        <f t="shared" si="21"/>
        <v>176070.09523765766</v>
      </c>
      <c r="M58" s="284">
        <f t="shared" si="21"/>
        <v>170051.95166322286</v>
      </c>
      <c r="N58" s="284">
        <f t="shared" si="21"/>
        <v>170899.31980386417</v>
      </c>
      <c r="O58" s="284">
        <f t="shared" si="21"/>
        <v>201608.75516779377</v>
      </c>
      <c r="P58" s="284">
        <f t="shared" si="21"/>
        <v>209542.0641647818</v>
      </c>
      <c r="Q58" s="284">
        <f t="shared" si="21"/>
        <v>225638.2958475812</v>
      </c>
      <c r="R58" s="284">
        <f t="shared" si="21"/>
        <v>229626.06588841049</v>
      </c>
      <c r="S58" s="284">
        <f t="shared" si="21"/>
        <v>221987.30443974157</v>
      </c>
      <c r="T58" s="284">
        <f t="shared" si="21"/>
        <v>224697.47716484789</v>
      </c>
      <c r="U58" s="284">
        <f t="shared" si="21"/>
        <v>246436.99804341182</v>
      </c>
      <c r="V58" s="284">
        <f t="shared" si="21"/>
        <v>251127.55539573359</v>
      </c>
      <c r="W58" s="284">
        <f t="shared" si="21"/>
        <v>261100.49381017173</v>
      </c>
      <c r="X58" s="284">
        <f t="shared" si="21"/>
        <v>232648.19221700411</v>
      </c>
      <c r="Y58" s="284">
        <f t="shared" si="21"/>
        <v>246205.90412653622</v>
      </c>
      <c r="Z58" s="284">
        <f t="shared" si="21"/>
        <v>233042.82458254084</v>
      </c>
      <c r="AA58" s="284">
        <f t="shared" si="21"/>
        <v>233053.91737589607</v>
      </c>
      <c r="AB58" s="284">
        <f t="shared" si="21"/>
        <v>227833.01036312914</v>
      </c>
      <c r="AC58" s="284">
        <f t="shared" si="21"/>
        <v>194359.98922570283</v>
      </c>
      <c r="AD58" s="284">
        <f t="shared" si="21"/>
        <v>183264.59209585818</v>
      </c>
      <c r="AE58" s="284">
        <f t="shared" si="21"/>
        <v>181032.1406820151</v>
      </c>
      <c r="AF58" s="284">
        <f t="shared" si="21"/>
        <v>26805.895649493592</v>
      </c>
      <c r="AG58" s="284">
        <f t="shared" si="21"/>
        <v>7879.6819397225845</v>
      </c>
      <c r="AH58" s="284">
        <f t="shared" si="21"/>
        <v>183369.51682308596</v>
      </c>
    </row>
    <row r="59" spans="1:34" x14ac:dyDescent="0.3">
      <c r="E59" s="299"/>
    </row>
    <row r="61" spans="1:34" s="270" customFormat="1" x14ac:dyDescent="0.3">
      <c r="B61" s="270" t="s">
        <v>293</v>
      </c>
    </row>
    <row r="63" spans="1:34" x14ac:dyDescent="0.3">
      <c r="C63" s="303" t="s">
        <v>346</v>
      </c>
    </row>
    <row r="64" spans="1:34" x14ac:dyDescent="0.3">
      <c r="A64" s="301">
        <v>1</v>
      </c>
      <c r="B64" s="301" t="s">
        <v>344</v>
      </c>
      <c r="C64" s="302">
        <v>0.04</v>
      </c>
    </row>
    <row r="65" spans="1:3" x14ac:dyDescent="0.3">
      <c r="A65" s="301">
        <v>2</v>
      </c>
      <c r="B65" s="301" t="s">
        <v>345</v>
      </c>
      <c r="C65" s="302">
        <v>0.4</v>
      </c>
    </row>
    <row r="66" spans="1:3" x14ac:dyDescent="0.3">
      <c r="C66" s="300"/>
    </row>
    <row r="67" spans="1:3" x14ac:dyDescent="0.3">
      <c r="B67" s="305" t="s">
        <v>290</v>
      </c>
      <c r="C67" s="306">
        <f>POWER(1 + 10%, 1/12) - 1</f>
        <v>7.9741404289037643E-3</v>
      </c>
    </row>
    <row r="68" spans="1:3" x14ac:dyDescent="0.3">
      <c r="B68" s="305" t="s">
        <v>288</v>
      </c>
      <c r="C68" s="307">
        <v>6.2E-2</v>
      </c>
    </row>
    <row r="70" spans="1:3" x14ac:dyDescent="0.3">
      <c r="B70" s="301" t="s">
        <v>287</v>
      </c>
      <c r="C70" s="308">
        <f>NPV(C67,E52:AH52)</f>
        <v>1327274.3986785894</v>
      </c>
    </row>
    <row r="71" spans="1:3" x14ac:dyDescent="0.3">
      <c r="B71" s="301" t="s">
        <v>276</v>
      </c>
      <c r="C71" s="309">
        <f>NPV(C67,E54:AH54)</f>
        <v>5828250.5960878907</v>
      </c>
    </row>
    <row r="72" spans="1:3" x14ac:dyDescent="0.3">
      <c r="B72" s="301" t="s">
        <v>286</v>
      </c>
      <c r="C72" s="298">
        <f>C70/C71</f>
        <v>0.22773118224695052</v>
      </c>
    </row>
  </sheetData>
  <pageMargins left="0.511811024" right="0.511811024" top="0.78740157499999996" bottom="0.78740157499999996" header="0.31496062000000002" footer="0.31496062000000002"/>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546F2-A5E1-416E-A42F-9224EBFA3316}">
  <dimension ref="A1:AH72"/>
  <sheetViews>
    <sheetView topLeftCell="A26" workbookViewId="0">
      <selection activeCell="C26" sqref="C26:C28"/>
    </sheetView>
  </sheetViews>
  <sheetFormatPr defaultColWidth="9.109375" defaultRowHeight="13.8" x14ac:dyDescent="0.3"/>
  <cols>
    <col min="1" max="1" width="8.33203125" style="265" bestFit="1" customWidth="1"/>
    <col min="2" max="2" width="28.6640625" style="265" bestFit="1" customWidth="1"/>
    <col min="3" max="3" width="16.88671875" style="265" bestFit="1" customWidth="1"/>
    <col min="4" max="4" width="11.6640625" style="265" customWidth="1"/>
    <col min="5" max="5" width="15.88671875" style="265" bestFit="1" customWidth="1"/>
    <col min="6" max="6" width="14.33203125" style="265" bestFit="1" customWidth="1"/>
    <col min="7" max="7" width="18.44140625" style="265" customWidth="1"/>
    <col min="8" max="8" width="14.33203125" style="265" bestFit="1" customWidth="1"/>
    <col min="9" max="9" width="16.109375" style="265" bestFit="1" customWidth="1"/>
    <col min="10" max="10" width="15.5546875" style="265" customWidth="1"/>
    <col min="11" max="13" width="14.33203125" style="265" bestFit="1" customWidth="1"/>
    <col min="14" max="14" width="15" style="265" bestFit="1" customWidth="1"/>
    <col min="15" max="27" width="14.33203125" style="265" bestFit="1" customWidth="1"/>
    <col min="28" max="31" width="14.33203125" style="265" customWidth="1"/>
    <col min="32" max="32" width="16.33203125" style="265" bestFit="1" customWidth="1"/>
    <col min="33" max="33" width="13.5546875" style="265" bestFit="1" customWidth="1"/>
    <col min="34" max="34" width="15" style="265" bestFit="1" customWidth="1"/>
    <col min="35" max="16384" width="9.109375" style="265"/>
  </cols>
  <sheetData>
    <row r="1" spans="1:16" x14ac:dyDescent="0.3">
      <c r="A1" s="323">
        <v>46082</v>
      </c>
      <c r="B1" s="271" t="s">
        <v>305</v>
      </c>
      <c r="C1" s="329" t="s">
        <v>361</v>
      </c>
    </row>
    <row r="2" spans="1:16" ht="3.75" customHeight="1" x14ac:dyDescent="0.3">
      <c r="B2" s="271"/>
      <c r="C2" s="271"/>
    </row>
    <row r="3" spans="1:16" s="270" customFormat="1" ht="14.4" thickBot="1" x14ac:dyDescent="0.35">
      <c r="B3" s="270" t="s">
        <v>291</v>
      </c>
    </row>
    <row r="4" spans="1:16" x14ac:dyDescent="0.3">
      <c r="O4" s="317" t="s">
        <v>338</v>
      </c>
      <c r="P4" s="318"/>
    </row>
    <row r="5" spans="1:16" s="263" customFormat="1" x14ac:dyDescent="0.3">
      <c r="B5" s="265"/>
      <c r="C5" s="265"/>
      <c r="E5" s="262" t="s">
        <v>311</v>
      </c>
      <c r="G5" s="261" t="s">
        <v>324</v>
      </c>
      <c r="H5" s="261" t="s">
        <v>325</v>
      </c>
      <c r="I5" s="261" t="s">
        <v>326</v>
      </c>
      <c r="J5" s="261"/>
      <c r="L5" s="263" t="s">
        <v>363</v>
      </c>
      <c r="O5" s="319"/>
      <c r="P5" s="320" t="s">
        <v>339</v>
      </c>
    </row>
    <row r="6" spans="1:16" ht="14.4" thickBot="1" x14ac:dyDescent="0.35">
      <c r="B6" s="264" t="s">
        <v>294</v>
      </c>
      <c r="C6" s="336" t="s">
        <v>362</v>
      </c>
      <c r="E6" s="264"/>
      <c r="G6" s="260" t="s">
        <v>312</v>
      </c>
      <c r="H6" s="326">
        <f>18100*15/12/2</f>
        <v>11312.5</v>
      </c>
      <c r="I6" s="327">
        <v>27</v>
      </c>
      <c r="J6" s="316"/>
      <c r="K6" s="325">
        <f>H6/0.8</f>
        <v>14140.625</v>
      </c>
      <c r="L6" s="300">
        <f>[2]PRELIMINAR!$I$180</f>
        <v>14132.39</v>
      </c>
      <c r="M6" s="265" t="b">
        <f>K6&lt;L6</f>
        <v>0</v>
      </c>
      <c r="N6" s="325">
        <f>L6-K6</f>
        <v>-8.2350000000005821</v>
      </c>
      <c r="O6" s="321"/>
      <c r="P6" s="322" t="s">
        <v>339</v>
      </c>
    </row>
    <row r="7" spans="1:16" x14ac:dyDescent="0.3">
      <c r="B7" s="264" t="s">
        <v>295</v>
      </c>
      <c r="C7" s="337">
        <v>46239533.549999997</v>
      </c>
      <c r="D7" s="334"/>
      <c r="E7" s="264"/>
      <c r="G7" s="260" t="s">
        <v>313</v>
      </c>
      <c r="H7" s="326">
        <f>13100*15/12</f>
        <v>16375</v>
      </c>
      <c r="I7" s="327">
        <v>30</v>
      </c>
      <c r="J7" s="316"/>
      <c r="K7" s="325">
        <f t="shared" ref="K7:K18" si="0">H7/0.8</f>
        <v>20468.75</v>
      </c>
      <c r="L7" s="300">
        <f>[2]PRELIMINAR!$I$181</f>
        <v>20618.419999999998</v>
      </c>
      <c r="M7" s="265" t="b">
        <f t="shared" ref="M7:M18" si="1">K7&lt;L7</f>
        <v>1</v>
      </c>
      <c r="N7" s="325">
        <f t="shared" ref="N7:N18" si="2">L7-K7</f>
        <v>149.66999999999825</v>
      </c>
    </row>
    <row r="8" spans="1:16" x14ac:dyDescent="0.3">
      <c r="B8" s="264" t="s">
        <v>340</v>
      </c>
      <c r="C8" s="274">
        <f>C7/C9</f>
        <v>38000.150843383388</v>
      </c>
      <c r="D8" s="334"/>
      <c r="E8" s="264"/>
      <c r="G8" s="260" t="s">
        <v>314</v>
      </c>
      <c r="H8" s="326">
        <f>2100*2</f>
        <v>4200</v>
      </c>
      <c r="I8" s="327">
        <v>27</v>
      </c>
      <c r="J8" s="316"/>
      <c r="K8" s="325">
        <f t="shared" si="0"/>
        <v>5250</v>
      </c>
      <c r="L8" s="300">
        <f>[2]PRELIMINAR!$I$182</f>
        <v>5279.04</v>
      </c>
      <c r="M8" s="265" t="b">
        <f t="shared" si="1"/>
        <v>1</v>
      </c>
      <c r="N8" s="325">
        <f t="shared" si="2"/>
        <v>29.039999999999964</v>
      </c>
    </row>
    <row r="9" spans="1:16" x14ac:dyDescent="0.3">
      <c r="B9" s="264" t="s">
        <v>296</v>
      </c>
      <c r="C9" s="338">
        <v>1216.825</v>
      </c>
      <c r="D9" s="334"/>
      <c r="E9" s="264"/>
      <c r="G9" s="260" t="s">
        <v>315</v>
      </c>
      <c r="H9" s="326">
        <f>9200*1.94</f>
        <v>17848</v>
      </c>
      <c r="I9" s="327">
        <v>27</v>
      </c>
      <c r="J9" s="316"/>
      <c r="K9" s="325">
        <f t="shared" si="0"/>
        <v>22310</v>
      </c>
      <c r="L9" s="300">
        <f>[2]PRELIMINAR!$I$183</f>
        <v>22221.88</v>
      </c>
      <c r="M9" s="265" t="b">
        <f t="shared" si="1"/>
        <v>0</v>
      </c>
      <c r="N9" s="325">
        <f t="shared" si="2"/>
        <v>-88.119999999998981</v>
      </c>
    </row>
    <row r="10" spans="1:16" x14ac:dyDescent="0.3">
      <c r="B10" s="264" t="s">
        <v>303</v>
      </c>
      <c r="C10" s="272">
        <v>27</v>
      </c>
      <c r="E10" s="264"/>
      <c r="G10" s="260" t="s">
        <v>316</v>
      </c>
      <c r="H10" s="326">
        <v>0</v>
      </c>
      <c r="I10" s="327"/>
      <c r="J10" s="316"/>
      <c r="K10" s="325">
        <f t="shared" si="0"/>
        <v>0</v>
      </c>
      <c r="L10" s="300"/>
      <c r="N10" s="325"/>
    </row>
    <row r="11" spans="1:16" x14ac:dyDescent="0.3">
      <c r="B11" s="264" t="s">
        <v>304</v>
      </c>
      <c r="C11" s="275">
        <v>46153</v>
      </c>
      <c r="E11" s="264" t="b">
        <f>C11=E34</f>
        <v>1</v>
      </c>
      <c r="G11" s="260" t="s">
        <v>317</v>
      </c>
      <c r="H11" s="326">
        <f>8000*15/12</f>
        <v>10000</v>
      </c>
      <c r="I11" s="327">
        <v>30</v>
      </c>
      <c r="J11" s="316"/>
      <c r="K11" s="325">
        <f t="shared" si="0"/>
        <v>12500</v>
      </c>
      <c r="L11" s="300">
        <f>[2]PRELIMINAR!$I$185</f>
        <v>11328.8</v>
      </c>
      <c r="M11" s="265" t="b">
        <f t="shared" si="1"/>
        <v>0</v>
      </c>
      <c r="N11" s="325">
        <f t="shared" si="2"/>
        <v>-1171.2000000000007</v>
      </c>
    </row>
    <row r="12" spans="1:16" x14ac:dyDescent="0.3">
      <c r="B12" s="264" t="s">
        <v>297</v>
      </c>
      <c r="C12" s="273">
        <f>9.5%*C7</f>
        <v>4392755.6872499995</v>
      </c>
      <c r="E12" s="331" t="b">
        <f>C12=C36</f>
        <v>0</v>
      </c>
      <c r="G12" s="260" t="s">
        <v>318</v>
      </c>
      <c r="H12" s="326">
        <v>0</v>
      </c>
      <c r="I12" s="327"/>
      <c r="J12" s="316"/>
      <c r="K12" s="325">
        <f t="shared" si="0"/>
        <v>0</v>
      </c>
      <c r="L12" s="300"/>
      <c r="N12" s="325"/>
    </row>
    <row r="13" spans="1:16" x14ac:dyDescent="0.3">
      <c r="B13" s="264" t="s">
        <v>299</v>
      </c>
      <c r="C13" s="336" t="s">
        <v>356</v>
      </c>
      <c r="E13" s="264"/>
      <c r="G13" s="260" t="s">
        <v>319</v>
      </c>
      <c r="H13" s="326">
        <f>4400*1.94</f>
        <v>8536</v>
      </c>
      <c r="I13" s="327">
        <v>27</v>
      </c>
      <c r="J13" s="316"/>
      <c r="K13" s="325">
        <f t="shared" si="0"/>
        <v>10670</v>
      </c>
      <c r="L13" s="300">
        <f>[2]PRELIMINAR!$I$187</f>
        <v>10633.68</v>
      </c>
      <c r="M13" s="265" t="b">
        <f t="shared" si="1"/>
        <v>0</v>
      </c>
      <c r="N13" s="325">
        <f t="shared" si="2"/>
        <v>-36.319999999999709</v>
      </c>
    </row>
    <row r="14" spans="1:16" x14ac:dyDescent="0.3">
      <c r="B14" s="264" t="s">
        <v>300</v>
      </c>
      <c r="C14" s="336" t="s">
        <v>356</v>
      </c>
      <c r="E14" s="264"/>
      <c r="G14" s="260" t="s">
        <v>320</v>
      </c>
      <c r="H14" s="326">
        <v>0</v>
      </c>
      <c r="I14" s="327"/>
      <c r="J14" s="316"/>
      <c r="K14" s="325">
        <f t="shared" si="0"/>
        <v>0</v>
      </c>
      <c r="L14" s="300"/>
      <c r="N14" s="325"/>
    </row>
    <row r="15" spans="1:16" x14ac:dyDescent="0.3">
      <c r="B15" s="264" t="s">
        <v>301</v>
      </c>
      <c r="C15" s="273">
        <v>2144183.44</v>
      </c>
      <c r="D15" s="333">
        <f>C15/C12</f>
        <v>0.48811807272221069</v>
      </c>
      <c r="E15" s="264"/>
      <c r="G15" s="260" t="s">
        <v>321</v>
      </c>
      <c r="H15" s="326">
        <f>14000*15/12/10</f>
        <v>1750</v>
      </c>
      <c r="I15" s="327">
        <v>27</v>
      </c>
      <c r="J15" s="328"/>
      <c r="K15" s="325">
        <f t="shared" si="0"/>
        <v>2187.5</v>
      </c>
      <c r="L15" s="300">
        <f>[2]PRELIMINAR!$I$189</f>
        <v>8425.1299999999992</v>
      </c>
      <c r="M15" s="265" t="b">
        <f t="shared" si="1"/>
        <v>1</v>
      </c>
      <c r="N15" s="325">
        <f t="shared" si="2"/>
        <v>6237.6299999999992</v>
      </c>
    </row>
    <row r="16" spans="1:16" x14ac:dyDescent="0.3">
      <c r="B16" s="264" t="s">
        <v>341</v>
      </c>
      <c r="C16" s="324">
        <v>5.0000000000000001E-3</v>
      </c>
      <c r="E16" s="264"/>
      <c r="G16" s="260" t="s">
        <v>322</v>
      </c>
      <c r="H16" s="326">
        <v>0</v>
      </c>
      <c r="I16" s="327"/>
      <c r="J16" s="316"/>
      <c r="K16" s="325">
        <f t="shared" si="0"/>
        <v>0</v>
      </c>
      <c r="L16" s="300"/>
      <c r="N16" s="325"/>
      <c r="O16" s="300"/>
    </row>
    <row r="17" spans="2:34" x14ac:dyDescent="0.3">
      <c r="B17" s="264" t="s">
        <v>342</v>
      </c>
      <c r="C17" s="273">
        <f>C16*C7</f>
        <v>231197.66774999999</v>
      </c>
      <c r="E17" s="264" t="b">
        <f>C17=C39</f>
        <v>1</v>
      </c>
      <c r="G17" s="260" t="s">
        <v>323</v>
      </c>
      <c r="H17" s="326">
        <v>0</v>
      </c>
      <c r="I17" s="327"/>
      <c r="J17" s="316"/>
      <c r="K17" s="325">
        <f t="shared" si="0"/>
        <v>0</v>
      </c>
      <c r="L17" s="300"/>
      <c r="N17" s="325"/>
      <c r="O17" s="325"/>
    </row>
    <row r="18" spans="2:34" x14ac:dyDescent="0.3">
      <c r="B18" s="264" t="s">
        <v>298</v>
      </c>
      <c r="C18" s="272" t="s">
        <v>356</v>
      </c>
      <c r="E18" s="264"/>
      <c r="G18" s="260" t="s">
        <v>355</v>
      </c>
      <c r="H18" s="326">
        <v>31000</v>
      </c>
      <c r="I18" s="327">
        <v>1</v>
      </c>
      <c r="J18" s="316"/>
      <c r="K18" s="325">
        <f t="shared" si="0"/>
        <v>38750</v>
      </c>
      <c r="L18" s="300">
        <f>[2]PRELIMINAR!$I$203</f>
        <v>39303.51</v>
      </c>
      <c r="M18" s="265" t="b">
        <f t="shared" si="1"/>
        <v>1</v>
      </c>
      <c r="N18" s="325">
        <f t="shared" si="2"/>
        <v>553.51000000000204</v>
      </c>
      <c r="O18" s="325"/>
    </row>
    <row r="19" spans="2:34" x14ac:dyDescent="0.3">
      <c r="B19" s="264" t="s">
        <v>302</v>
      </c>
      <c r="C19" s="276">
        <v>2653384.75</v>
      </c>
      <c r="E19" s="264" t="b">
        <f>C19&gt;-C42</f>
        <v>1</v>
      </c>
    </row>
    <row r="20" spans="2:34" x14ac:dyDescent="0.3">
      <c r="B20" s="264" t="s">
        <v>285</v>
      </c>
      <c r="C20" s="266">
        <v>9.8071251740445106E-2</v>
      </c>
      <c r="D20" s="267"/>
      <c r="E20" s="264"/>
      <c r="F20" s="268"/>
      <c r="G20" s="268"/>
      <c r="H20" s="268"/>
      <c r="I20" s="268"/>
      <c r="J20" s="268"/>
      <c r="K20" s="268"/>
      <c r="L20" s="268"/>
      <c r="M20" s="268"/>
      <c r="N20" s="268"/>
      <c r="O20" s="268"/>
      <c r="P20" s="268"/>
      <c r="Q20" s="268"/>
      <c r="R20" s="268"/>
      <c r="S20" s="268"/>
      <c r="T20" s="268"/>
      <c r="U20" s="268"/>
      <c r="V20" s="268"/>
      <c r="W20" s="268"/>
      <c r="X20" s="268"/>
      <c r="Y20" s="268"/>
      <c r="Z20" s="268"/>
      <c r="AA20" s="268"/>
      <c r="AB20" s="268"/>
      <c r="AC20" s="268"/>
      <c r="AD20" s="268"/>
      <c r="AE20" s="268"/>
      <c r="AF20" s="268"/>
      <c r="AG20" s="268"/>
      <c r="AH20" s="268"/>
    </row>
    <row r="21" spans="2:34" hidden="1" x14ac:dyDescent="0.3">
      <c r="B21" s="264" t="s">
        <v>327</v>
      </c>
      <c r="C21" s="273">
        <f>3%*C12</f>
        <v>131782.67061749997</v>
      </c>
      <c r="D21" s="267"/>
      <c r="E21" s="264"/>
      <c r="F21" s="268"/>
      <c r="G21" s="268"/>
      <c r="H21" s="268"/>
      <c r="I21" s="268"/>
      <c r="J21" s="268"/>
      <c r="K21" s="268"/>
      <c r="L21" s="268"/>
      <c r="M21" s="268"/>
      <c r="N21" s="268"/>
      <c r="O21" s="268"/>
      <c r="P21" s="268"/>
      <c r="Q21" s="268"/>
      <c r="R21" s="268"/>
      <c r="S21" s="268"/>
      <c r="T21" s="268"/>
      <c r="U21" s="268"/>
      <c r="V21" s="268"/>
      <c r="W21" s="268"/>
      <c r="X21" s="268"/>
      <c r="Y21" s="268"/>
      <c r="Z21" s="268"/>
      <c r="AA21" s="268"/>
      <c r="AB21" s="268"/>
      <c r="AC21" s="268"/>
      <c r="AD21" s="268"/>
      <c r="AE21" s="268"/>
      <c r="AF21" s="268"/>
      <c r="AG21" s="268"/>
      <c r="AH21" s="268"/>
    </row>
    <row r="22" spans="2:34" x14ac:dyDescent="0.3">
      <c r="B22" s="264" t="s">
        <v>329</v>
      </c>
      <c r="C22" s="273" t="s">
        <v>306</v>
      </c>
      <c r="D22" s="267"/>
      <c r="E22" s="264"/>
      <c r="F22" s="268"/>
      <c r="G22" s="268"/>
      <c r="H22" s="268"/>
      <c r="I22" s="268"/>
      <c r="J22" s="268"/>
      <c r="K22" s="268"/>
      <c r="L22" s="268"/>
      <c r="M22" s="268"/>
      <c r="N22" s="268"/>
      <c r="O22" s="268"/>
      <c r="P22" s="268"/>
      <c r="Q22" s="268"/>
      <c r="R22" s="268"/>
      <c r="S22" s="268"/>
      <c r="T22" s="268"/>
      <c r="U22" s="268"/>
      <c r="V22" s="268"/>
      <c r="W22" s="268"/>
      <c r="X22" s="268"/>
      <c r="Y22" s="268"/>
      <c r="Z22" s="268"/>
      <c r="AA22" s="268"/>
      <c r="AB22" s="268"/>
      <c r="AC22" s="268"/>
      <c r="AD22" s="268"/>
      <c r="AE22" s="268"/>
      <c r="AF22" s="268"/>
      <c r="AG22" s="268"/>
      <c r="AH22" s="268"/>
    </row>
    <row r="23" spans="2:34" x14ac:dyDescent="0.3">
      <c r="B23" s="264" t="s">
        <v>330</v>
      </c>
      <c r="C23" s="273">
        <v>0</v>
      </c>
      <c r="D23" s="267"/>
      <c r="E23" s="264"/>
      <c r="F23" s="268"/>
      <c r="G23" s="268"/>
      <c r="H23" s="268"/>
      <c r="I23" s="268"/>
      <c r="J23" s="268"/>
      <c r="K23" s="268"/>
      <c r="L23" s="268"/>
      <c r="M23" s="268"/>
      <c r="N23" s="268"/>
      <c r="O23" s="268"/>
      <c r="P23" s="268"/>
      <c r="Q23" s="268"/>
      <c r="R23" s="268"/>
      <c r="S23" s="268"/>
      <c r="T23" s="268"/>
      <c r="U23" s="268"/>
      <c r="V23" s="268"/>
      <c r="W23" s="268"/>
      <c r="X23" s="268"/>
      <c r="Y23" s="268"/>
      <c r="Z23" s="268"/>
      <c r="AA23" s="268"/>
      <c r="AB23" s="268"/>
      <c r="AC23" s="268"/>
      <c r="AD23" s="268"/>
      <c r="AE23" s="268"/>
      <c r="AF23" s="268"/>
      <c r="AG23" s="268"/>
      <c r="AH23" s="268"/>
    </row>
    <row r="24" spans="2:34" x14ac:dyDescent="0.3">
      <c r="B24" s="264" t="s">
        <v>284</v>
      </c>
      <c r="C24" s="266">
        <v>0.10879999999999999</v>
      </c>
      <c r="D24" s="267"/>
      <c r="E24" s="264"/>
      <c r="F24" s="268"/>
      <c r="G24" s="268"/>
      <c r="H24" s="268"/>
      <c r="I24" s="268"/>
      <c r="J24" s="268"/>
      <c r="K24" s="268"/>
      <c r="L24" s="268"/>
      <c r="M24" s="268"/>
      <c r="N24" s="268"/>
      <c r="O24" s="268"/>
      <c r="P24" s="268"/>
      <c r="Q24" s="268"/>
      <c r="R24" s="268"/>
      <c r="S24" s="268"/>
      <c r="T24" s="268"/>
      <c r="U24" s="268"/>
      <c r="V24" s="268"/>
      <c r="W24" s="268"/>
      <c r="X24" s="268"/>
      <c r="Y24" s="268"/>
      <c r="Z24" s="268"/>
      <c r="AA24" s="268"/>
      <c r="AB24" s="268"/>
      <c r="AC24" s="268"/>
      <c r="AD24" s="268"/>
      <c r="AE24" s="268"/>
      <c r="AF24" s="268"/>
      <c r="AG24" s="268"/>
      <c r="AH24" s="268"/>
    </row>
    <row r="25" spans="2:34" x14ac:dyDescent="0.3">
      <c r="B25" s="264"/>
      <c r="C25" s="314"/>
      <c r="D25" s="267"/>
      <c r="E25" s="264"/>
      <c r="F25" s="268"/>
      <c r="G25" s="268"/>
      <c r="H25" s="268"/>
      <c r="I25" s="268"/>
      <c r="J25" s="268"/>
      <c r="K25" s="268"/>
      <c r="L25" s="268"/>
      <c r="M25" s="268"/>
      <c r="N25" s="268"/>
      <c r="O25" s="268"/>
      <c r="P25" s="268"/>
      <c r="Q25" s="268"/>
      <c r="R25" s="268"/>
      <c r="S25" s="268"/>
      <c r="T25" s="268"/>
      <c r="U25" s="268"/>
      <c r="V25" s="268"/>
      <c r="W25" s="268"/>
      <c r="X25" s="268"/>
      <c r="Y25" s="268"/>
      <c r="Z25" s="268"/>
      <c r="AA25" s="268"/>
      <c r="AB25" s="268"/>
      <c r="AC25" s="268"/>
      <c r="AD25" s="268"/>
      <c r="AE25" s="268"/>
      <c r="AF25" s="268"/>
      <c r="AG25" s="268"/>
      <c r="AH25" s="268"/>
    </row>
    <row r="26" spans="2:34" x14ac:dyDescent="0.3">
      <c r="B26" s="264" t="s">
        <v>351</v>
      </c>
      <c r="C26" s="339">
        <f>'[3]DRE Geral'!$W$23</f>
        <v>0.23819261790760327</v>
      </c>
      <c r="D26" s="267"/>
      <c r="E26" s="268"/>
      <c r="F26" s="268"/>
      <c r="G26" s="268"/>
      <c r="H26" s="268"/>
      <c r="I26" s="268"/>
      <c r="J26" s="268"/>
      <c r="K26" s="268"/>
      <c r="L26" s="268"/>
      <c r="M26" s="268"/>
      <c r="N26" s="268"/>
      <c r="O26" s="268"/>
      <c r="P26" s="268"/>
      <c r="Q26" s="268"/>
      <c r="R26" s="268"/>
      <c r="S26" s="268"/>
      <c r="T26" s="268"/>
      <c r="U26" s="268"/>
      <c r="V26" s="268"/>
      <c r="W26" s="268"/>
      <c r="X26" s="268"/>
      <c r="Y26" s="268"/>
      <c r="Z26" s="268"/>
      <c r="AA26" s="268"/>
      <c r="AB26" s="268"/>
      <c r="AC26" s="268"/>
      <c r="AD26" s="268"/>
      <c r="AE26" s="268"/>
      <c r="AF26" s="268"/>
      <c r="AG26" s="268"/>
      <c r="AH26" s="268"/>
    </row>
    <row r="27" spans="2:34" x14ac:dyDescent="0.3">
      <c r="B27" s="264" t="s">
        <v>352</v>
      </c>
      <c r="C27" s="339">
        <f>C26</f>
        <v>0.23819261790760327</v>
      </c>
      <c r="D27" s="267"/>
      <c r="G27" s="268"/>
      <c r="H27" s="268"/>
      <c r="I27" s="268"/>
      <c r="J27" s="268"/>
      <c r="K27" s="268"/>
      <c r="L27" s="268"/>
      <c r="M27" s="268"/>
      <c r="N27" s="268"/>
      <c r="O27" s="268"/>
      <c r="P27" s="268"/>
      <c r="Q27" s="268"/>
      <c r="R27" s="268"/>
      <c r="S27" s="268"/>
      <c r="T27" s="268"/>
      <c r="U27" s="268"/>
      <c r="V27" s="268"/>
      <c r="W27" s="268"/>
      <c r="X27" s="268"/>
      <c r="Y27" s="268"/>
      <c r="Z27" s="268"/>
      <c r="AA27" s="268"/>
      <c r="AB27" s="268"/>
      <c r="AC27" s="268"/>
      <c r="AD27" s="268"/>
      <c r="AE27" s="268"/>
      <c r="AF27" s="268"/>
      <c r="AG27" s="268"/>
      <c r="AH27" s="268"/>
    </row>
    <row r="28" spans="2:34" x14ac:dyDescent="0.3">
      <c r="B28" s="264" t="s">
        <v>354</v>
      </c>
      <c r="C28" s="339">
        <f>C27</f>
        <v>0.23819261790760327</v>
      </c>
      <c r="D28" s="267"/>
      <c r="G28" s="268"/>
      <c r="H28" s="268"/>
      <c r="I28" s="268"/>
      <c r="J28" s="268"/>
      <c r="K28" s="268"/>
      <c r="L28" s="268"/>
      <c r="M28" s="268"/>
      <c r="N28" s="268"/>
      <c r="O28" s="268"/>
      <c r="P28" s="268"/>
      <c r="Q28" s="268"/>
      <c r="R28" s="268"/>
      <c r="S28" s="268"/>
      <c r="T28" s="268"/>
      <c r="U28" s="268"/>
      <c r="V28" s="268"/>
      <c r="W28" s="268"/>
      <c r="X28" s="268"/>
      <c r="Y28" s="268"/>
      <c r="Z28" s="268"/>
      <c r="AA28" s="268"/>
      <c r="AB28" s="268"/>
      <c r="AC28" s="268"/>
      <c r="AD28" s="268"/>
      <c r="AE28" s="268"/>
      <c r="AF28" s="268"/>
      <c r="AG28" s="268"/>
      <c r="AH28" s="268"/>
    </row>
    <row r="29" spans="2:34" x14ac:dyDescent="0.3">
      <c r="D29" s="267"/>
      <c r="G29" s="268"/>
      <c r="H29" s="268"/>
      <c r="I29" s="268"/>
      <c r="J29" s="268"/>
      <c r="K29" s="268"/>
      <c r="L29" s="268"/>
      <c r="M29" s="268"/>
      <c r="N29" s="268"/>
      <c r="O29" s="268"/>
      <c r="P29" s="268"/>
      <c r="Q29" s="268"/>
      <c r="R29" s="268"/>
      <c r="S29" s="268"/>
      <c r="T29" s="268"/>
      <c r="U29" s="268"/>
      <c r="V29" s="268"/>
      <c r="W29" s="268"/>
      <c r="X29" s="268"/>
      <c r="Y29" s="268"/>
      <c r="Z29" s="268"/>
      <c r="AA29" s="268"/>
      <c r="AB29" s="268"/>
      <c r="AC29" s="268"/>
      <c r="AD29" s="268"/>
      <c r="AE29" s="268"/>
      <c r="AF29" s="268"/>
      <c r="AG29" s="268"/>
      <c r="AH29" s="268"/>
    </row>
    <row r="30" spans="2:34" x14ac:dyDescent="0.3">
      <c r="C30" s="269"/>
      <c r="D30" s="267"/>
      <c r="E30" s="268"/>
      <c r="F30" s="268"/>
      <c r="G30" s="268"/>
      <c r="H30" s="268"/>
      <c r="I30" s="268"/>
      <c r="J30" s="268"/>
      <c r="K30" s="268"/>
      <c r="L30" s="268"/>
      <c r="M30" s="268"/>
      <c r="N30" s="268"/>
      <c r="O30" s="268"/>
      <c r="P30" s="268"/>
      <c r="Q30" s="268"/>
      <c r="R30" s="268"/>
      <c r="S30" s="268"/>
      <c r="T30" s="268"/>
      <c r="U30" s="268"/>
      <c r="V30" s="268"/>
      <c r="W30" s="268"/>
      <c r="X30" s="268"/>
      <c r="Y30" s="268"/>
      <c r="Z30" s="268"/>
      <c r="AA30" s="268"/>
      <c r="AB30" s="268"/>
      <c r="AC30" s="268"/>
      <c r="AD30" s="268"/>
      <c r="AE30" s="268"/>
      <c r="AF30" s="268"/>
      <c r="AG30" s="268"/>
      <c r="AH30" s="268"/>
    </row>
    <row r="31" spans="2:34" s="270" customFormat="1" x14ac:dyDescent="0.3">
      <c r="B31" s="270" t="s">
        <v>292</v>
      </c>
    </row>
    <row r="32" spans="2:34" x14ac:dyDescent="0.3">
      <c r="E32" s="263" t="s">
        <v>309</v>
      </c>
      <c r="AF32" s="286" t="s">
        <v>310</v>
      </c>
    </row>
    <row r="33" spans="1:34" x14ac:dyDescent="0.3">
      <c r="D33" s="268"/>
      <c r="E33" s="287">
        <v>1</v>
      </c>
      <c r="F33" s="287">
        <v>2</v>
      </c>
      <c r="G33" s="287">
        <v>3</v>
      </c>
      <c r="H33" s="287">
        <v>4</v>
      </c>
      <c r="I33" s="287">
        <v>5</v>
      </c>
      <c r="J33" s="287">
        <v>6</v>
      </c>
      <c r="K33" s="287">
        <v>7</v>
      </c>
      <c r="L33" s="287">
        <v>8</v>
      </c>
      <c r="M33" s="287">
        <v>9</v>
      </c>
      <c r="N33" s="287">
        <v>10</v>
      </c>
      <c r="O33" s="287">
        <v>11</v>
      </c>
      <c r="P33" s="287">
        <v>12</v>
      </c>
      <c r="Q33" s="287">
        <v>13</v>
      </c>
      <c r="R33" s="287">
        <v>14</v>
      </c>
      <c r="S33" s="287">
        <v>15</v>
      </c>
      <c r="T33" s="287">
        <v>16</v>
      </c>
      <c r="U33" s="287">
        <v>17</v>
      </c>
      <c r="V33" s="287">
        <v>18</v>
      </c>
      <c r="W33" s="287">
        <v>19</v>
      </c>
      <c r="X33" s="287">
        <v>20</v>
      </c>
      <c r="Y33" s="287">
        <v>21</v>
      </c>
      <c r="Z33" s="287">
        <v>22</v>
      </c>
      <c r="AA33" s="287">
        <v>23</v>
      </c>
      <c r="AB33" s="287">
        <v>24</v>
      </c>
      <c r="AC33" s="287">
        <v>25</v>
      </c>
      <c r="AD33" s="287">
        <v>26</v>
      </c>
      <c r="AE33" s="287">
        <v>27</v>
      </c>
      <c r="AF33" s="285">
        <v>28</v>
      </c>
      <c r="AG33" s="285">
        <v>29</v>
      </c>
      <c r="AH33" s="285">
        <v>30</v>
      </c>
    </row>
    <row r="34" spans="1:34" x14ac:dyDescent="0.3">
      <c r="B34" s="268"/>
      <c r="C34" s="268"/>
      <c r="D34" s="268"/>
      <c r="E34" s="277">
        <f>C11</f>
        <v>46153</v>
      </c>
      <c r="F34" s="277">
        <f>E34+31</f>
        <v>46184</v>
      </c>
      <c r="G34" s="277">
        <f t="shared" ref="G34:AH34" si="3">F34+31</f>
        <v>46215</v>
      </c>
      <c r="H34" s="277">
        <f t="shared" si="3"/>
        <v>46246</v>
      </c>
      <c r="I34" s="277">
        <f t="shared" si="3"/>
        <v>46277</v>
      </c>
      <c r="J34" s="277">
        <f t="shared" si="3"/>
        <v>46308</v>
      </c>
      <c r="K34" s="277">
        <f t="shared" si="3"/>
        <v>46339</v>
      </c>
      <c r="L34" s="277">
        <f t="shared" si="3"/>
        <v>46370</v>
      </c>
      <c r="M34" s="277">
        <f t="shared" si="3"/>
        <v>46401</v>
      </c>
      <c r="N34" s="277">
        <f t="shared" si="3"/>
        <v>46432</v>
      </c>
      <c r="O34" s="277">
        <f t="shared" si="3"/>
        <v>46463</v>
      </c>
      <c r="P34" s="277">
        <f t="shared" si="3"/>
        <v>46494</v>
      </c>
      <c r="Q34" s="277">
        <f t="shared" si="3"/>
        <v>46525</v>
      </c>
      <c r="R34" s="277">
        <f t="shared" si="3"/>
        <v>46556</v>
      </c>
      <c r="S34" s="277">
        <f t="shared" si="3"/>
        <v>46587</v>
      </c>
      <c r="T34" s="277">
        <f t="shared" si="3"/>
        <v>46618</v>
      </c>
      <c r="U34" s="277">
        <f t="shared" si="3"/>
        <v>46649</v>
      </c>
      <c r="V34" s="277">
        <f t="shared" si="3"/>
        <v>46680</v>
      </c>
      <c r="W34" s="277">
        <f t="shared" si="3"/>
        <v>46711</v>
      </c>
      <c r="X34" s="277">
        <f t="shared" si="3"/>
        <v>46742</v>
      </c>
      <c r="Y34" s="277">
        <f t="shared" si="3"/>
        <v>46773</v>
      </c>
      <c r="Z34" s="277">
        <f t="shared" si="3"/>
        <v>46804</v>
      </c>
      <c r="AA34" s="277">
        <f t="shared" si="3"/>
        <v>46835</v>
      </c>
      <c r="AB34" s="277">
        <f t="shared" si="3"/>
        <v>46866</v>
      </c>
      <c r="AC34" s="277">
        <f t="shared" si="3"/>
        <v>46897</v>
      </c>
      <c r="AD34" s="277">
        <f t="shared" si="3"/>
        <v>46928</v>
      </c>
      <c r="AE34" s="277">
        <f t="shared" si="3"/>
        <v>46959</v>
      </c>
      <c r="AF34" s="277">
        <f t="shared" si="3"/>
        <v>46990</v>
      </c>
      <c r="AG34" s="277">
        <f t="shared" si="3"/>
        <v>47021</v>
      </c>
      <c r="AH34" s="277">
        <f t="shared" si="3"/>
        <v>47052</v>
      </c>
    </row>
    <row r="35" spans="1:34" x14ac:dyDescent="0.3">
      <c r="A35" s="310"/>
      <c r="B35" s="297" t="s">
        <v>343</v>
      </c>
      <c r="C35" s="297" t="s">
        <v>307</v>
      </c>
      <c r="D35" s="297" t="s">
        <v>308</v>
      </c>
      <c r="E35" s="278"/>
      <c r="F35" s="278"/>
      <c r="G35" s="278"/>
      <c r="H35" s="278"/>
      <c r="I35" s="278"/>
      <c r="J35" s="278"/>
      <c r="K35" s="278"/>
      <c r="L35" s="278"/>
      <c r="M35" s="278"/>
      <c r="N35" s="278"/>
      <c r="O35" s="278"/>
      <c r="P35" s="278"/>
      <c r="Q35" s="278"/>
      <c r="R35" s="278"/>
      <c r="S35" s="278"/>
      <c r="T35" s="278"/>
      <c r="U35" s="278"/>
      <c r="V35" s="278"/>
      <c r="W35" s="278"/>
      <c r="X35" s="278"/>
      <c r="Y35" s="278"/>
      <c r="Z35" s="278"/>
      <c r="AA35" s="278"/>
      <c r="AB35" s="278"/>
      <c r="AC35" s="278"/>
      <c r="AD35" s="278"/>
      <c r="AE35" s="278"/>
      <c r="AF35" s="278"/>
      <c r="AG35" s="278"/>
      <c r="AH35" s="278"/>
    </row>
    <row r="36" spans="1:34" x14ac:dyDescent="0.3">
      <c r="A36" s="310" t="s">
        <v>276</v>
      </c>
      <c r="B36" s="288" t="s">
        <v>270</v>
      </c>
      <c r="C36" s="279">
        <f t="shared" ref="C36:C43" si="4">SUM(E36:AH36)</f>
        <v>2248572.2472499995</v>
      </c>
      <c r="D36" s="289">
        <f>C36/C7</f>
        <v>4.8628783091389981E-2</v>
      </c>
      <c r="E36" s="279">
        <f>($C$12-$C$15)*E56</f>
        <v>27846.431138556363</v>
      </c>
      <c r="F36" s="279">
        <f t="shared" ref="F36:AH36" si="5">($C$12-$C$15)*F56</f>
        <v>64727.693023730622</v>
      </c>
      <c r="G36" s="279">
        <f t="shared" si="5"/>
        <v>49277.730627153411</v>
      </c>
      <c r="H36" s="279">
        <f t="shared" si="5"/>
        <v>47467.472568059857</v>
      </c>
      <c r="I36" s="279">
        <f t="shared" si="5"/>
        <v>51314.082625707953</v>
      </c>
      <c r="J36" s="279">
        <f t="shared" si="5"/>
        <v>46796.656009537757</v>
      </c>
      <c r="K36" s="279">
        <f t="shared" si="5"/>
        <v>24094.890715521986</v>
      </c>
      <c r="L36" s="279">
        <f t="shared" si="5"/>
        <v>44306.63207437806</v>
      </c>
      <c r="M36" s="279">
        <f t="shared" si="5"/>
        <v>36718.780054587987</v>
      </c>
      <c r="N36" s="279">
        <f t="shared" si="5"/>
        <v>37787.166672146355</v>
      </c>
      <c r="O36" s="279">
        <f t="shared" si="5"/>
        <v>76506.523940835134</v>
      </c>
      <c r="P36" s="279">
        <f t="shared" si="5"/>
        <v>86509.072725502047</v>
      </c>
      <c r="Q36" s="279">
        <f t="shared" si="5"/>
        <v>106803.67397166927</v>
      </c>
      <c r="R36" s="279">
        <f t="shared" si="5"/>
        <v>111831.57145941017</v>
      </c>
      <c r="S36" s="279">
        <f t="shared" si="5"/>
        <v>102200.39686709907</v>
      </c>
      <c r="T36" s="279">
        <f t="shared" si="5"/>
        <v>105617.46216835501</v>
      </c>
      <c r="U36" s="279">
        <f t="shared" si="5"/>
        <v>133027.2880336628</v>
      </c>
      <c r="V36" s="279">
        <f t="shared" si="5"/>
        <v>138941.28038687754</v>
      </c>
      <c r="W36" s="279">
        <f t="shared" si="5"/>
        <v>151515.45379355684</v>
      </c>
      <c r="X36" s="279">
        <f t="shared" si="5"/>
        <v>115641.95701815505</v>
      </c>
      <c r="Y36" s="279">
        <f t="shared" si="5"/>
        <v>132735.91804186418</v>
      </c>
      <c r="Z36" s="279">
        <f t="shared" si="5"/>
        <v>116139.52108502654</v>
      </c>
      <c r="AA36" s="279">
        <f t="shared" si="5"/>
        <v>116153.50720440444</v>
      </c>
      <c r="AB36" s="279">
        <f t="shared" si="5"/>
        <v>109570.83443630254</v>
      </c>
      <c r="AC36" s="279">
        <f t="shared" si="5"/>
        <v>67367.067127552684</v>
      </c>
      <c r="AD36" s="279">
        <f t="shared" si="5"/>
        <v>53377.6648341767</v>
      </c>
      <c r="AE36" s="279">
        <f t="shared" si="5"/>
        <v>50562.924580791616</v>
      </c>
      <c r="AF36" s="279">
        <f t="shared" si="5"/>
        <v>33797.659848185511</v>
      </c>
      <c r="AG36" s="279">
        <f t="shared" si="5"/>
        <v>9934.9342171920907</v>
      </c>
      <c r="AH36" s="279">
        <f t="shared" si="5"/>
        <v>0</v>
      </c>
    </row>
    <row r="37" spans="1:34" x14ac:dyDescent="0.3">
      <c r="A37" s="310" t="s">
        <v>276</v>
      </c>
      <c r="B37" s="288" t="s">
        <v>281</v>
      </c>
      <c r="C37" s="279">
        <f t="shared" si="4"/>
        <v>2144183.4400000004</v>
      </c>
      <c r="D37" s="289">
        <f>C15/C7</f>
        <v>4.6371216908610013E-2</v>
      </c>
      <c r="E37" s="279">
        <f>$C$15/$C$10</f>
        <v>79414.201481481476</v>
      </c>
      <c r="F37" s="279">
        <f t="shared" ref="F37:AE37" si="6">$C$15/$C$10</f>
        <v>79414.201481481476</v>
      </c>
      <c r="G37" s="279">
        <f t="shared" si="6"/>
        <v>79414.201481481476</v>
      </c>
      <c r="H37" s="279">
        <f t="shared" si="6"/>
        <v>79414.201481481476</v>
      </c>
      <c r="I37" s="279">
        <f t="shared" si="6"/>
        <v>79414.201481481476</v>
      </c>
      <c r="J37" s="279">
        <f t="shared" si="6"/>
        <v>79414.201481481476</v>
      </c>
      <c r="K37" s="279">
        <f t="shared" si="6"/>
        <v>79414.201481481476</v>
      </c>
      <c r="L37" s="279">
        <f t="shared" si="6"/>
        <v>79414.201481481476</v>
      </c>
      <c r="M37" s="279">
        <f t="shared" si="6"/>
        <v>79414.201481481476</v>
      </c>
      <c r="N37" s="279">
        <f t="shared" si="6"/>
        <v>79414.201481481476</v>
      </c>
      <c r="O37" s="279">
        <f t="shared" si="6"/>
        <v>79414.201481481476</v>
      </c>
      <c r="P37" s="279">
        <f t="shared" si="6"/>
        <v>79414.201481481476</v>
      </c>
      <c r="Q37" s="279">
        <f t="shared" si="6"/>
        <v>79414.201481481476</v>
      </c>
      <c r="R37" s="279">
        <f t="shared" si="6"/>
        <v>79414.201481481476</v>
      </c>
      <c r="S37" s="279">
        <f t="shared" si="6"/>
        <v>79414.201481481476</v>
      </c>
      <c r="T37" s="279">
        <f t="shared" si="6"/>
        <v>79414.201481481476</v>
      </c>
      <c r="U37" s="279">
        <f t="shared" si="6"/>
        <v>79414.201481481476</v>
      </c>
      <c r="V37" s="279">
        <f t="shared" si="6"/>
        <v>79414.201481481476</v>
      </c>
      <c r="W37" s="279">
        <f t="shared" si="6"/>
        <v>79414.201481481476</v>
      </c>
      <c r="X37" s="279">
        <f t="shared" si="6"/>
        <v>79414.201481481476</v>
      </c>
      <c r="Y37" s="279">
        <f t="shared" si="6"/>
        <v>79414.201481481476</v>
      </c>
      <c r="Z37" s="279">
        <f t="shared" si="6"/>
        <v>79414.201481481476</v>
      </c>
      <c r="AA37" s="279">
        <f t="shared" si="6"/>
        <v>79414.201481481476</v>
      </c>
      <c r="AB37" s="279">
        <f t="shared" si="6"/>
        <v>79414.201481481476</v>
      </c>
      <c r="AC37" s="279">
        <f t="shared" si="6"/>
        <v>79414.201481481476</v>
      </c>
      <c r="AD37" s="279">
        <f t="shared" si="6"/>
        <v>79414.201481481476</v>
      </c>
      <c r="AE37" s="279">
        <f t="shared" si="6"/>
        <v>79414.201481481476</v>
      </c>
      <c r="AF37" s="279"/>
      <c r="AG37" s="279"/>
      <c r="AH37" s="279"/>
    </row>
    <row r="38" spans="1:34" x14ac:dyDescent="0.3">
      <c r="A38" s="310" t="s">
        <v>276</v>
      </c>
      <c r="B38" s="288" t="s">
        <v>282</v>
      </c>
      <c r="C38" s="280">
        <f t="shared" si="4"/>
        <v>2653384.7500000009</v>
      </c>
      <c r="D38" s="289">
        <f>C19/C7</f>
        <v>5.7383467052729391E-2</v>
      </c>
      <c r="E38" s="281">
        <f>$C$19/$C$10</f>
        <v>98273.509259259255</v>
      </c>
      <c r="F38" s="281">
        <f t="shared" ref="F38:AE38" si="7">$C$19/$C$10</f>
        <v>98273.509259259255</v>
      </c>
      <c r="G38" s="281">
        <f t="shared" si="7"/>
        <v>98273.509259259255</v>
      </c>
      <c r="H38" s="281">
        <f t="shared" si="7"/>
        <v>98273.509259259255</v>
      </c>
      <c r="I38" s="281">
        <f t="shared" si="7"/>
        <v>98273.509259259255</v>
      </c>
      <c r="J38" s="281">
        <f t="shared" si="7"/>
        <v>98273.509259259255</v>
      </c>
      <c r="K38" s="281">
        <f t="shared" si="7"/>
        <v>98273.509259259255</v>
      </c>
      <c r="L38" s="281">
        <f t="shared" si="7"/>
        <v>98273.509259259255</v>
      </c>
      <c r="M38" s="281">
        <f t="shared" si="7"/>
        <v>98273.509259259255</v>
      </c>
      <c r="N38" s="281">
        <f t="shared" si="7"/>
        <v>98273.509259259255</v>
      </c>
      <c r="O38" s="281">
        <f t="shared" si="7"/>
        <v>98273.509259259255</v>
      </c>
      <c r="P38" s="281">
        <f t="shared" si="7"/>
        <v>98273.509259259255</v>
      </c>
      <c r="Q38" s="281">
        <f t="shared" si="7"/>
        <v>98273.509259259255</v>
      </c>
      <c r="R38" s="281">
        <f t="shared" si="7"/>
        <v>98273.509259259255</v>
      </c>
      <c r="S38" s="281">
        <f t="shared" si="7"/>
        <v>98273.509259259255</v>
      </c>
      <c r="T38" s="281">
        <f t="shared" si="7"/>
        <v>98273.509259259255</v>
      </c>
      <c r="U38" s="281">
        <f t="shared" si="7"/>
        <v>98273.509259259255</v>
      </c>
      <c r="V38" s="281">
        <f t="shared" si="7"/>
        <v>98273.509259259255</v>
      </c>
      <c r="W38" s="281">
        <f t="shared" si="7"/>
        <v>98273.509259259255</v>
      </c>
      <c r="X38" s="281">
        <f t="shared" si="7"/>
        <v>98273.509259259255</v>
      </c>
      <c r="Y38" s="281">
        <f t="shared" si="7"/>
        <v>98273.509259259255</v>
      </c>
      <c r="Z38" s="281">
        <f t="shared" si="7"/>
        <v>98273.509259259255</v>
      </c>
      <c r="AA38" s="281">
        <f t="shared" si="7"/>
        <v>98273.509259259255</v>
      </c>
      <c r="AB38" s="281">
        <f t="shared" si="7"/>
        <v>98273.509259259255</v>
      </c>
      <c r="AC38" s="281">
        <f t="shared" si="7"/>
        <v>98273.509259259255</v>
      </c>
      <c r="AD38" s="281">
        <f t="shared" si="7"/>
        <v>98273.509259259255</v>
      </c>
      <c r="AE38" s="281">
        <f t="shared" si="7"/>
        <v>98273.509259259255</v>
      </c>
      <c r="AF38" s="281"/>
      <c r="AG38" s="281"/>
      <c r="AH38" s="281"/>
    </row>
    <row r="39" spans="1:34" x14ac:dyDescent="0.3">
      <c r="A39" s="310" t="s">
        <v>276</v>
      </c>
      <c r="B39" s="288" t="s">
        <v>275</v>
      </c>
      <c r="C39" s="279">
        <f t="shared" si="4"/>
        <v>231197.66774999999</v>
      </c>
      <c r="D39" s="289">
        <f>C16</f>
        <v>5.0000000000000001E-3</v>
      </c>
      <c r="E39" s="278"/>
      <c r="F39" s="278"/>
      <c r="G39" s="278"/>
      <c r="H39" s="278"/>
      <c r="I39" s="278"/>
      <c r="J39" s="278"/>
      <c r="K39" s="278"/>
      <c r="L39" s="278"/>
      <c r="M39" s="278"/>
      <c r="N39" s="278"/>
      <c r="O39" s="278"/>
      <c r="P39" s="278"/>
      <c r="Q39" s="278"/>
      <c r="R39" s="278"/>
      <c r="S39" s="278"/>
      <c r="T39" s="278"/>
      <c r="U39" s="278"/>
      <c r="V39" s="278"/>
      <c r="W39" s="278"/>
      <c r="X39" s="278"/>
      <c r="Y39" s="278"/>
      <c r="Z39" s="278"/>
      <c r="AA39" s="278"/>
      <c r="AB39" s="278"/>
      <c r="AC39" s="278"/>
      <c r="AD39" s="278"/>
      <c r="AE39" s="278"/>
      <c r="AF39" s="281"/>
      <c r="AG39" s="278"/>
      <c r="AH39" s="279">
        <f>C16*C7</f>
        <v>231197.66774999999</v>
      </c>
    </row>
    <row r="40" spans="1:34" x14ac:dyDescent="0.3">
      <c r="A40" s="310" t="s">
        <v>278</v>
      </c>
      <c r="B40" s="288" t="s">
        <v>285</v>
      </c>
      <c r="C40" s="279">
        <f t="shared" si="4"/>
        <v>-713697.65729578864</v>
      </c>
      <c r="D40" s="289">
        <f>-C20</f>
        <v>-9.8071251740445106E-2</v>
      </c>
      <c r="E40" s="279">
        <f>$D$40*(E36+E37+E38+E39)</f>
        <v>-20156.990569500907</v>
      </c>
      <c r="F40" s="279">
        <f t="shared" ref="F40:AH40" si="8">$D$40*(F36+F37+F38+F39)</f>
        <v>-23773.982088347115</v>
      </c>
      <c r="G40" s="279">
        <f t="shared" si="8"/>
        <v>-22258.784936771979</v>
      </c>
      <c r="H40" s="279">
        <f t="shared" si="8"/>
        <v>-22081.250662943443</v>
      </c>
      <c r="I40" s="279">
        <f t="shared" si="8"/>
        <v>-22458.49252625438</v>
      </c>
      <c r="J40" s="279">
        <f t="shared" si="8"/>
        <v>-22015.462843360969</v>
      </c>
      <c r="K40" s="279">
        <f t="shared" si="8"/>
        <v>-19789.072304259043</v>
      </c>
      <c r="L40" s="279">
        <f t="shared" si="8"/>
        <v>-21771.263079176184</v>
      </c>
      <c r="M40" s="279">
        <f t="shared" si="8"/>
        <v>-21027.11293357411</v>
      </c>
      <c r="N40" s="279">
        <f t="shared" si="8"/>
        <v>-21131.8909465008</v>
      </c>
      <c r="O40" s="279">
        <f t="shared" si="8"/>
        <v>-24929.146780426607</v>
      </c>
      <c r="P40" s="279">
        <f t="shared" si="8"/>
        <v>-25910.10926033376</v>
      </c>
      <c r="Q40" s="279">
        <f t="shared" si="8"/>
        <v>-27900.426208118577</v>
      </c>
      <c r="R40" s="279">
        <f t="shared" si="8"/>
        <v>-28393.518408363965</v>
      </c>
      <c r="S40" s="279">
        <f t="shared" si="8"/>
        <v>-27448.977060365247</v>
      </c>
      <c r="T40" s="279">
        <f t="shared" si="8"/>
        <v>-27784.092931738262</v>
      </c>
      <c r="U40" s="279">
        <f t="shared" si="8"/>
        <v>-30472.208864336622</v>
      </c>
      <c r="V40" s="279">
        <f t="shared" si="8"/>
        <v>-31052.201497199814</v>
      </c>
      <c r="W40" s="279">
        <f t="shared" si="8"/>
        <v>-32285.366422794268</v>
      </c>
      <c r="X40" s="279">
        <f t="shared" si="8"/>
        <v>-28767.207689723793</v>
      </c>
      <c r="Y40" s="279">
        <f t="shared" si="8"/>
        <v>-30443.63384452133</v>
      </c>
      <c r="Z40" s="279">
        <f t="shared" si="8"/>
        <v>-28816.004420582944</v>
      </c>
      <c r="AA40" s="279">
        <f t="shared" si="8"/>
        <v>-28817.376056817327</v>
      </c>
      <c r="AB40" s="279">
        <f t="shared" si="8"/>
        <v>-28171.805098651836</v>
      </c>
      <c r="AC40" s="279">
        <f t="shared" si="8"/>
        <v>-24032.828810520259</v>
      </c>
      <c r="AD40" s="279">
        <f t="shared" si="8"/>
        <v>-22660.870616508222</v>
      </c>
      <c r="AE40" s="279">
        <f t="shared" si="8"/>
        <v>-22384.825516534529</v>
      </c>
      <c r="AF40" s="279">
        <f t="shared" si="8"/>
        <v>-3314.5788072093351</v>
      </c>
      <c r="AG40" s="279">
        <f t="shared" si="8"/>
        <v>-974.33143463900751</v>
      </c>
      <c r="AH40" s="279">
        <f t="shared" si="8"/>
        <v>-22673.844675714037</v>
      </c>
    </row>
    <row r="41" spans="1:34" x14ac:dyDescent="0.3">
      <c r="A41" s="310" t="s">
        <v>278</v>
      </c>
      <c r="B41" s="288" t="s">
        <v>280</v>
      </c>
      <c r="C41" s="279">
        <f t="shared" si="4"/>
        <v>-693593.00324999995</v>
      </c>
      <c r="D41" s="289">
        <v>-1.4999999999999999E-2</v>
      </c>
      <c r="E41" s="278"/>
      <c r="F41" s="278"/>
      <c r="G41" s="278"/>
      <c r="H41" s="278"/>
      <c r="I41" s="278"/>
      <c r="J41" s="278"/>
      <c r="K41" s="278"/>
      <c r="L41" s="278"/>
      <c r="M41" s="278"/>
      <c r="N41" s="278"/>
      <c r="O41" s="278"/>
      <c r="P41" s="278"/>
      <c r="Q41" s="278"/>
      <c r="R41" s="278"/>
      <c r="S41" s="278"/>
      <c r="T41" s="278"/>
      <c r="U41" s="278"/>
      <c r="V41" s="278"/>
      <c r="W41" s="278"/>
      <c r="X41" s="278"/>
      <c r="Y41" s="278"/>
      <c r="Z41" s="278"/>
      <c r="AA41" s="278"/>
      <c r="AB41" s="278"/>
      <c r="AC41" s="278"/>
      <c r="AD41" s="278"/>
      <c r="AE41" s="278"/>
      <c r="AF41" s="281"/>
      <c r="AG41" s="278"/>
      <c r="AH41" s="332">
        <f>D41*C7</f>
        <v>-693593.00324999995</v>
      </c>
    </row>
    <row r="42" spans="1:34" x14ac:dyDescent="0.3">
      <c r="A42" s="310" t="s">
        <v>277</v>
      </c>
      <c r="B42" s="288" t="s">
        <v>271</v>
      </c>
      <c r="C42" s="279">
        <f t="shared" si="4"/>
        <v>-2132488.1706175003</v>
      </c>
      <c r="D42" s="289">
        <f>C42/C7</f>
        <v>-4.6118288981258561E-2</v>
      </c>
      <c r="E42" s="280">
        <f>-((SUMPRODUCT($H$6:$H$18,$I$6:$I$18)/$C$10)+($C$21/$C$10))</f>
        <v>-78981.043356203707</v>
      </c>
      <c r="F42" s="280">
        <f t="shared" ref="F42:AE42" si="9">-((SUMPRODUCT($H$6:$H$18,$I$6:$I$18)/$C$10)+($C$21/$C$10))</f>
        <v>-78981.043356203707</v>
      </c>
      <c r="G42" s="280">
        <f t="shared" si="9"/>
        <v>-78981.043356203707</v>
      </c>
      <c r="H42" s="280">
        <f t="shared" si="9"/>
        <v>-78981.043356203707</v>
      </c>
      <c r="I42" s="280">
        <f t="shared" si="9"/>
        <v>-78981.043356203707</v>
      </c>
      <c r="J42" s="280">
        <f t="shared" si="9"/>
        <v>-78981.043356203707</v>
      </c>
      <c r="K42" s="280">
        <f t="shared" si="9"/>
        <v>-78981.043356203707</v>
      </c>
      <c r="L42" s="280">
        <f t="shared" si="9"/>
        <v>-78981.043356203707</v>
      </c>
      <c r="M42" s="280">
        <f t="shared" si="9"/>
        <v>-78981.043356203707</v>
      </c>
      <c r="N42" s="280">
        <f t="shared" si="9"/>
        <v>-78981.043356203707</v>
      </c>
      <c r="O42" s="280">
        <f t="shared" si="9"/>
        <v>-78981.043356203707</v>
      </c>
      <c r="P42" s="280">
        <f t="shared" si="9"/>
        <v>-78981.043356203707</v>
      </c>
      <c r="Q42" s="280">
        <f t="shared" si="9"/>
        <v>-78981.043356203707</v>
      </c>
      <c r="R42" s="280">
        <f t="shared" si="9"/>
        <v>-78981.043356203707</v>
      </c>
      <c r="S42" s="280">
        <f t="shared" si="9"/>
        <v>-78981.043356203707</v>
      </c>
      <c r="T42" s="280">
        <f t="shared" si="9"/>
        <v>-78981.043356203707</v>
      </c>
      <c r="U42" s="280">
        <f t="shared" si="9"/>
        <v>-78981.043356203707</v>
      </c>
      <c r="V42" s="280">
        <f t="shared" si="9"/>
        <v>-78981.043356203707</v>
      </c>
      <c r="W42" s="280">
        <f t="shared" si="9"/>
        <v>-78981.043356203707</v>
      </c>
      <c r="X42" s="280">
        <f t="shared" si="9"/>
        <v>-78981.043356203707</v>
      </c>
      <c r="Y42" s="280">
        <f t="shared" si="9"/>
        <v>-78981.043356203707</v>
      </c>
      <c r="Z42" s="280">
        <f t="shared" si="9"/>
        <v>-78981.043356203707</v>
      </c>
      <c r="AA42" s="280">
        <f t="shared" si="9"/>
        <v>-78981.043356203707</v>
      </c>
      <c r="AB42" s="280">
        <f t="shared" si="9"/>
        <v>-78981.043356203707</v>
      </c>
      <c r="AC42" s="280">
        <f t="shared" si="9"/>
        <v>-78981.043356203707</v>
      </c>
      <c r="AD42" s="280">
        <f t="shared" si="9"/>
        <v>-78981.043356203707</v>
      </c>
      <c r="AE42" s="280">
        <f t="shared" si="9"/>
        <v>-78981.043356203707</v>
      </c>
      <c r="AF42" s="278"/>
      <c r="AG42" s="278"/>
      <c r="AH42" s="278"/>
    </row>
    <row r="43" spans="1:34" x14ac:dyDescent="0.3">
      <c r="A43" s="310" t="s">
        <v>277</v>
      </c>
      <c r="B43" s="288" t="s">
        <v>328</v>
      </c>
      <c r="C43" s="279">
        <f t="shared" si="4"/>
        <v>0</v>
      </c>
      <c r="D43" s="289">
        <f>C43/C7</f>
        <v>0</v>
      </c>
      <c r="E43" s="279">
        <f>-$C$23/$C$10</f>
        <v>0</v>
      </c>
      <c r="F43" s="279">
        <f t="shared" ref="F43:AH43" si="10">-$C$23/$C$10</f>
        <v>0</v>
      </c>
      <c r="G43" s="279">
        <f t="shared" si="10"/>
        <v>0</v>
      </c>
      <c r="H43" s="279">
        <f t="shared" si="10"/>
        <v>0</v>
      </c>
      <c r="I43" s="279">
        <f t="shared" si="10"/>
        <v>0</v>
      </c>
      <c r="J43" s="279">
        <f t="shared" si="10"/>
        <v>0</v>
      </c>
      <c r="K43" s="279">
        <f t="shared" si="10"/>
        <v>0</v>
      </c>
      <c r="L43" s="279">
        <f t="shared" si="10"/>
        <v>0</v>
      </c>
      <c r="M43" s="279">
        <f t="shared" si="10"/>
        <v>0</v>
      </c>
      <c r="N43" s="279">
        <f t="shared" si="10"/>
        <v>0</v>
      </c>
      <c r="O43" s="279">
        <f t="shared" si="10"/>
        <v>0</v>
      </c>
      <c r="P43" s="279">
        <f t="shared" si="10"/>
        <v>0</v>
      </c>
      <c r="Q43" s="279">
        <f t="shared" si="10"/>
        <v>0</v>
      </c>
      <c r="R43" s="279">
        <f t="shared" si="10"/>
        <v>0</v>
      </c>
      <c r="S43" s="279">
        <f t="shared" si="10"/>
        <v>0</v>
      </c>
      <c r="T43" s="279">
        <f t="shared" si="10"/>
        <v>0</v>
      </c>
      <c r="U43" s="279">
        <f t="shared" si="10"/>
        <v>0</v>
      </c>
      <c r="V43" s="279">
        <f t="shared" si="10"/>
        <v>0</v>
      </c>
      <c r="W43" s="279">
        <f t="shared" si="10"/>
        <v>0</v>
      </c>
      <c r="X43" s="279">
        <f t="shared" si="10"/>
        <v>0</v>
      </c>
      <c r="Y43" s="279">
        <f t="shared" si="10"/>
        <v>0</v>
      </c>
      <c r="Z43" s="279">
        <f t="shared" si="10"/>
        <v>0</v>
      </c>
      <c r="AA43" s="279">
        <f t="shared" si="10"/>
        <v>0</v>
      </c>
      <c r="AB43" s="279">
        <f t="shared" si="10"/>
        <v>0</v>
      </c>
      <c r="AC43" s="279">
        <f t="shared" si="10"/>
        <v>0</v>
      </c>
      <c r="AD43" s="279">
        <f t="shared" si="10"/>
        <v>0</v>
      </c>
      <c r="AE43" s="279">
        <f t="shared" si="10"/>
        <v>0</v>
      </c>
      <c r="AF43" s="279">
        <f t="shared" si="10"/>
        <v>0</v>
      </c>
      <c r="AG43" s="279">
        <f t="shared" si="10"/>
        <v>0</v>
      </c>
      <c r="AH43" s="279">
        <f t="shared" si="10"/>
        <v>0</v>
      </c>
    </row>
    <row r="44" spans="1:34" s="294" customFormat="1" ht="6.75" customHeight="1" x14ac:dyDescent="0.3">
      <c r="A44" s="310"/>
      <c r="B44" s="290"/>
      <c r="C44" s="291"/>
      <c r="D44" s="292"/>
      <c r="E44" s="293"/>
      <c r="F44" s="293"/>
      <c r="G44" s="293"/>
      <c r="H44" s="293"/>
      <c r="I44" s="293"/>
      <c r="J44" s="293"/>
      <c r="K44" s="293"/>
      <c r="L44" s="293"/>
      <c r="M44" s="293"/>
      <c r="N44" s="293"/>
      <c r="O44" s="293"/>
      <c r="P44" s="293"/>
      <c r="Q44" s="293"/>
      <c r="R44" s="293"/>
      <c r="S44" s="293"/>
      <c r="T44" s="293"/>
      <c r="U44" s="293"/>
      <c r="V44" s="293"/>
      <c r="W44" s="293"/>
      <c r="X44" s="293"/>
      <c r="Y44" s="293"/>
      <c r="Z44" s="293"/>
      <c r="AA44" s="293"/>
      <c r="AB44" s="293"/>
      <c r="AC44" s="293"/>
      <c r="AD44" s="293"/>
      <c r="AE44" s="293"/>
      <c r="AF44" s="293"/>
      <c r="AG44" s="293"/>
      <c r="AH44" s="293"/>
    </row>
    <row r="45" spans="1:34" x14ac:dyDescent="0.3">
      <c r="A45" s="310"/>
      <c r="B45" s="288" t="s">
        <v>333</v>
      </c>
      <c r="C45" s="279">
        <f>SUM(C36:C43)</f>
        <v>3737559.2738367114</v>
      </c>
      <c r="D45" s="289" t="s">
        <v>331</v>
      </c>
      <c r="E45" s="279">
        <f>SUM(E36:E43)</f>
        <v>106396.10795359249</v>
      </c>
      <c r="F45" s="279">
        <f t="shared" ref="F45:AH45" si="11">SUM(F36:F43)</f>
        <v>139660.37831992054</v>
      </c>
      <c r="G45" s="279">
        <f t="shared" si="11"/>
        <v>125725.61307491842</v>
      </c>
      <c r="H45" s="279">
        <f t="shared" si="11"/>
        <v>124092.88928965342</v>
      </c>
      <c r="I45" s="279">
        <f t="shared" si="11"/>
        <v>127562.25748399057</v>
      </c>
      <c r="J45" s="279">
        <f t="shared" si="11"/>
        <v>123487.86055071384</v>
      </c>
      <c r="K45" s="279">
        <f t="shared" si="11"/>
        <v>103012.48579579993</v>
      </c>
      <c r="L45" s="279">
        <f t="shared" si="11"/>
        <v>121242.03637973889</v>
      </c>
      <c r="M45" s="279">
        <f t="shared" si="11"/>
        <v>114398.33450555091</v>
      </c>
      <c r="N45" s="279">
        <f t="shared" si="11"/>
        <v>115361.94311018259</v>
      </c>
      <c r="O45" s="279">
        <f t="shared" si="11"/>
        <v>150284.04454494553</v>
      </c>
      <c r="P45" s="279">
        <f t="shared" si="11"/>
        <v>159305.63084970531</v>
      </c>
      <c r="Q45" s="279">
        <f t="shared" si="11"/>
        <v>177609.91514808769</v>
      </c>
      <c r="R45" s="279">
        <f t="shared" si="11"/>
        <v>182144.72043558321</v>
      </c>
      <c r="S45" s="279">
        <f t="shared" si="11"/>
        <v>173458.08719127084</v>
      </c>
      <c r="T45" s="279">
        <f t="shared" si="11"/>
        <v>176540.03662115379</v>
      </c>
      <c r="U45" s="279">
        <f t="shared" si="11"/>
        <v>201261.74655386322</v>
      </c>
      <c r="V45" s="279">
        <f t="shared" si="11"/>
        <v>206595.74627421476</v>
      </c>
      <c r="W45" s="279">
        <f t="shared" si="11"/>
        <v>217936.7547552996</v>
      </c>
      <c r="X45" s="279">
        <f t="shared" si="11"/>
        <v>185581.41671296826</v>
      </c>
      <c r="Y45" s="279">
        <f t="shared" si="11"/>
        <v>200998.95158187993</v>
      </c>
      <c r="Z45" s="279">
        <f t="shared" si="11"/>
        <v>186030.18404898059</v>
      </c>
      <c r="AA45" s="279">
        <f t="shared" si="11"/>
        <v>186042.79853212414</v>
      </c>
      <c r="AB45" s="279">
        <f t="shared" si="11"/>
        <v>180105.69672218774</v>
      </c>
      <c r="AC45" s="279">
        <f t="shared" si="11"/>
        <v>142040.90570156943</v>
      </c>
      <c r="AD45" s="279">
        <f t="shared" si="11"/>
        <v>129423.4616022055</v>
      </c>
      <c r="AE45" s="279">
        <f t="shared" si="11"/>
        <v>126884.76644879411</v>
      </c>
      <c r="AF45" s="279">
        <f t="shared" si="11"/>
        <v>30483.081040976176</v>
      </c>
      <c r="AG45" s="279">
        <f t="shared" si="11"/>
        <v>8960.6027825530837</v>
      </c>
      <c r="AH45" s="279">
        <f t="shared" si="11"/>
        <v>-485069.18017571396</v>
      </c>
    </row>
    <row r="46" spans="1:34" x14ac:dyDescent="0.3">
      <c r="A46" s="310"/>
      <c r="B46" s="288" t="s">
        <v>332</v>
      </c>
      <c r="C46" s="268" t="s">
        <v>331</v>
      </c>
      <c r="D46" s="282">
        <f>C45/(C36+C37+C38+C39+C40)</f>
        <v>0.56943388407937712</v>
      </c>
      <c r="E46" s="282">
        <f>E45/(E36+E37+E38+E39+E40)</f>
        <v>0.5739440227765007</v>
      </c>
      <c r="F46" s="282">
        <f t="shared" ref="F46:AH46" si="12">F45/(F36+F37+F38+F39+F40)</f>
        <v>0.63876449965094384</v>
      </c>
      <c r="G46" s="282">
        <f t="shared" si="12"/>
        <v>0.61417452303130871</v>
      </c>
      <c r="H46" s="282">
        <f t="shared" si="12"/>
        <v>0.61107246840026674</v>
      </c>
      <c r="I46" s="282">
        <f t="shared" si="12"/>
        <v>0.61760539782739043</v>
      </c>
      <c r="J46" s="282">
        <f t="shared" si="12"/>
        <v>0.6099102537122727</v>
      </c>
      <c r="K46" s="282">
        <f t="shared" si="12"/>
        <v>0.5660227936442862</v>
      </c>
      <c r="L46" s="282">
        <f t="shared" si="12"/>
        <v>0.60553476921659</v>
      </c>
      <c r="M46" s="282">
        <f t="shared" si="12"/>
        <v>0.59157463308902236</v>
      </c>
      <c r="N46" s="282">
        <f t="shared" si="12"/>
        <v>0.59359972390943816</v>
      </c>
      <c r="O46" s="282">
        <f t="shared" si="12"/>
        <v>0.6555033996704398</v>
      </c>
      <c r="P46" s="282">
        <f t="shared" si="12"/>
        <v>0.66854611732104519</v>
      </c>
      <c r="Q46" s="282">
        <f t="shared" si="12"/>
        <v>0.69219085576282002</v>
      </c>
      <c r="R46" s="282">
        <f t="shared" si="12"/>
        <v>0.69753638166787479</v>
      </c>
      <c r="S46" s="282">
        <f t="shared" si="12"/>
        <v>0.6871283656186169</v>
      </c>
      <c r="T46" s="282">
        <f t="shared" si="12"/>
        <v>0.69090204470330796</v>
      </c>
      <c r="U46" s="282">
        <f t="shared" si="12"/>
        <v>0.71816922254610149</v>
      </c>
      <c r="V46" s="282">
        <f t="shared" si="12"/>
        <v>0.72343325429767014</v>
      </c>
      <c r="W46" s="282">
        <f t="shared" si="12"/>
        <v>0.7339969383494368</v>
      </c>
      <c r="X46" s="282">
        <f t="shared" si="12"/>
        <v>0.7014654182775838</v>
      </c>
      <c r="Y46" s="282">
        <f t="shared" si="12"/>
        <v>0.71790469039164739</v>
      </c>
      <c r="Z46" s="282">
        <f t="shared" si="12"/>
        <v>0.70197095372322837</v>
      </c>
      <c r="AA46" s="282">
        <f t="shared" si="12"/>
        <v>0.70198513917293648</v>
      </c>
      <c r="AB46" s="282">
        <f t="shared" si="12"/>
        <v>0.69515598006942947</v>
      </c>
      <c r="AC46" s="282">
        <f t="shared" si="12"/>
        <v>0.64265520373472607</v>
      </c>
      <c r="AD46" s="282">
        <f t="shared" si="12"/>
        <v>0.62102046032082769</v>
      </c>
      <c r="AE46" s="282">
        <f t="shared" si="12"/>
        <v>0.61634696197966587</v>
      </c>
      <c r="AF46" s="282">
        <f t="shared" si="12"/>
        <v>1</v>
      </c>
      <c r="AG46" s="282">
        <f t="shared" si="12"/>
        <v>1</v>
      </c>
      <c r="AH46" s="282">
        <f t="shared" si="12"/>
        <v>-2.326205097452628</v>
      </c>
    </row>
    <row r="47" spans="1:34" ht="7.5" customHeight="1" x14ac:dyDescent="0.3">
      <c r="A47" s="310"/>
      <c r="B47" s="283"/>
      <c r="C47" s="283"/>
      <c r="D47" s="264"/>
      <c r="E47" s="283"/>
      <c r="F47" s="283"/>
      <c r="G47" s="283"/>
      <c r="H47" s="283"/>
      <c r="I47" s="283"/>
      <c r="J47" s="283"/>
      <c r="K47" s="283"/>
      <c r="L47" s="283"/>
      <c r="M47" s="283"/>
      <c r="N47" s="283"/>
      <c r="O47" s="283"/>
      <c r="P47" s="283"/>
      <c r="Q47" s="283"/>
      <c r="R47" s="283"/>
      <c r="S47" s="283"/>
      <c r="T47" s="283"/>
      <c r="U47" s="283"/>
      <c r="V47" s="283"/>
      <c r="W47" s="283"/>
      <c r="X47" s="283"/>
      <c r="Y47" s="283"/>
      <c r="Z47" s="283"/>
      <c r="AA47" s="283"/>
      <c r="AB47" s="283"/>
      <c r="AC47" s="283"/>
      <c r="AD47" s="283"/>
      <c r="AE47" s="283"/>
      <c r="AF47" s="283"/>
      <c r="AG47" s="283"/>
      <c r="AH47" s="283"/>
    </row>
    <row r="48" spans="1:34" x14ac:dyDescent="0.3">
      <c r="A48" s="310" t="s">
        <v>278</v>
      </c>
      <c r="B48" s="288" t="s">
        <v>334</v>
      </c>
      <c r="C48" s="279">
        <f>SUM(E48:AH48)</f>
        <v>-1667921.8558248787</v>
      </c>
      <c r="D48" s="313" t="s">
        <v>353</v>
      </c>
      <c r="E48" s="315">
        <f>-$C$26*(E36+E37+E38)</f>
        <v>-48956.715323622535</v>
      </c>
      <c r="F48" s="315">
        <f t="shared" ref="F48:L48" si="13">-$C$26*(F36+F37+F38)</f>
        <v>-57741.559643788096</v>
      </c>
      <c r="G48" s="315">
        <f t="shared" si="13"/>
        <v>-54061.492653973335</v>
      </c>
      <c r="H48" s="315">
        <f t="shared" si="13"/>
        <v>-53630.302547789506</v>
      </c>
      <c r="I48" s="315">
        <f t="shared" si="13"/>
        <v>-54546.536667490422</v>
      </c>
      <c r="J48" s="315">
        <f t="shared" si="13"/>
        <v>-53470.518995579368</v>
      </c>
      <c r="K48" s="315">
        <f t="shared" si="13"/>
        <v>-48063.126089073769</v>
      </c>
      <c r="L48" s="315">
        <f t="shared" si="13"/>
        <v>-52877.413675811084</v>
      </c>
      <c r="M48" s="315">
        <f>-$C$27*(M36+M37+M38)</f>
        <v>-51070.043338921787</v>
      </c>
      <c r="N48" s="315">
        <f t="shared" ref="N48:X48" si="14">-$C$27*(N36+N37+N38)</f>
        <v>-51324.525144295469</v>
      </c>
      <c r="O48" s="315">
        <f t="shared" si="14"/>
        <v>-60547.19021582423</v>
      </c>
      <c r="P48" s="315">
        <f t="shared" si="14"/>
        <v>-62929.72349659256</v>
      </c>
      <c r="Q48" s="315">
        <f t="shared" si="14"/>
        <v>-67763.74769680803</v>
      </c>
      <c r="R48" s="315">
        <f t="shared" si="14"/>
        <v>-68961.355761984101</v>
      </c>
      <c r="S48" s="315">
        <f t="shared" si="14"/>
        <v>-66667.281072316327</v>
      </c>
      <c r="T48" s="315">
        <f t="shared" si="14"/>
        <v>-67481.200801983723</v>
      </c>
      <c r="U48" s="315">
        <f t="shared" si="14"/>
        <v>-74010.018981232919</v>
      </c>
      <c r="V48" s="315">
        <f t="shared" si="14"/>
        <v>-75418.688302130686</v>
      </c>
      <c r="W48" s="315">
        <f t="shared" si="14"/>
        <v>-78413.763583891792</v>
      </c>
      <c r="X48" s="315">
        <f t="shared" si="14"/>
        <v>-69868.961473458883</v>
      </c>
      <c r="Y48" s="315">
        <f>-$C$28*(Y36+Y37+Y38)</f>
        <v>-73940.616800106698</v>
      </c>
      <c r="Z48" s="315">
        <f t="shared" ref="Z48:AE48" si="15">-$C$28*(Z36+Z37+Z38)</f>
        <v>-69987.477561123742</v>
      </c>
      <c r="AA48" s="315">
        <f t="shared" si="15"/>
        <v>-69990.808951512736</v>
      </c>
      <c r="AB48" s="315">
        <f t="shared" si="15"/>
        <v>-68422.86489204946</v>
      </c>
      <c r="AC48" s="315">
        <f t="shared" si="15"/>
        <v>-58370.239071215001</v>
      </c>
      <c r="AD48" s="315">
        <f t="shared" si="15"/>
        <v>-55038.066715993147</v>
      </c>
      <c r="AE48" s="315">
        <f t="shared" si="15"/>
        <v>-54367.616366309448</v>
      </c>
      <c r="AF48" s="315"/>
      <c r="AG48" s="315"/>
      <c r="AH48" s="315"/>
    </row>
    <row r="49" spans="1:34" s="294" customFormat="1" ht="7.5" customHeight="1" x14ac:dyDescent="0.3">
      <c r="A49" s="310"/>
      <c r="B49" s="295"/>
      <c r="C49" s="295"/>
      <c r="D49" s="296"/>
      <c r="E49" s="295"/>
      <c r="F49" s="295"/>
      <c r="G49" s="295"/>
      <c r="H49" s="295"/>
      <c r="I49" s="295"/>
      <c r="J49" s="295"/>
      <c r="K49" s="295"/>
      <c r="L49" s="295"/>
      <c r="M49" s="295"/>
      <c r="N49" s="295"/>
      <c r="O49" s="295"/>
      <c r="P49" s="295"/>
      <c r="Q49" s="295"/>
      <c r="R49" s="295"/>
      <c r="S49" s="295"/>
      <c r="T49" s="295"/>
      <c r="U49" s="295"/>
      <c r="V49" s="295"/>
      <c r="W49" s="295"/>
      <c r="X49" s="295"/>
      <c r="Y49" s="295"/>
      <c r="Z49" s="295"/>
      <c r="AA49" s="295"/>
      <c r="AB49" s="295"/>
      <c r="AC49" s="295"/>
      <c r="AD49" s="295"/>
      <c r="AE49" s="295"/>
      <c r="AF49" s="295"/>
      <c r="AG49" s="295"/>
      <c r="AH49" s="295"/>
    </row>
    <row r="50" spans="1:34" x14ac:dyDescent="0.3">
      <c r="A50" s="310"/>
      <c r="B50" s="288" t="s">
        <v>335</v>
      </c>
      <c r="C50" s="279">
        <f>SUM(E50:AH50)</f>
        <v>2069637.4180118318</v>
      </c>
      <c r="D50" s="278" t="s">
        <v>331</v>
      </c>
      <c r="E50" s="284">
        <f>SUM(E36:E43,E48)</f>
        <v>57439.39262996996</v>
      </c>
      <c r="F50" s="284">
        <f t="shared" ref="F50:AH50" si="16">SUM(F36:F43,F48)</f>
        <v>81918.818676132447</v>
      </c>
      <c r="G50" s="284">
        <f t="shared" si="16"/>
        <v>71664.120420945081</v>
      </c>
      <c r="H50" s="284">
        <f t="shared" si="16"/>
        <v>70462.586741863925</v>
      </c>
      <c r="I50" s="284">
        <f t="shared" si="16"/>
        <v>73015.72081650015</v>
      </c>
      <c r="J50" s="284">
        <f t="shared" si="16"/>
        <v>70017.341555134481</v>
      </c>
      <c r="K50" s="284">
        <f t="shared" si="16"/>
        <v>54949.359706726165</v>
      </c>
      <c r="L50" s="284">
        <f t="shared" si="16"/>
        <v>68364.622703927802</v>
      </c>
      <c r="M50" s="284">
        <f t="shared" si="16"/>
        <v>63328.291166629126</v>
      </c>
      <c r="N50" s="284">
        <f t="shared" si="16"/>
        <v>64037.417965887122</v>
      </c>
      <c r="O50" s="284">
        <f t="shared" si="16"/>
        <v>89736.854329121299</v>
      </c>
      <c r="P50" s="284">
        <f t="shared" si="16"/>
        <v>96375.907353112751</v>
      </c>
      <c r="Q50" s="284">
        <f t="shared" si="16"/>
        <v>109846.16745127966</v>
      </c>
      <c r="R50" s="284">
        <f t="shared" si="16"/>
        <v>113183.36467359911</v>
      </c>
      <c r="S50" s="284">
        <f t="shared" si="16"/>
        <v>106790.80611895451</v>
      </c>
      <c r="T50" s="284">
        <f t="shared" si="16"/>
        <v>109058.83581917007</v>
      </c>
      <c r="U50" s="284">
        <f t="shared" si="16"/>
        <v>127251.72757263031</v>
      </c>
      <c r="V50" s="284">
        <f t="shared" si="16"/>
        <v>131177.05797208409</v>
      </c>
      <c r="W50" s="284">
        <f t="shared" si="16"/>
        <v>139522.9911714078</v>
      </c>
      <c r="X50" s="284">
        <f t="shared" si="16"/>
        <v>115712.45523950938</v>
      </c>
      <c r="Y50" s="284">
        <f t="shared" si="16"/>
        <v>127058.33478177323</v>
      </c>
      <c r="Z50" s="284">
        <f t="shared" si="16"/>
        <v>116042.70648785685</v>
      </c>
      <c r="AA50" s="284">
        <f t="shared" si="16"/>
        <v>116051.98958061141</v>
      </c>
      <c r="AB50" s="284">
        <f t="shared" si="16"/>
        <v>111682.83183013828</v>
      </c>
      <c r="AC50" s="284">
        <f t="shared" si="16"/>
        <v>83670.666630354419</v>
      </c>
      <c r="AD50" s="284">
        <f t="shared" si="16"/>
        <v>74385.394886212351</v>
      </c>
      <c r="AE50" s="284">
        <f t="shared" si="16"/>
        <v>72517.150082484659</v>
      </c>
      <c r="AF50" s="284">
        <f t="shared" si="16"/>
        <v>30483.081040976176</v>
      </c>
      <c r="AG50" s="284">
        <f t="shared" si="16"/>
        <v>8960.6027825530837</v>
      </c>
      <c r="AH50" s="284">
        <f t="shared" si="16"/>
        <v>-485069.18017571396</v>
      </c>
    </row>
    <row r="51" spans="1:34" x14ac:dyDescent="0.3">
      <c r="A51" s="310"/>
      <c r="B51" s="283" t="s">
        <v>284</v>
      </c>
      <c r="C51" s="279">
        <f>SUM(E51:AH51)</f>
        <v>-791774.38582399988</v>
      </c>
      <c r="D51" s="266">
        <f>C24</f>
        <v>0.10879999999999999</v>
      </c>
      <c r="E51" s="284">
        <f>-$C$24*(E36+E37+E38+E39)</f>
        <v>-22362.114636467522</v>
      </c>
      <c r="F51" s="284">
        <f t="shared" ref="F51:AH51" si="17">-$C$24*(F36+F37+F38+F39)</f>
        <v>-26374.79592957448</v>
      </c>
      <c r="G51" s="284">
        <f t="shared" si="17"/>
        <v>-24693.840020826879</v>
      </c>
      <c r="H51" s="284">
        <f t="shared" si="17"/>
        <v>-24496.883943997502</v>
      </c>
      <c r="I51" s="284">
        <f t="shared" si="17"/>
        <v>-24915.395118269615</v>
      </c>
      <c r="J51" s="284">
        <f t="shared" si="17"/>
        <v>-24423.8991024303</v>
      </c>
      <c r="K51" s="284">
        <f t="shared" si="17"/>
        <v>-21953.94703844138</v>
      </c>
      <c r="L51" s="284">
        <f t="shared" si="17"/>
        <v>-24152.984498284921</v>
      </c>
      <c r="M51" s="284">
        <f t="shared" si="17"/>
        <v>-23327.426198531764</v>
      </c>
      <c r="N51" s="284">
        <f t="shared" si="17"/>
        <v>-23443.666662522115</v>
      </c>
      <c r="O51" s="284">
        <f t="shared" si="17"/>
        <v>-27656.332733355452</v>
      </c>
      <c r="P51" s="284">
        <f t="shared" si="17"/>
        <v>-28744.610041127213</v>
      </c>
      <c r="Q51" s="284">
        <f t="shared" si="17"/>
        <v>-30952.662656710203</v>
      </c>
      <c r="R51" s="284">
        <f t="shared" si="17"/>
        <v>-31499.697903376415</v>
      </c>
      <c r="S51" s="284">
        <f t="shared" si="17"/>
        <v>-30451.82610773297</v>
      </c>
      <c r="T51" s="284">
        <f t="shared" si="17"/>
        <v>-30823.602812509616</v>
      </c>
      <c r="U51" s="284">
        <f t="shared" si="17"/>
        <v>-33805.791866655105</v>
      </c>
      <c r="V51" s="284">
        <f t="shared" si="17"/>
        <v>-34449.234234684867</v>
      </c>
      <c r="W51" s="284">
        <f t="shared" si="17"/>
        <v>-35817.304301331576</v>
      </c>
      <c r="X51" s="284">
        <f t="shared" si="17"/>
        <v>-31914.267852167861</v>
      </c>
      <c r="Y51" s="284">
        <f t="shared" si="17"/>
        <v>-33774.090811547416</v>
      </c>
      <c r="Z51" s="284">
        <f t="shared" si="17"/>
        <v>-31968.402822643475</v>
      </c>
      <c r="AA51" s="284">
        <f t="shared" si="17"/>
        <v>-31969.924512431789</v>
      </c>
      <c r="AB51" s="284">
        <f t="shared" si="17"/>
        <v>-31253.72971526231</v>
      </c>
      <c r="AC51" s="284">
        <f t="shared" si="17"/>
        <v>-26661.959832070319</v>
      </c>
      <c r="AD51" s="284">
        <f t="shared" si="17"/>
        <v>-25139.912862551013</v>
      </c>
      <c r="AE51" s="284">
        <f t="shared" si="17"/>
        <v>-24833.669122982719</v>
      </c>
      <c r="AF51" s="284">
        <f t="shared" si="17"/>
        <v>-3677.1853914825833</v>
      </c>
      <c r="AG51" s="284">
        <f t="shared" si="17"/>
        <v>-1080.9208428304994</v>
      </c>
      <c r="AH51" s="284">
        <f t="shared" si="17"/>
        <v>-25154.3062512</v>
      </c>
    </row>
    <row r="52" spans="1:34" x14ac:dyDescent="0.3">
      <c r="A52" s="310"/>
      <c r="B52" s="283" t="s">
        <v>272</v>
      </c>
      <c r="C52" s="279">
        <f>SUM(E52:AH52)</f>
        <v>1277863.0321878321</v>
      </c>
      <c r="D52" s="264" t="s">
        <v>331</v>
      </c>
      <c r="E52" s="284">
        <f>SUM(E50:E51)</f>
        <v>35077.277993502437</v>
      </c>
      <c r="F52" s="284">
        <f t="shared" ref="F52:AH52" si="18">SUM(F50:F51)</f>
        <v>55544.022746557966</v>
      </c>
      <c r="G52" s="284">
        <f t="shared" si="18"/>
        <v>46970.280400118201</v>
      </c>
      <c r="H52" s="284">
        <f t="shared" si="18"/>
        <v>45965.702797866426</v>
      </c>
      <c r="I52" s="284">
        <f t="shared" si="18"/>
        <v>48100.325698230532</v>
      </c>
      <c r="J52" s="284">
        <f t="shared" si="18"/>
        <v>45593.442452704185</v>
      </c>
      <c r="K52" s="284">
        <f t="shared" si="18"/>
        <v>32995.412668284785</v>
      </c>
      <c r="L52" s="284">
        <f t="shared" si="18"/>
        <v>44211.638205642885</v>
      </c>
      <c r="M52" s="284">
        <f t="shared" si="18"/>
        <v>40000.864968097361</v>
      </c>
      <c r="N52" s="284">
        <f t="shared" si="18"/>
        <v>40593.751303365003</v>
      </c>
      <c r="O52" s="284">
        <f t="shared" si="18"/>
        <v>62080.521595765851</v>
      </c>
      <c r="P52" s="284">
        <f t="shared" si="18"/>
        <v>67631.297311985545</v>
      </c>
      <c r="Q52" s="284">
        <f t="shared" si="18"/>
        <v>78893.504794569453</v>
      </c>
      <c r="R52" s="284">
        <f t="shared" si="18"/>
        <v>81683.666770222684</v>
      </c>
      <c r="S52" s="284">
        <f t="shared" si="18"/>
        <v>76338.980011221545</v>
      </c>
      <c r="T52" s="284">
        <f t="shared" si="18"/>
        <v>78235.233006660448</v>
      </c>
      <c r="U52" s="284">
        <f t="shared" si="18"/>
        <v>93445.935705975193</v>
      </c>
      <c r="V52" s="284">
        <f t="shared" si="18"/>
        <v>96727.823737399216</v>
      </c>
      <c r="W52" s="284">
        <f t="shared" si="18"/>
        <v>103705.68687007623</v>
      </c>
      <c r="X52" s="284">
        <f t="shared" si="18"/>
        <v>83798.187387341517</v>
      </c>
      <c r="Y52" s="284">
        <f t="shared" si="18"/>
        <v>93284.243970225813</v>
      </c>
      <c r="Z52" s="284">
        <f t="shared" si="18"/>
        <v>84074.303665213374</v>
      </c>
      <c r="AA52" s="284">
        <f t="shared" si="18"/>
        <v>84082.065068179625</v>
      </c>
      <c r="AB52" s="284">
        <f t="shared" si="18"/>
        <v>80429.102114875976</v>
      </c>
      <c r="AC52" s="284">
        <f t="shared" si="18"/>
        <v>57008.706798284096</v>
      </c>
      <c r="AD52" s="284">
        <f t="shared" si="18"/>
        <v>49245.482023661338</v>
      </c>
      <c r="AE52" s="284">
        <f t="shared" si="18"/>
        <v>47683.48095950194</v>
      </c>
      <c r="AF52" s="284">
        <f t="shared" si="18"/>
        <v>26805.895649493592</v>
      </c>
      <c r="AG52" s="284">
        <f t="shared" si="18"/>
        <v>7879.6819397225845</v>
      </c>
      <c r="AH52" s="284">
        <f t="shared" si="18"/>
        <v>-510223.48642691394</v>
      </c>
    </row>
    <row r="53" spans="1:34" x14ac:dyDescent="0.3">
      <c r="A53" s="310"/>
      <c r="B53" s="283" t="s">
        <v>273</v>
      </c>
      <c r="C53" s="268" t="s">
        <v>331</v>
      </c>
      <c r="D53" s="289">
        <f>C52/(C36+C37+C38+C39+C40)</f>
        <v>0.19468815246191537</v>
      </c>
      <c r="E53" s="282">
        <f>E52/(E36+E37+E38+E39+E40)</f>
        <v>0.18922115128893335</v>
      </c>
      <c r="F53" s="282">
        <f t="shared" ref="F53:AH53" si="19">F52/(F36+F37+F38+F39+F40)</f>
        <v>0.2540416281633765</v>
      </c>
      <c r="G53" s="282">
        <f t="shared" si="19"/>
        <v>0.22945165154374128</v>
      </c>
      <c r="H53" s="282">
        <f t="shared" si="19"/>
        <v>0.22634959691269937</v>
      </c>
      <c r="I53" s="282">
        <f t="shared" si="19"/>
        <v>0.23288252633982301</v>
      </c>
      <c r="J53" s="282">
        <f t="shared" si="19"/>
        <v>0.22518738222470538</v>
      </c>
      <c r="K53" s="282">
        <f t="shared" si="19"/>
        <v>0.18129992215671875</v>
      </c>
      <c r="L53" s="282">
        <f t="shared" si="19"/>
        <v>0.22081189772902257</v>
      </c>
      <c r="M53" s="282">
        <f t="shared" si="19"/>
        <v>0.20685176160145505</v>
      </c>
      <c r="N53" s="282">
        <f t="shared" si="19"/>
        <v>0.20887685242187079</v>
      </c>
      <c r="O53" s="282">
        <f t="shared" si="19"/>
        <v>0.27078052818287235</v>
      </c>
      <c r="P53" s="282">
        <f t="shared" si="19"/>
        <v>0.28382324583347779</v>
      </c>
      <c r="Q53" s="282">
        <f t="shared" si="19"/>
        <v>0.30746798427525257</v>
      </c>
      <c r="R53" s="282">
        <f t="shared" si="19"/>
        <v>0.3128135101803074</v>
      </c>
      <c r="S53" s="282">
        <f t="shared" si="19"/>
        <v>0.30240549413104945</v>
      </c>
      <c r="T53" s="282">
        <f t="shared" si="19"/>
        <v>0.30617917321574062</v>
      </c>
      <c r="U53" s="282">
        <f t="shared" si="19"/>
        <v>0.3334463510585341</v>
      </c>
      <c r="V53" s="282">
        <f t="shared" si="19"/>
        <v>0.33871038281010274</v>
      </c>
      <c r="W53" s="282">
        <f t="shared" si="19"/>
        <v>0.34927406686186935</v>
      </c>
      <c r="X53" s="282">
        <f t="shared" si="19"/>
        <v>0.31674254679001629</v>
      </c>
      <c r="Y53" s="282">
        <f t="shared" si="19"/>
        <v>0.33318181890408</v>
      </c>
      <c r="Z53" s="282">
        <f t="shared" si="19"/>
        <v>0.31724808223566103</v>
      </c>
      <c r="AA53" s="282">
        <f t="shared" si="19"/>
        <v>0.31726226768536919</v>
      </c>
      <c r="AB53" s="282">
        <f t="shared" si="19"/>
        <v>0.31043310858186207</v>
      </c>
      <c r="AC53" s="282">
        <f t="shared" si="19"/>
        <v>0.25793233224715856</v>
      </c>
      <c r="AD53" s="282">
        <f t="shared" si="19"/>
        <v>0.2362975888332603</v>
      </c>
      <c r="AE53" s="282">
        <f t="shared" si="19"/>
        <v>0.23162409049209845</v>
      </c>
      <c r="AF53" s="282">
        <f t="shared" si="19"/>
        <v>0.87936962846571798</v>
      </c>
      <c r="AG53" s="282">
        <f t="shared" si="19"/>
        <v>0.87936962846571809</v>
      </c>
      <c r="AH53" s="282">
        <f t="shared" si="19"/>
        <v>-2.4468354689869098</v>
      </c>
    </row>
    <row r="54" spans="1:34" x14ac:dyDescent="0.3">
      <c r="A54" s="310"/>
      <c r="B54" s="283" t="s">
        <v>289</v>
      </c>
      <c r="C54" s="279">
        <f>SUM(E54:AH54)</f>
        <v>6563640.4477042099</v>
      </c>
      <c r="D54" s="278" t="s">
        <v>331</v>
      </c>
      <c r="E54" s="284">
        <f>E36+E37+E38+E39+E40</f>
        <v>185377.1513097962</v>
      </c>
      <c r="F54" s="284">
        <f t="shared" ref="F54:AH54" si="20">F36+F37+F38+F39+F40</f>
        <v>218641.42167612424</v>
      </c>
      <c r="G54" s="284">
        <f t="shared" si="20"/>
        <v>204706.65643112213</v>
      </c>
      <c r="H54" s="284">
        <f t="shared" si="20"/>
        <v>203073.93264585713</v>
      </c>
      <c r="I54" s="284">
        <f t="shared" si="20"/>
        <v>206543.30084019428</v>
      </c>
      <c r="J54" s="284">
        <f t="shared" si="20"/>
        <v>202468.90390691755</v>
      </c>
      <c r="K54" s="284">
        <f t="shared" si="20"/>
        <v>181993.52915200364</v>
      </c>
      <c r="L54" s="284">
        <f t="shared" si="20"/>
        <v>200223.07973594259</v>
      </c>
      <c r="M54" s="284">
        <f t="shared" si="20"/>
        <v>193379.37786175462</v>
      </c>
      <c r="N54" s="284">
        <f t="shared" si="20"/>
        <v>194342.9864663863</v>
      </c>
      <c r="O54" s="284">
        <f t="shared" si="20"/>
        <v>229265.08790114924</v>
      </c>
      <c r="P54" s="284">
        <f t="shared" si="20"/>
        <v>238286.67420590902</v>
      </c>
      <c r="Q54" s="284">
        <f t="shared" si="20"/>
        <v>256590.9585042914</v>
      </c>
      <c r="R54" s="284">
        <f t="shared" si="20"/>
        <v>261125.76379178691</v>
      </c>
      <c r="S54" s="284">
        <f t="shared" si="20"/>
        <v>252439.13054747455</v>
      </c>
      <c r="T54" s="284">
        <f t="shared" si="20"/>
        <v>255521.0799773575</v>
      </c>
      <c r="U54" s="284">
        <f t="shared" si="20"/>
        <v>280242.78991006693</v>
      </c>
      <c r="V54" s="284">
        <f t="shared" si="20"/>
        <v>285576.78963041847</v>
      </c>
      <c r="W54" s="284">
        <f t="shared" si="20"/>
        <v>296917.7981115033</v>
      </c>
      <c r="X54" s="284">
        <f t="shared" si="20"/>
        <v>264562.46006917197</v>
      </c>
      <c r="Y54" s="284">
        <f t="shared" si="20"/>
        <v>279979.99493808363</v>
      </c>
      <c r="Z54" s="284">
        <f t="shared" si="20"/>
        <v>265011.2274051843</v>
      </c>
      <c r="AA54" s="284">
        <f t="shared" si="20"/>
        <v>265023.84188832785</v>
      </c>
      <c r="AB54" s="284">
        <f t="shared" si="20"/>
        <v>259086.74007839145</v>
      </c>
      <c r="AC54" s="284">
        <f t="shared" si="20"/>
        <v>221021.94905777313</v>
      </c>
      <c r="AD54" s="284">
        <f t="shared" si="20"/>
        <v>208404.5049584092</v>
      </c>
      <c r="AE54" s="284">
        <f t="shared" si="20"/>
        <v>205865.80980499781</v>
      </c>
      <c r="AF54" s="284">
        <f t="shared" si="20"/>
        <v>30483.081040976176</v>
      </c>
      <c r="AG54" s="284">
        <f t="shared" si="20"/>
        <v>8960.6027825530837</v>
      </c>
      <c r="AH54" s="284">
        <f t="shared" si="20"/>
        <v>208523.82307428596</v>
      </c>
    </row>
    <row r="55" spans="1:34" s="294" customFormat="1" ht="7.5" customHeight="1" x14ac:dyDescent="0.3">
      <c r="A55" s="310"/>
      <c r="B55" s="295"/>
      <c r="C55" s="295"/>
      <c r="D55" s="295"/>
      <c r="E55" s="295"/>
      <c r="F55" s="295"/>
      <c r="G55" s="295"/>
      <c r="H55" s="295"/>
      <c r="I55" s="295"/>
      <c r="J55" s="295"/>
      <c r="K55" s="295"/>
      <c r="L55" s="295"/>
      <c r="M55" s="295"/>
      <c r="N55" s="295"/>
      <c r="O55" s="295"/>
      <c r="P55" s="295"/>
      <c r="Q55" s="295"/>
      <c r="R55" s="295"/>
      <c r="S55" s="295"/>
      <c r="T55" s="295"/>
      <c r="U55" s="295"/>
      <c r="V55" s="295"/>
      <c r="W55" s="295"/>
      <c r="X55" s="295"/>
      <c r="Y55" s="295"/>
      <c r="Z55" s="295"/>
      <c r="AA55" s="295"/>
      <c r="AB55" s="295"/>
      <c r="AC55" s="295"/>
      <c r="AD55" s="295"/>
      <c r="AE55" s="295"/>
      <c r="AF55" s="295"/>
      <c r="AG55" s="295"/>
      <c r="AH55" s="295"/>
    </row>
    <row r="56" spans="1:34" s="299" customFormat="1" x14ac:dyDescent="0.3">
      <c r="A56" s="311"/>
      <c r="B56" s="335" t="s">
        <v>336</v>
      </c>
      <c r="C56" s="267" t="s">
        <v>331</v>
      </c>
      <c r="D56" s="289">
        <f>SUM(E56:AH56)</f>
        <v>1</v>
      </c>
      <c r="E56" s="304">
        <v>1.2384050000000002E-2</v>
      </c>
      <c r="F56" s="304">
        <v>2.8786129999999997E-2</v>
      </c>
      <c r="G56" s="304">
        <v>2.191512E-2</v>
      </c>
      <c r="H56" s="304">
        <v>2.1110050000000002E-2</v>
      </c>
      <c r="I56" s="304">
        <v>2.2820739999999999E-2</v>
      </c>
      <c r="J56" s="304">
        <v>2.0811719999999999E-2</v>
      </c>
      <c r="K56" s="304">
        <v>1.071564E-2</v>
      </c>
      <c r="L56" s="304">
        <v>1.9704340000000001E-2</v>
      </c>
      <c r="M56" s="304">
        <v>1.6329819999999998E-2</v>
      </c>
      <c r="N56" s="304">
        <v>1.6804960000000001E-2</v>
      </c>
      <c r="O56" s="304">
        <v>3.4024489999999998E-2</v>
      </c>
      <c r="P56" s="304">
        <v>3.8472890000000003E-2</v>
      </c>
      <c r="Q56" s="304">
        <v>4.7498440000000003E-2</v>
      </c>
      <c r="R56" s="304">
        <v>4.9734480000000005E-2</v>
      </c>
      <c r="S56" s="304">
        <v>4.5451240000000004E-2</v>
      </c>
      <c r="T56" s="304">
        <v>4.6970900000000003E-2</v>
      </c>
      <c r="U56" s="304">
        <v>5.9160779999999989E-2</v>
      </c>
      <c r="V56" s="304">
        <v>6.1790890000000001E-2</v>
      </c>
      <c r="W56" s="304">
        <v>6.7382960000000006E-2</v>
      </c>
      <c r="X56" s="304">
        <v>5.1429059999999999E-2</v>
      </c>
      <c r="Y56" s="304">
        <v>5.9031200000000006E-2</v>
      </c>
      <c r="Z56" s="304">
        <v>5.1650340000000003E-2</v>
      </c>
      <c r="AA56" s="304">
        <v>5.1656559999999997E-2</v>
      </c>
      <c r="AB56" s="304">
        <v>4.8729069999999999E-2</v>
      </c>
      <c r="AC56" s="304">
        <v>2.9959929999999999E-2</v>
      </c>
      <c r="AD56" s="304">
        <v>2.3738470000000001E-2</v>
      </c>
      <c r="AE56" s="304">
        <v>2.2486679999999998E-2</v>
      </c>
      <c r="AF56" s="304">
        <v>1.5030719999999999E-2</v>
      </c>
      <c r="AG56" s="304">
        <v>4.4183299999999998E-3</v>
      </c>
      <c r="AH56" s="304"/>
    </row>
    <row r="57" spans="1:34" s="294" customFormat="1" ht="6" customHeight="1" x14ac:dyDescent="0.3">
      <c r="A57" s="310"/>
      <c r="B57" s="295"/>
      <c r="C57" s="295"/>
      <c r="D57" s="295"/>
      <c r="E57" s="295"/>
      <c r="F57" s="295"/>
      <c r="G57" s="295"/>
      <c r="H57" s="295"/>
      <c r="I57" s="295"/>
      <c r="J57" s="295"/>
      <c r="K57" s="295"/>
      <c r="L57" s="295"/>
      <c r="M57" s="295"/>
      <c r="N57" s="295"/>
      <c r="O57" s="295"/>
      <c r="P57" s="295"/>
      <c r="Q57" s="295"/>
      <c r="R57" s="295"/>
      <c r="S57" s="295"/>
      <c r="T57" s="295"/>
      <c r="U57" s="295"/>
      <c r="V57" s="295"/>
      <c r="W57" s="295"/>
      <c r="X57" s="295"/>
      <c r="Y57" s="295"/>
      <c r="Z57" s="295"/>
      <c r="AA57" s="295"/>
      <c r="AB57" s="295"/>
      <c r="AC57" s="295"/>
      <c r="AD57" s="295"/>
      <c r="AE57" s="295"/>
      <c r="AF57" s="295"/>
      <c r="AG57" s="295"/>
      <c r="AH57" s="295"/>
    </row>
    <row r="58" spans="1:34" x14ac:dyDescent="0.3">
      <c r="A58" s="310"/>
      <c r="B58" s="283" t="s">
        <v>337</v>
      </c>
      <c r="C58" s="279">
        <f>SUM(E58:AH58)</f>
        <v>5771866.0618802104</v>
      </c>
      <c r="D58" s="283"/>
      <c r="E58" s="284">
        <f>E54+E51</f>
        <v>163015.03667332866</v>
      </c>
      <c r="F58" s="284">
        <f t="shared" ref="F58:AH58" si="21">F54+F51</f>
        <v>192266.62574654975</v>
      </c>
      <c r="G58" s="284">
        <f t="shared" si="21"/>
        <v>180012.81641029526</v>
      </c>
      <c r="H58" s="284">
        <f t="shared" si="21"/>
        <v>178577.04870185963</v>
      </c>
      <c r="I58" s="284">
        <f t="shared" si="21"/>
        <v>181627.90572192468</v>
      </c>
      <c r="J58" s="284">
        <f t="shared" si="21"/>
        <v>178045.00480448725</v>
      </c>
      <c r="K58" s="284">
        <f t="shared" si="21"/>
        <v>160039.58211356227</v>
      </c>
      <c r="L58" s="284">
        <f t="shared" si="21"/>
        <v>176070.09523765766</v>
      </c>
      <c r="M58" s="284">
        <f t="shared" si="21"/>
        <v>170051.95166322286</v>
      </c>
      <c r="N58" s="284">
        <f t="shared" si="21"/>
        <v>170899.31980386417</v>
      </c>
      <c r="O58" s="284">
        <f t="shared" si="21"/>
        <v>201608.75516779377</v>
      </c>
      <c r="P58" s="284">
        <f t="shared" si="21"/>
        <v>209542.0641647818</v>
      </c>
      <c r="Q58" s="284">
        <f t="shared" si="21"/>
        <v>225638.2958475812</v>
      </c>
      <c r="R58" s="284">
        <f t="shared" si="21"/>
        <v>229626.06588841049</v>
      </c>
      <c r="S58" s="284">
        <f t="shared" si="21"/>
        <v>221987.30443974157</v>
      </c>
      <c r="T58" s="284">
        <f t="shared" si="21"/>
        <v>224697.47716484789</v>
      </c>
      <c r="U58" s="284">
        <f t="shared" si="21"/>
        <v>246436.99804341182</v>
      </c>
      <c r="V58" s="284">
        <f t="shared" si="21"/>
        <v>251127.55539573359</v>
      </c>
      <c r="W58" s="284">
        <f t="shared" si="21"/>
        <v>261100.49381017173</v>
      </c>
      <c r="X58" s="284">
        <f t="shared" si="21"/>
        <v>232648.19221700411</v>
      </c>
      <c r="Y58" s="284">
        <f t="shared" si="21"/>
        <v>246205.90412653622</v>
      </c>
      <c r="Z58" s="284">
        <f t="shared" si="21"/>
        <v>233042.82458254084</v>
      </c>
      <c r="AA58" s="284">
        <f t="shared" si="21"/>
        <v>233053.91737589607</v>
      </c>
      <c r="AB58" s="284">
        <f t="shared" si="21"/>
        <v>227833.01036312914</v>
      </c>
      <c r="AC58" s="284">
        <f t="shared" si="21"/>
        <v>194359.98922570283</v>
      </c>
      <c r="AD58" s="284">
        <f t="shared" si="21"/>
        <v>183264.59209585818</v>
      </c>
      <c r="AE58" s="284">
        <f t="shared" si="21"/>
        <v>181032.1406820151</v>
      </c>
      <c r="AF58" s="284">
        <f t="shared" si="21"/>
        <v>26805.895649493592</v>
      </c>
      <c r="AG58" s="284">
        <f t="shared" si="21"/>
        <v>7879.6819397225845</v>
      </c>
      <c r="AH58" s="284">
        <f t="shared" si="21"/>
        <v>183369.51682308596</v>
      </c>
    </row>
    <row r="59" spans="1:34" x14ac:dyDescent="0.3">
      <c r="E59" s="299"/>
    </row>
    <row r="61" spans="1:34" s="270" customFormat="1" x14ac:dyDescent="0.3">
      <c r="B61" s="270" t="s">
        <v>293</v>
      </c>
    </row>
    <row r="63" spans="1:34" x14ac:dyDescent="0.3">
      <c r="C63" s="303" t="s">
        <v>346</v>
      </c>
    </row>
    <row r="64" spans="1:34" x14ac:dyDescent="0.3">
      <c r="A64" s="301">
        <v>1</v>
      </c>
      <c r="B64" s="301" t="s">
        <v>344</v>
      </c>
      <c r="C64" s="302">
        <v>0.04</v>
      </c>
    </row>
    <row r="65" spans="1:3" x14ac:dyDescent="0.3">
      <c r="A65" s="301">
        <v>2</v>
      </c>
      <c r="B65" s="301" t="s">
        <v>345</v>
      </c>
      <c r="C65" s="302">
        <v>0.4</v>
      </c>
    </row>
    <row r="66" spans="1:3" x14ac:dyDescent="0.3">
      <c r="C66" s="300"/>
    </row>
    <row r="67" spans="1:3" x14ac:dyDescent="0.3">
      <c r="B67" s="305" t="s">
        <v>290</v>
      </c>
      <c r="C67" s="306">
        <f>POWER(1 + 10%, 1/12) - 1</f>
        <v>7.9741404289037643E-3</v>
      </c>
    </row>
    <row r="68" spans="1:3" x14ac:dyDescent="0.3">
      <c r="B68" s="305" t="s">
        <v>288</v>
      </c>
      <c r="C68" s="307">
        <v>6.2E-2</v>
      </c>
    </row>
    <row r="70" spans="1:3" x14ac:dyDescent="0.3">
      <c r="B70" s="301" t="s">
        <v>287</v>
      </c>
      <c r="C70" s="308">
        <f>NPV(C67,E52:AH52)</f>
        <v>1179439.6931699961</v>
      </c>
    </row>
    <row r="71" spans="1:3" x14ac:dyDescent="0.3">
      <c r="B71" s="301" t="s">
        <v>276</v>
      </c>
      <c r="C71" s="309">
        <f>NPV(C67,E54:AH54)</f>
        <v>5828250.5960878907</v>
      </c>
    </row>
    <row r="72" spans="1:3" x14ac:dyDescent="0.3">
      <c r="B72" s="301" t="s">
        <v>286</v>
      </c>
      <c r="C72" s="298">
        <f>C70/C71</f>
        <v>0.20236598851148815</v>
      </c>
    </row>
  </sheetData>
  <pageMargins left="0.511811024" right="0.511811024" top="0.78740157499999996" bottom="0.78740157499999996" header="0.31496062000000002" footer="0.31496062000000002"/>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Plan2"/>
  <dimension ref="B2:K101"/>
  <sheetViews>
    <sheetView showGridLines="0" zoomScale="85" zoomScaleNormal="85" workbookViewId="0">
      <pane xSplit="6" ySplit="9" topLeftCell="G10" activePane="bottomRight" state="frozen"/>
      <selection pane="topRight" activeCell="G1" sqref="G1"/>
      <selection pane="bottomLeft" activeCell="A10" sqref="A10"/>
      <selection pane="bottomRight" activeCell="G31" sqref="G31:G33"/>
    </sheetView>
  </sheetViews>
  <sheetFormatPr defaultColWidth="9.109375" defaultRowHeight="13.8" x14ac:dyDescent="0.3"/>
  <cols>
    <col min="1" max="1" width="1.88671875" style="1" customWidth="1"/>
    <col min="2" max="2" width="9.88671875" style="1" bestFit="1" customWidth="1"/>
    <col min="3" max="3" width="44.88671875" style="2" customWidth="1"/>
    <col min="4" max="4" width="0.5546875" style="2" customWidth="1"/>
    <col min="5" max="5" width="13.44140625" style="1" customWidth="1"/>
    <col min="6" max="6" width="0.5546875" style="2" customWidth="1"/>
    <col min="7" max="7" width="17.6640625" style="2" customWidth="1"/>
    <col min="8" max="8" width="0.5546875" style="2" customWidth="1"/>
    <col min="9" max="9" width="17.6640625" style="2" customWidth="1"/>
    <col min="10" max="10" width="0.5546875" style="2" customWidth="1"/>
    <col min="11" max="11" width="85.6640625" style="220" customWidth="1"/>
    <col min="12" max="16384" width="9.109375" style="1"/>
  </cols>
  <sheetData>
    <row r="2" spans="2:11" ht="20.25" customHeight="1" x14ac:dyDescent="0.3">
      <c r="B2" s="386" t="s">
        <v>198</v>
      </c>
      <c r="C2" s="386"/>
      <c r="D2" s="386"/>
      <c r="E2" s="386"/>
      <c r="F2" s="386"/>
      <c r="G2" s="386"/>
      <c r="H2" s="386"/>
      <c r="I2" s="386"/>
      <c r="J2" s="386"/>
      <c r="K2" s="386"/>
    </row>
    <row r="3" spans="2:11" ht="3" customHeight="1" x14ac:dyDescent="0.3">
      <c r="B3" s="386"/>
      <c r="C3" s="386"/>
      <c r="D3" s="386"/>
      <c r="E3" s="386"/>
      <c r="F3" s="386"/>
      <c r="G3" s="386"/>
      <c r="H3" s="386"/>
      <c r="I3" s="386"/>
      <c r="J3" s="386"/>
      <c r="K3" s="386"/>
    </row>
    <row r="4" spans="2:11" ht="20.25" customHeight="1" x14ac:dyDescent="0.3">
      <c r="B4" s="386"/>
      <c r="C4" s="386"/>
      <c r="D4" s="386"/>
      <c r="E4" s="386"/>
      <c r="F4" s="386"/>
      <c r="G4" s="386"/>
      <c r="H4" s="386"/>
      <c r="I4" s="386"/>
      <c r="J4" s="386"/>
      <c r="K4" s="386"/>
    </row>
    <row r="5" spans="2:11" ht="3" customHeight="1" thickBot="1" x14ac:dyDescent="0.35"/>
    <row r="6" spans="2:11" ht="27" customHeight="1" thickBot="1" x14ac:dyDescent="0.35">
      <c r="B6" s="42"/>
      <c r="C6" s="387" t="s">
        <v>45</v>
      </c>
      <c r="D6" s="4"/>
      <c r="E6" s="390" t="s">
        <v>1</v>
      </c>
      <c r="F6" s="4"/>
      <c r="G6" s="393"/>
      <c r="H6" s="394"/>
      <c r="I6" s="394"/>
      <c r="J6" s="394"/>
      <c r="K6" s="395"/>
    </row>
    <row r="7" spans="2:11" ht="16.5" customHeight="1" x14ac:dyDescent="0.3">
      <c r="B7" s="43" t="s">
        <v>0</v>
      </c>
      <c r="C7" s="388"/>
      <c r="D7" s="4"/>
      <c r="E7" s="391"/>
      <c r="F7" s="4"/>
      <c r="G7" s="438" t="s">
        <v>46</v>
      </c>
      <c r="H7" s="4"/>
      <c r="I7" s="438" t="s">
        <v>34</v>
      </c>
      <c r="J7" s="218"/>
      <c r="K7" s="439" t="s">
        <v>33</v>
      </c>
    </row>
    <row r="8" spans="2:11" ht="23.1" customHeight="1" thickBot="1" x14ac:dyDescent="0.35">
      <c r="B8" s="44"/>
      <c r="C8" s="389"/>
      <c r="D8" s="4"/>
      <c r="E8" s="392"/>
      <c r="F8" s="4"/>
      <c r="G8" s="397"/>
      <c r="H8" s="4"/>
      <c r="I8" s="397"/>
      <c r="J8" s="4"/>
      <c r="K8" s="399"/>
    </row>
    <row r="9" spans="2:11" ht="3" customHeight="1" x14ac:dyDescent="0.3">
      <c r="B9" s="5"/>
      <c r="C9" s="6"/>
    </row>
    <row r="10" spans="2:11" ht="29.25" customHeight="1" x14ac:dyDescent="0.3">
      <c r="B10" s="378" t="str">
        <f>'Riscos-PIEMONTE'!B10</f>
        <v>1.</v>
      </c>
      <c r="C10" s="436" t="str">
        <f>'Riscos-PIEMONTE'!C10</f>
        <v>Indefinições de projetos e soluções</v>
      </c>
      <c r="E10" s="383" t="str">
        <f>'Riscos-PIEMONTE'!AS10</f>
        <v>Administrável</v>
      </c>
      <c r="G10" s="241"/>
      <c r="H10" s="18"/>
      <c r="I10" s="429"/>
      <c r="J10" s="18"/>
      <c r="K10" s="230"/>
    </row>
    <row r="11" spans="2:11" ht="29.25" customHeight="1" x14ac:dyDescent="0.3">
      <c r="B11" s="378"/>
      <c r="C11" s="436"/>
      <c r="E11" s="384"/>
      <c r="G11" s="241"/>
      <c r="H11" s="18"/>
      <c r="I11" s="417"/>
      <c r="J11" s="18"/>
      <c r="K11" s="230"/>
    </row>
    <row r="12" spans="2:11" ht="29.25" customHeight="1" x14ac:dyDescent="0.3">
      <c r="B12" s="378"/>
      <c r="C12" s="437"/>
      <c r="E12" s="385"/>
      <c r="G12" s="241"/>
      <c r="H12" s="18"/>
      <c r="I12" s="418"/>
      <c r="J12" s="18"/>
      <c r="K12" s="230"/>
    </row>
    <row r="13" spans="2:11" ht="3" customHeight="1" x14ac:dyDescent="0.3">
      <c r="C13" s="219"/>
      <c r="E13" s="15"/>
      <c r="G13" s="17"/>
      <c r="H13" s="18"/>
      <c r="I13" s="63"/>
      <c r="J13" s="18"/>
      <c r="K13" s="237"/>
    </row>
    <row r="14" spans="2:11" ht="40.5" customHeight="1" x14ac:dyDescent="0.3">
      <c r="B14" s="378" t="str">
        <f>'Riscos-PIEMONTE'!B12</f>
        <v>2.</v>
      </c>
      <c r="C14" s="436" t="str">
        <f>'Riscos-PIEMONTE'!C12</f>
        <v>Obra com controle no sistema de gestão do cliente - SIENGE</v>
      </c>
      <c r="E14" s="383" t="str">
        <f>'Riscos-PIEMONTE'!AS12</f>
        <v>Administrável</v>
      </c>
      <c r="G14" s="427"/>
      <c r="H14" s="18"/>
      <c r="I14" s="417"/>
      <c r="J14" s="18"/>
      <c r="K14" s="230"/>
    </row>
    <row r="15" spans="2:11" ht="40.5" customHeight="1" x14ac:dyDescent="0.3">
      <c r="B15" s="378"/>
      <c r="C15" s="436"/>
      <c r="E15" s="384"/>
      <c r="G15" s="427"/>
      <c r="H15" s="18"/>
      <c r="I15" s="417"/>
      <c r="J15" s="18"/>
      <c r="K15" s="230"/>
    </row>
    <row r="16" spans="2:11" ht="40.5" customHeight="1" x14ac:dyDescent="0.3">
      <c r="B16" s="378"/>
      <c r="C16" s="436"/>
      <c r="E16" s="384"/>
      <c r="G16" s="427"/>
      <c r="H16" s="18"/>
      <c r="I16" s="417"/>
      <c r="J16" s="18"/>
      <c r="K16" s="230"/>
    </row>
    <row r="17" spans="2:11" ht="40.5" customHeight="1" x14ac:dyDescent="0.3">
      <c r="B17" s="378"/>
      <c r="C17" s="437"/>
      <c r="E17" s="385"/>
      <c r="G17" s="428"/>
      <c r="H17" s="18"/>
      <c r="I17" s="418"/>
      <c r="J17" s="18"/>
      <c r="K17" s="230"/>
    </row>
    <row r="18" spans="2:11" ht="3" customHeight="1" x14ac:dyDescent="0.3">
      <c r="C18" s="219"/>
      <c r="E18" s="15"/>
      <c r="G18" s="17"/>
      <c r="H18" s="18"/>
      <c r="I18" s="63"/>
      <c r="J18" s="18"/>
      <c r="K18" s="237"/>
    </row>
    <row r="19" spans="2:11" x14ac:dyDescent="0.3">
      <c r="B19" s="378" t="str">
        <f>'Riscos-PIEMONTE'!B14</f>
        <v>3.</v>
      </c>
      <c r="C19" s="436" t="str">
        <f>'Riscos-PIEMONTE'!C14</f>
        <v>Desorganização estrutura AG7 (monitorar atrasos NFs, etc)</v>
      </c>
      <c r="E19" s="383" t="str">
        <f>'Riscos-PIEMONTE'!AS14</f>
        <v>Administrável</v>
      </c>
      <c r="G19" s="427"/>
      <c r="H19" s="18"/>
      <c r="I19" s="429"/>
      <c r="J19" s="18"/>
      <c r="K19" s="230"/>
    </row>
    <row r="20" spans="2:11" x14ac:dyDescent="0.3">
      <c r="B20" s="378"/>
      <c r="C20" s="436"/>
      <c r="E20" s="384"/>
      <c r="G20" s="427"/>
      <c r="H20" s="18"/>
      <c r="I20" s="417"/>
      <c r="J20" s="18"/>
      <c r="K20" s="230"/>
    </row>
    <row r="21" spans="2:11" x14ac:dyDescent="0.3">
      <c r="B21" s="378"/>
      <c r="C21" s="437"/>
      <c r="E21" s="385"/>
      <c r="G21" s="428"/>
      <c r="H21" s="18"/>
      <c r="I21" s="418"/>
      <c r="J21" s="18"/>
      <c r="K21" s="230"/>
    </row>
    <row r="22" spans="2:11" ht="3" customHeight="1" x14ac:dyDescent="0.3">
      <c r="C22" s="219"/>
      <c r="E22" s="15"/>
      <c r="G22" s="17"/>
      <c r="H22" s="18"/>
      <c r="I22" s="63"/>
      <c r="J22" s="18"/>
      <c r="K22" s="237"/>
    </row>
    <row r="23" spans="2:11" x14ac:dyDescent="0.3">
      <c r="B23" s="378" t="str">
        <f>'Riscos-PIEMONTE'!B16</f>
        <v>4.</v>
      </c>
      <c r="C23" s="436">
        <f>'Riscos-PIEMONTE'!C16</f>
        <v>0</v>
      </c>
      <c r="E23" s="383" t="str">
        <f>'Riscos-PIEMONTE'!AS16</f>
        <v/>
      </c>
      <c r="G23" s="427"/>
      <c r="H23" s="18"/>
      <c r="I23" s="417"/>
      <c r="J23" s="18"/>
      <c r="K23" s="230"/>
    </row>
    <row r="24" spans="2:11" x14ac:dyDescent="0.3">
      <c r="B24" s="378"/>
      <c r="C24" s="436"/>
      <c r="E24" s="384"/>
      <c r="G24" s="427"/>
      <c r="H24" s="18"/>
      <c r="I24" s="417"/>
      <c r="J24" s="18"/>
      <c r="K24" s="230"/>
    </row>
    <row r="25" spans="2:11" ht="33" customHeight="1" x14ac:dyDescent="0.3">
      <c r="B25" s="378"/>
      <c r="C25" s="437"/>
      <c r="E25" s="385"/>
      <c r="G25" s="428"/>
      <c r="H25" s="18"/>
      <c r="I25" s="418"/>
      <c r="J25" s="18"/>
      <c r="K25" s="230"/>
    </row>
    <row r="26" spans="2:11" ht="3" customHeight="1" x14ac:dyDescent="0.3">
      <c r="C26" s="16"/>
      <c r="E26" s="15"/>
      <c r="G26" s="17"/>
      <c r="H26" s="18"/>
      <c r="I26" s="17"/>
      <c r="J26" s="18"/>
      <c r="K26" s="237"/>
    </row>
    <row r="27" spans="2:11" ht="32.25" customHeight="1" x14ac:dyDescent="0.3">
      <c r="B27" s="378" t="str">
        <f>'Riscos-PIEMONTE'!B18</f>
        <v>5.</v>
      </c>
      <c r="C27" s="436">
        <f>'Riscos-PIEMONTE'!C18</f>
        <v>0</v>
      </c>
      <c r="E27" s="383" t="str">
        <f>'Riscos-PIEMONTE'!AS18</f>
        <v/>
      </c>
      <c r="G27" s="427"/>
      <c r="H27" s="18"/>
      <c r="I27" s="427"/>
      <c r="J27" s="18"/>
      <c r="K27" s="230"/>
    </row>
    <row r="28" spans="2:11" ht="32.25" customHeight="1" x14ac:dyDescent="0.3">
      <c r="B28" s="378"/>
      <c r="C28" s="436"/>
      <c r="E28" s="384"/>
      <c r="G28" s="427"/>
      <c r="H28" s="18"/>
      <c r="I28" s="427"/>
      <c r="J28" s="18"/>
      <c r="K28" s="230"/>
    </row>
    <row r="29" spans="2:11" x14ac:dyDescent="0.3">
      <c r="B29" s="378"/>
      <c r="C29" s="437"/>
      <c r="E29" s="385"/>
      <c r="G29" s="428"/>
      <c r="H29" s="18"/>
      <c r="I29" s="428"/>
      <c r="J29" s="18"/>
      <c r="K29" s="230"/>
    </row>
    <row r="30" spans="2:11" ht="3" customHeight="1" x14ac:dyDescent="0.3">
      <c r="C30" s="16"/>
      <c r="E30" s="15"/>
      <c r="G30" s="17"/>
      <c r="H30" s="18"/>
      <c r="I30" s="17"/>
      <c r="J30" s="18"/>
      <c r="K30" s="237"/>
    </row>
    <row r="31" spans="2:11" ht="40.5" customHeight="1" x14ac:dyDescent="0.3">
      <c r="B31" s="378" t="str">
        <f>'Riscos-PIEMONTE'!B20</f>
        <v>6.</v>
      </c>
      <c r="C31" s="436">
        <f>'Riscos-PIEMONTE'!C20</f>
        <v>0</v>
      </c>
      <c r="E31" s="383" t="str">
        <f>'Riscos-PIEMONTE'!AS20</f>
        <v/>
      </c>
      <c r="G31" s="427"/>
      <c r="H31" s="18"/>
      <c r="I31" s="427"/>
      <c r="J31" s="18"/>
      <c r="K31" s="230"/>
    </row>
    <row r="32" spans="2:11" ht="40.5" customHeight="1" x14ac:dyDescent="0.3">
      <c r="B32" s="378"/>
      <c r="C32" s="436"/>
      <c r="E32" s="384"/>
      <c r="G32" s="427"/>
      <c r="H32" s="18"/>
      <c r="I32" s="427"/>
      <c r="J32" s="18"/>
      <c r="K32" s="230"/>
    </row>
    <row r="33" spans="2:11" ht="40.5" customHeight="1" x14ac:dyDescent="0.3">
      <c r="B33" s="378"/>
      <c r="C33" s="437"/>
      <c r="E33" s="385"/>
      <c r="G33" s="428"/>
      <c r="H33" s="18"/>
      <c r="I33" s="428"/>
      <c r="J33" s="18"/>
      <c r="K33" s="230"/>
    </row>
    <row r="34" spans="2:11" ht="3" customHeight="1" x14ac:dyDescent="0.3">
      <c r="C34" s="16"/>
      <c r="E34" s="15"/>
      <c r="G34" s="17"/>
      <c r="H34" s="18"/>
      <c r="I34" s="17"/>
      <c r="J34" s="18"/>
      <c r="K34" s="237"/>
    </row>
    <row r="35" spans="2:11" ht="14.25" customHeight="1" x14ac:dyDescent="0.3">
      <c r="B35" s="378" t="str">
        <f>'Riscos-PIEMONTE'!B22</f>
        <v>7.</v>
      </c>
      <c r="C35" s="436">
        <f>'Riscos-PIEMONTE'!C22</f>
        <v>0</v>
      </c>
      <c r="E35" s="383" t="str">
        <f>'Riscos-PIEMONTE'!AS22</f>
        <v>Administrável</v>
      </c>
      <c r="G35" s="241"/>
      <c r="H35" s="18"/>
      <c r="I35" s="429"/>
      <c r="J35" s="18"/>
      <c r="K35" s="230"/>
    </row>
    <row r="36" spans="2:11" x14ac:dyDescent="0.3">
      <c r="B36" s="378"/>
      <c r="C36" s="436"/>
      <c r="E36" s="384"/>
      <c r="G36" s="241"/>
      <c r="H36" s="18"/>
      <c r="I36" s="417"/>
      <c r="J36" s="18"/>
      <c r="K36" s="230"/>
    </row>
    <row r="37" spans="2:11" x14ac:dyDescent="0.3">
      <c r="B37" s="378"/>
      <c r="C37" s="437"/>
      <c r="E37" s="385"/>
      <c r="G37" s="241"/>
      <c r="H37" s="18"/>
      <c r="I37" s="418"/>
      <c r="J37" s="18"/>
      <c r="K37" s="230"/>
    </row>
    <row r="38" spans="2:11" ht="3" customHeight="1" x14ac:dyDescent="0.3">
      <c r="C38" s="16"/>
      <c r="E38" s="15"/>
      <c r="G38" s="17"/>
      <c r="H38" s="18"/>
      <c r="I38" s="17"/>
      <c r="J38" s="18"/>
      <c r="K38" s="237"/>
    </row>
    <row r="39" spans="2:11" ht="14.25" customHeight="1" x14ac:dyDescent="0.3">
      <c r="B39" s="378" t="str">
        <f>'Riscos-PIEMONTE'!B24</f>
        <v>8.</v>
      </c>
      <c r="C39" s="436">
        <f>'Riscos-PIEMONTE'!C24</f>
        <v>0</v>
      </c>
      <c r="E39" s="383" t="str">
        <f>'Riscos-PIEMONTE'!AS24</f>
        <v/>
      </c>
      <c r="G39" s="241"/>
      <c r="H39" s="18"/>
      <c r="I39" s="429"/>
      <c r="J39" s="223"/>
      <c r="K39" s="224"/>
    </row>
    <row r="40" spans="2:11" ht="14.25" customHeight="1" x14ac:dyDescent="0.3">
      <c r="B40" s="378"/>
      <c r="C40" s="436"/>
      <c r="E40" s="384"/>
      <c r="G40" s="241"/>
      <c r="H40" s="18"/>
      <c r="I40" s="417"/>
      <c r="J40" s="225"/>
      <c r="K40" s="226"/>
    </row>
    <row r="41" spans="2:11" ht="14.25" customHeight="1" x14ac:dyDescent="0.3">
      <c r="B41" s="378"/>
      <c r="C41" s="437"/>
      <c r="E41" s="385"/>
      <c r="G41" s="241"/>
      <c r="H41" s="18"/>
      <c r="I41" s="418"/>
      <c r="J41" s="227"/>
      <c r="K41" s="228"/>
    </row>
    <row r="42" spans="2:11" ht="3" customHeight="1" x14ac:dyDescent="0.3">
      <c r="C42" s="16"/>
      <c r="E42" s="15"/>
      <c r="G42" s="17"/>
      <c r="H42" s="18"/>
      <c r="I42" s="17"/>
      <c r="J42" s="18"/>
      <c r="K42" s="237"/>
    </row>
    <row r="43" spans="2:11" ht="14.25" customHeight="1" x14ac:dyDescent="0.3">
      <c r="B43" s="378" t="str">
        <f>'Riscos-PIEMONTE'!B26</f>
        <v>9.</v>
      </c>
      <c r="C43" s="436">
        <f>'Riscos-PIEMONTE'!C26</f>
        <v>0</v>
      </c>
      <c r="E43" s="383" t="str">
        <f>'Riscos-PIEMONTE'!AS26</f>
        <v/>
      </c>
      <c r="G43" s="241"/>
      <c r="H43" s="18"/>
      <c r="I43" s="429"/>
      <c r="J43" s="199"/>
      <c r="K43" s="229"/>
    </row>
    <row r="44" spans="2:11" ht="14.25" customHeight="1" x14ac:dyDescent="0.3">
      <c r="B44" s="378"/>
      <c r="C44" s="436"/>
      <c r="E44" s="384"/>
      <c r="G44" s="241"/>
      <c r="H44" s="18"/>
      <c r="I44" s="417"/>
      <c r="J44" s="18"/>
      <c r="K44" s="229"/>
    </row>
    <row r="45" spans="2:11" ht="14.25" customHeight="1" x14ac:dyDescent="0.3">
      <c r="B45" s="378"/>
      <c r="C45" s="437"/>
      <c r="E45" s="385"/>
      <c r="G45" s="241"/>
      <c r="H45" s="18"/>
      <c r="I45" s="418"/>
      <c r="J45" s="200"/>
      <c r="K45" s="229"/>
    </row>
    <row r="46" spans="2:11" ht="3" customHeight="1" x14ac:dyDescent="0.3">
      <c r="C46" s="16"/>
      <c r="E46" s="15"/>
      <c r="G46" s="17"/>
      <c r="H46" s="18"/>
      <c r="I46" s="17"/>
      <c r="J46" s="18"/>
      <c r="K46" s="237"/>
    </row>
    <row r="47" spans="2:11" ht="14.25" customHeight="1" x14ac:dyDescent="0.3">
      <c r="B47" s="378" t="str">
        <f>'Riscos-PIEMONTE'!B28</f>
        <v>10.</v>
      </c>
      <c r="C47" s="436">
        <f>'Riscos-PIEMONTE'!C28</f>
        <v>0</v>
      </c>
      <c r="E47" s="383" t="str">
        <f>'Riscos-PIEMONTE'!AS28</f>
        <v/>
      </c>
      <c r="G47" s="241"/>
      <c r="H47" s="18"/>
      <c r="I47" s="429"/>
      <c r="J47" s="223"/>
      <c r="K47" s="229"/>
    </row>
    <row r="48" spans="2:11" ht="14.25" customHeight="1" x14ac:dyDescent="0.3">
      <c r="B48" s="378"/>
      <c r="C48" s="436"/>
      <c r="E48" s="384"/>
      <c r="G48" s="241"/>
      <c r="H48" s="18"/>
      <c r="I48" s="417"/>
      <c r="J48" s="225"/>
      <c r="K48" s="229"/>
    </row>
    <row r="49" spans="2:11" ht="26.25" customHeight="1" x14ac:dyDescent="0.3">
      <c r="B49" s="378"/>
      <c r="C49" s="436"/>
      <c r="E49" s="384"/>
      <c r="G49" s="241"/>
      <c r="H49" s="18"/>
      <c r="I49" s="417"/>
      <c r="J49" s="225"/>
      <c r="K49" s="229"/>
    </row>
    <row r="50" spans="2:11" x14ac:dyDescent="0.3">
      <c r="B50" s="378"/>
      <c r="C50" s="436"/>
      <c r="E50" s="384"/>
      <c r="G50" s="241"/>
      <c r="H50" s="18"/>
      <c r="I50" s="417"/>
      <c r="J50" s="225"/>
      <c r="K50" s="229"/>
    </row>
    <row r="51" spans="2:11" ht="3" customHeight="1" x14ac:dyDescent="0.3">
      <c r="C51" s="16"/>
      <c r="E51" s="15"/>
      <c r="G51" s="17"/>
      <c r="H51" s="18"/>
      <c r="I51" s="418"/>
      <c r="J51" s="227"/>
      <c r="K51" s="229"/>
    </row>
    <row r="52" spans="2:11" ht="25.5" customHeight="1" x14ac:dyDescent="0.3">
      <c r="B52" s="378" t="str">
        <f>'Riscos-PIEMONTE'!B30</f>
        <v>11.</v>
      </c>
      <c r="C52" s="436">
        <f>'Riscos-PIEMONTE'!C30</f>
        <v>0</v>
      </c>
      <c r="E52" s="383" t="str">
        <f>'Riscos-PIEMONTE'!AS30</f>
        <v/>
      </c>
      <c r="G52" s="241"/>
      <c r="H52" s="18"/>
      <c r="I52" s="429"/>
      <c r="J52" s="18"/>
      <c r="K52" s="230"/>
    </row>
    <row r="53" spans="2:11" ht="14.25" customHeight="1" x14ac:dyDescent="0.3">
      <c r="B53" s="378"/>
      <c r="C53" s="436"/>
      <c r="E53" s="384"/>
      <c r="G53" s="243"/>
      <c r="H53" s="18"/>
      <c r="I53" s="417"/>
      <c r="J53" s="18"/>
      <c r="K53" s="230"/>
    </row>
    <row r="54" spans="2:11" ht="25.5" customHeight="1" x14ac:dyDescent="0.3">
      <c r="B54" s="378"/>
      <c r="C54" s="437"/>
      <c r="E54" s="384"/>
      <c r="G54" s="241"/>
      <c r="H54" s="18"/>
      <c r="I54" s="418"/>
      <c r="J54" s="18"/>
      <c r="K54" s="230"/>
    </row>
    <row r="55" spans="2:11" ht="3" customHeight="1" x14ac:dyDescent="0.3">
      <c r="C55" s="16"/>
      <c r="E55" s="15"/>
      <c r="G55" s="17"/>
      <c r="H55" s="18"/>
      <c r="I55" s="17"/>
      <c r="J55" s="18"/>
      <c r="K55" s="237"/>
    </row>
    <row r="56" spans="2:11" ht="14.25" customHeight="1" x14ac:dyDescent="0.3">
      <c r="B56" s="378" t="str">
        <f>'Riscos-PIEMONTE'!B32</f>
        <v>12.</v>
      </c>
      <c r="C56" s="436">
        <f>'Riscos-PIEMONTE'!C32</f>
        <v>0</v>
      </c>
      <c r="E56" s="383" t="str">
        <f>'Riscos-PIEMONTE'!AS32</f>
        <v/>
      </c>
      <c r="G56" s="241"/>
      <c r="H56" s="18"/>
      <c r="I56" s="429"/>
      <c r="J56" s="18"/>
      <c r="K56" s="230"/>
    </row>
    <row r="57" spans="2:11" ht="14.25" customHeight="1" x14ac:dyDescent="0.3">
      <c r="B57" s="378"/>
      <c r="C57" s="436"/>
      <c r="E57" s="384"/>
      <c r="G57" s="241"/>
      <c r="H57" s="18"/>
      <c r="I57" s="417"/>
      <c r="J57" s="18"/>
      <c r="K57" s="230"/>
    </row>
    <row r="58" spans="2:11" x14ac:dyDescent="0.3">
      <c r="B58" s="378"/>
      <c r="C58" s="437"/>
      <c r="E58" s="384"/>
      <c r="G58" s="241"/>
      <c r="H58" s="18"/>
      <c r="I58" s="418"/>
      <c r="J58" s="18"/>
      <c r="K58" s="230"/>
    </row>
    <row r="59" spans="2:11" ht="3" customHeight="1" x14ac:dyDescent="0.3">
      <c r="C59" s="231"/>
      <c r="E59" s="15"/>
      <c r="G59" s="17"/>
      <c r="H59" s="18"/>
      <c r="I59" s="17"/>
      <c r="J59" s="18"/>
      <c r="K59" s="237"/>
    </row>
    <row r="60" spans="2:11" x14ac:dyDescent="0.3">
      <c r="B60" s="378" t="str">
        <f>'Riscos-PIEMONTE'!B34</f>
        <v>13.</v>
      </c>
      <c r="C60" s="430">
        <f>'Riscos-PIEMONTE'!C34</f>
        <v>0</v>
      </c>
      <c r="E60" s="383" t="str">
        <f>'Riscos-PIEMONTE'!AS34</f>
        <v/>
      </c>
      <c r="G60" s="244"/>
      <c r="H60" s="18"/>
      <c r="I60" s="429"/>
      <c r="J60" s="18"/>
      <c r="K60" s="230"/>
    </row>
    <row r="61" spans="2:11" x14ac:dyDescent="0.3">
      <c r="B61" s="378"/>
      <c r="C61" s="430"/>
      <c r="E61" s="384"/>
      <c r="G61" s="244"/>
      <c r="H61" s="18"/>
      <c r="I61" s="417"/>
      <c r="J61" s="18"/>
      <c r="K61" s="230"/>
    </row>
    <row r="62" spans="2:11" x14ac:dyDescent="0.3">
      <c r="B62" s="378"/>
      <c r="C62" s="430"/>
      <c r="E62" s="384"/>
      <c r="G62" s="244"/>
      <c r="H62" s="18"/>
      <c r="I62" s="417"/>
      <c r="J62" s="18"/>
      <c r="K62" s="230"/>
    </row>
    <row r="63" spans="2:11" x14ac:dyDescent="0.3">
      <c r="B63" s="378"/>
      <c r="C63" s="430"/>
      <c r="E63" s="384"/>
      <c r="G63" s="244"/>
      <c r="H63" s="18"/>
      <c r="I63" s="417"/>
      <c r="J63" s="18"/>
      <c r="K63" s="230"/>
    </row>
    <row r="64" spans="2:11" x14ac:dyDescent="0.3">
      <c r="B64" s="378"/>
      <c r="C64" s="431"/>
      <c r="E64" s="384"/>
      <c r="G64" s="241"/>
      <c r="H64" s="18"/>
      <c r="I64" s="418"/>
      <c r="J64" s="18"/>
      <c r="K64" s="230"/>
    </row>
    <row r="65" spans="2:11" ht="3" customHeight="1" x14ac:dyDescent="0.3">
      <c r="C65" s="16"/>
      <c r="E65" s="15"/>
      <c r="G65" s="17"/>
      <c r="H65" s="18"/>
      <c r="I65" s="17"/>
      <c r="J65" s="18"/>
      <c r="K65" s="237"/>
    </row>
    <row r="66" spans="2:11" ht="28.5" customHeight="1" x14ac:dyDescent="0.3">
      <c r="B66" s="378" t="str">
        <f>'Riscos-PIEMONTE'!B36</f>
        <v>14.</v>
      </c>
      <c r="C66" s="430">
        <f>'Riscos-PIEMONTE'!C36</f>
        <v>0</v>
      </c>
      <c r="E66" s="383" t="str">
        <f>'Riscos-PIEMONTE'!AS36</f>
        <v/>
      </c>
      <c r="G66" s="241"/>
      <c r="H66" s="18"/>
      <c r="I66" s="429"/>
      <c r="J66" s="18"/>
      <c r="K66" s="230"/>
    </row>
    <row r="67" spans="2:11" ht="14.25" customHeight="1" x14ac:dyDescent="0.3">
      <c r="B67" s="378"/>
      <c r="C67" s="430"/>
      <c r="E67" s="384"/>
      <c r="G67" s="241"/>
      <c r="H67" s="18"/>
      <c r="I67" s="417"/>
      <c r="J67" s="18"/>
      <c r="K67" s="230"/>
    </row>
    <row r="68" spans="2:11" x14ac:dyDescent="0.3">
      <c r="B68" s="378"/>
      <c r="C68" s="431"/>
      <c r="E68" s="384"/>
      <c r="G68" s="241"/>
      <c r="H68" s="18"/>
      <c r="I68" s="418"/>
      <c r="J68" s="18"/>
      <c r="K68" s="230"/>
    </row>
    <row r="69" spans="2:11" ht="3" customHeight="1" x14ac:dyDescent="0.3">
      <c r="C69" s="16"/>
      <c r="E69" s="15"/>
      <c r="G69" s="17"/>
      <c r="H69" s="18"/>
      <c r="I69" s="17"/>
      <c r="J69" s="18"/>
      <c r="K69" s="237"/>
    </row>
    <row r="70" spans="2:11" x14ac:dyDescent="0.3">
      <c r="B70" s="378" t="str">
        <f>'Riscos-PIEMONTE'!B38</f>
        <v>15.</v>
      </c>
      <c r="C70" s="430">
        <f>'Riscos-PIEMONTE'!C38</f>
        <v>0</v>
      </c>
      <c r="E70" s="383" t="str">
        <f>'Riscos-PIEMONTE'!AS38</f>
        <v/>
      </c>
      <c r="G70" s="241"/>
      <c r="H70" s="18"/>
      <c r="I70" s="429"/>
      <c r="J70" s="225"/>
      <c r="K70" s="230"/>
    </row>
    <row r="71" spans="2:11" x14ac:dyDescent="0.3">
      <c r="B71" s="378"/>
      <c r="C71" s="430"/>
      <c r="E71" s="435"/>
      <c r="G71" s="241"/>
      <c r="H71" s="18"/>
      <c r="I71" s="417"/>
      <c r="J71" s="225"/>
      <c r="K71" s="230"/>
    </row>
    <row r="72" spans="2:11" x14ac:dyDescent="0.3">
      <c r="B72" s="378"/>
      <c r="C72" s="430"/>
      <c r="E72" s="435"/>
      <c r="G72" s="241"/>
      <c r="H72" s="18"/>
      <c r="I72" s="417"/>
      <c r="J72" s="225"/>
      <c r="K72" s="230"/>
    </row>
    <row r="73" spans="2:11" x14ac:dyDescent="0.3">
      <c r="B73" s="378"/>
      <c r="C73" s="430"/>
      <c r="E73" s="384"/>
      <c r="G73" s="241"/>
      <c r="H73" s="18"/>
      <c r="I73" s="417"/>
      <c r="J73" s="225"/>
      <c r="K73" s="230"/>
    </row>
    <row r="74" spans="2:11" x14ac:dyDescent="0.3">
      <c r="B74" s="378"/>
      <c r="C74" s="431"/>
      <c r="E74" s="384"/>
      <c r="G74" s="241"/>
      <c r="H74" s="18"/>
      <c r="I74" s="418"/>
      <c r="J74" s="225"/>
      <c r="K74" s="230"/>
    </row>
    <row r="75" spans="2:11" ht="3" customHeight="1" x14ac:dyDescent="0.3">
      <c r="C75" s="16"/>
      <c r="E75" s="15"/>
      <c r="G75" s="17"/>
      <c r="H75" s="18"/>
      <c r="I75" s="17"/>
      <c r="J75" s="18"/>
      <c r="K75" s="237"/>
    </row>
    <row r="76" spans="2:11" ht="14.25" customHeight="1" x14ac:dyDescent="0.3">
      <c r="B76" s="378" t="str">
        <f>'Riscos-PIEMONTE'!B40</f>
        <v>16.</v>
      </c>
      <c r="C76" s="430">
        <f>'Riscos-PIEMONTE'!C40</f>
        <v>0</v>
      </c>
      <c r="E76" s="383" t="str">
        <f>'Riscos-PIEMONTE'!AS40</f>
        <v/>
      </c>
      <c r="G76" s="427"/>
      <c r="H76" s="18"/>
      <c r="I76" s="429"/>
      <c r="J76" s="18"/>
      <c r="K76" s="230"/>
    </row>
    <row r="77" spans="2:11" ht="14.25" customHeight="1" x14ac:dyDescent="0.3">
      <c r="B77" s="378"/>
      <c r="C77" s="430"/>
      <c r="E77" s="384"/>
      <c r="G77" s="427"/>
      <c r="H77" s="18"/>
      <c r="I77" s="417"/>
      <c r="J77" s="18"/>
      <c r="K77" s="230"/>
    </row>
    <row r="78" spans="2:11" ht="14.25" customHeight="1" x14ac:dyDescent="0.3">
      <c r="B78" s="378"/>
      <c r="C78" s="431"/>
      <c r="E78" s="384"/>
      <c r="G78" s="428"/>
      <c r="H78" s="18"/>
      <c r="I78" s="418"/>
      <c r="J78" s="18"/>
      <c r="K78" s="230"/>
    </row>
    <row r="79" spans="2:11" ht="3.75" customHeight="1" x14ac:dyDescent="0.3">
      <c r="K79" s="238"/>
    </row>
    <row r="80" spans="2:11" ht="14.25" customHeight="1" x14ac:dyDescent="0.3">
      <c r="B80" s="378" t="str">
        <f>'Riscos-PIEMONTE'!B42</f>
        <v>17.</v>
      </c>
      <c r="C80" s="430">
        <f>'Riscos-PIEMONTE'!C42</f>
        <v>0</v>
      </c>
      <c r="E80" s="383" t="str">
        <f>'Riscos-PIEMONTE'!AS42</f>
        <v/>
      </c>
      <c r="G80" s="427"/>
      <c r="H80" s="18"/>
      <c r="I80" s="429"/>
      <c r="J80" s="18"/>
      <c r="K80" s="230"/>
    </row>
    <row r="81" spans="2:11" ht="14.25" customHeight="1" x14ac:dyDescent="0.3">
      <c r="B81" s="378"/>
      <c r="C81" s="430"/>
      <c r="E81" s="384"/>
      <c r="G81" s="427"/>
      <c r="H81" s="18"/>
      <c r="I81" s="417"/>
      <c r="J81" s="18"/>
      <c r="K81" s="230"/>
    </row>
    <row r="82" spans="2:11" ht="14.25" customHeight="1" x14ac:dyDescent="0.3">
      <c r="B82" s="378"/>
      <c r="C82" s="431"/>
      <c r="E82" s="384"/>
      <c r="G82" s="428"/>
      <c r="H82" s="18"/>
      <c r="I82" s="418"/>
      <c r="J82" s="18"/>
      <c r="K82" s="230"/>
    </row>
    <row r="83" spans="2:11" ht="3" customHeight="1" x14ac:dyDescent="0.3">
      <c r="K83" s="238"/>
    </row>
    <row r="84" spans="2:11" ht="3" customHeight="1" x14ac:dyDescent="0.3">
      <c r="K84" s="238"/>
    </row>
    <row r="85" spans="2:11" ht="14.25" customHeight="1" x14ac:dyDescent="0.3">
      <c r="B85" s="378" t="str">
        <f>'Riscos-PIEMONTE'!B46</f>
        <v>19.</v>
      </c>
      <c r="C85" s="430">
        <f>'Riscos-PIEMONTE'!C46</f>
        <v>0</v>
      </c>
      <c r="E85" s="383" t="str">
        <f>'Riscos-PIEMONTE'!AS46</f>
        <v/>
      </c>
      <c r="G85" s="427"/>
      <c r="H85" s="18"/>
      <c r="I85" s="429"/>
      <c r="J85" s="18"/>
      <c r="K85" s="230"/>
    </row>
    <row r="86" spans="2:11" ht="14.25" customHeight="1" x14ac:dyDescent="0.3">
      <c r="B86" s="378"/>
      <c r="C86" s="430"/>
      <c r="E86" s="384"/>
      <c r="G86" s="427"/>
      <c r="H86" s="18"/>
      <c r="I86" s="417"/>
      <c r="J86" s="18"/>
      <c r="K86" s="230"/>
    </row>
    <row r="87" spans="2:11" ht="14.25" customHeight="1" x14ac:dyDescent="0.3">
      <c r="B87" s="378"/>
      <c r="C87" s="431"/>
      <c r="E87" s="384"/>
      <c r="G87" s="428"/>
      <c r="H87" s="18"/>
      <c r="I87" s="418"/>
      <c r="J87" s="18"/>
      <c r="K87" s="230"/>
    </row>
    <row r="88" spans="2:11" ht="3.75" customHeight="1" x14ac:dyDescent="0.3">
      <c r="K88" s="238"/>
    </row>
    <row r="89" spans="2:11" x14ac:dyDescent="0.3">
      <c r="B89" s="378" t="str">
        <f>'Riscos-PIEMONTE'!B48</f>
        <v>20.</v>
      </c>
      <c r="C89" s="430">
        <f>'Riscos-PIEMONTE'!C48</f>
        <v>0</v>
      </c>
      <c r="E89" s="433" t="str">
        <f>'Riscos-PIEMONTE'!AS48</f>
        <v/>
      </c>
      <c r="G89" s="427"/>
      <c r="H89" s="18"/>
      <c r="I89" s="429"/>
      <c r="J89" s="18"/>
      <c r="K89" s="230"/>
    </row>
    <row r="90" spans="2:11" x14ac:dyDescent="0.3">
      <c r="B90" s="378"/>
      <c r="C90" s="430"/>
      <c r="E90" s="433"/>
      <c r="G90" s="427"/>
      <c r="H90" s="18"/>
      <c r="I90" s="417"/>
      <c r="J90" s="18"/>
      <c r="K90" s="230"/>
    </row>
    <row r="91" spans="2:11" x14ac:dyDescent="0.3">
      <c r="B91" s="378"/>
      <c r="C91" s="431"/>
      <c r="E91" s="434"/>
      <c r="G91" s="428"/>
      <c r="H91" s="18"/>
      <c r="I91" s="418"/>
      <c r="J91" s="18"/>
      <c r="K91" s="230"/>
    </row>
    <row r="92" spans="2:11" ht="3.75" customHeight="1" x14ac:dyDescent="0.3">
      <c r="K92" s="238"/>
    </row>
    <row r="93" spans="2:11" x14ac:dyDescent="0.3">
      <c r="B93" s="378" t="str">
        <f>'Riscos-PIEMONTE'!B50</f>
        <v>21.</v>
      </c>
      <c r="C93" s="430">
        <f>'Riscos-PIEMONTE'!C50</f>
        <v>0</v>
      </c>
      <c r="E93" s="432" t="str">
        <f>'Riscos-PIEMONTE'!AS50</f>
        <v/>
      </c>
      <c r="G93" s="427"/>
      <c r="H93" s="18"/>
      <c r="I93" s="427"/>
      <c r="J93" s="18"/>
      <c r="K93" s="239"/>
    </row>
    <row r="94" spans="2:11" ht="14.25" customHeight="1" x14ac:dyDescent="0.3">
      <c r="B94" s="378"/>
      <c r="C94" s="430"/>
      <c r="E94" s="432"/>
      <c r="G94" s="419"/>
      <c r="H94" s="18"/>
      <c r="I94" s="427"/>
      <c r="J94" s="18"/>
      <c r="K94" s="240"/>
    </row>
    <row r="95" spans="2:11" ht="14.25" customHeight="1" x14ac:dyDescent="0.3">
      <c r="B95" s="378"/>
      <c r="C95" s="430"/>
      <c r="E95" s="432"/>
      <c r="G95" s="419"/>
      <c r="H95" s="18"/>
      <c r="I95" s="427"/>
      <c r="J95" s="18"/>
      <c r="K95" s="240"/>
    </row>
    <row r="96" spans="2:11" ht="14.25" customHeight="1" x14ac:dyDescent="0.3">
      <c r="B96" s="378"/>
      <c r="C96" s="430"/>
      <c r="E96" s="432"/>
      <c r="G96" s="420"/>
      <c r="H96" s="18"/>
      <c r="I96" s="428"/>
      <c r="J96" s="18"/>
      <c r="K96" s="233"/>
    </row>
    <row r="97" spans="2:11" ht="3.75" customHeight="1" x14ac:dyDescent="0.3">
      <c r="C97" s="232"/>
      <c r="G97" s="242"/>
      <c r="K97" s="238"/>
    </row>
    <row r="98" spans="2:11" x14ac:dyDescent="0.3">
      <c r="B98" s="378" t="s">
        <v>238</v>
      </c>
      <c r="C98" s="430">
        <f>'Riscos-PIEMONTE'!C52</f>
        <v>0</v>
      </c>
      <c r="E98" s="432" t="str">
        <f>'Riscos-PIEMONTE'!AS52</f>
        <v/>
      </c>
      <c r="G98" s="427"/>
      <c r="H98" s="18"/>
      <c r="I98" s="427"/>
      <c r="J98" s="18"/>
      <c r="K98" s="239"/>
    </row>
    <row r="99" spans="2:11" x14ac:dyDescent="0.3">
      <c r="B99" s="378"/>
      <c r="C99" s="430"/>
      <c r="E99" s="432"/>
      <c r="G99" s="419"/>
      <c r="H99" s="18"/>
      <c r="I99" s="427"/>
      <c r="J99" s="18"/>
      <c r="K99" s="240"/>
    </row>
    <row r="100" spans="2:11" x14ac:dyDescent="0.3">
      <c r="B100" s="378"/>
      <c r="C100" s="430"/>
      <c r="E100" s="432"/>
      <c r="G100" s="419"/>
      <c r="H100" s="18"/>
      <c r="I100" s="427"/>
      <c r="J100" s="18"/>
      <c r="K100" s="240"/>
    </row>
    <row r="101" spans="2:11" x14ac:dyDescent="0.3">
      <c r="B101" s="378"/>
      <c r="C101" s="431"/>
      <c r="E101" s="432"/>
      <c r="G101" s="420"/>
      <c r="H101" s="18"/>
      <c r="I101" s="428"/>
      <c r="J101" s="18"/>
      <c r="K101" s="240"/>
    </row>
  </sheetData>
  <sheetProtection formatCells="0" formatColumns="0" formatRows="0" selectLockedCells="1" sort="0" autoFilter="0" pivotTables="0"/>
  <mergeCells count="102">
    <mergeCell ref="G31:G33"/>
    <mergeCell ref="G93:G96"/>
    <mergeCell ref="G98:G101"/>
    <mergeCell ref="B14:B17"/>
    <mergeCell ref="C14:C17"/>
    <mergeCell ref="E14:E17"/>
    <mergeCell ref="B31:B33"/>
    <mergeCell ref="C31:C33"/>
    <mergeCell ref="E31:E33"/>
    <mergeCell ref="B27:B29"/>
    <mergeCell ref="C27:C29"/>
    <mergeCell ref="E27:E29"/>
    <mergeCell ref="B19:B21"/>
    <mergeCell ref="C19:C21"/>
    <mergeCell ref="B52:B54"/>
    <mergeCell ref="C52:C54"/>
    <mergeCell ref="E52:E54"/>
    <mergeCell ref="B56:B58"/>
    <mergeCell ref="C56:C58"/>
    <mergeCell ref="E56:E58"/>
    <mergeCell ref="E19:E21"/>
    <mergeCell ref="B23:B25"/>
    <mergeCell ref="C23:C25"/>
    <mergeCell ref="E23:E25"/>
    <mergeCell ref="I7:I8"/>
    <mergeCell ref="C6:C8"/>
    <mergeCell ref="B2:K4"/>
    <mergeCell ref="K7:K8"/>
    <mergeCell ref="E10:E12"/>
    <mergeCell ref="G6:K6"/>
    <mergeCell ref="G7:G8"/>
    <mergeCell ref="E6:E8"/>
    <mergeCell ref="I10:I12"/>
    <mergeCell ref="C10:C12"/>
    <mergeCell ref="B10:B12"/>
    <mergeCell ref="B47:B50"/>
    <mergeCell ref="C47:C50"/>
    <mergeCell ref="E47:E50"/>
    <mergeCell ref="B35:B37"/>
    <mergeCell ref="C35:C37"/>
    <mergeCell ref="E35:E37"/>
    <mergeCell ref="B39:B41"/>
    <mergeCell ref="C39:C41"/>
    <mergeCell ref="E39:E41"/>
    <mergeCell ref="B43:B45"/>
    <mergeCell ref="C43:C45"/>
    <mergeCell ref="E43:E45"/>
    <mergeCell ref="B70:B74"/>
    <mergeCell ref="C70:C74"/>
    <mergeCell ref="E70:E74"/>
    <mergeCell ref="B60:B64"/>
    <mergeCell ref="C60:C64"/>
    <mergeCell ref="E60:E64"/>
    <mergeCell ref="B66:B68"/>
    <mergeCell ref="C66:C68"/>
    <mergeCell ref="E66:E68"/>
    <mergeCell ref="B85:B87"/>
    <mergeCell ref="C85:C87"/>
    <mergeCell ref="E85:E87"/>
    <mergeCell ref="B76:B78"/>
    <mergeCell ref="C76:C78"/>
    <mergeCell ref="E76:E78"/>
    <mergeCell ref="B80:B82"/>
    <mergeCell ref="C80:C82"/>
    <mergeCell ref="E80:E82"/>
    <mergeCell ref="I93:I96"/>
    <mergeCell ref="I98:I101"/>
    <mergeCell ref="B98:B101"/>
    <mergeCell ref="C98:C101"/>
    <mergeCell ref="E98:E101"/>
    <mergeCell ref="B89:B91"/>
    <mergeCell ref="C89:C91"/>
    <mergeCell ref="E89:E91"/>
    <mergeCell ref="B93:B96"/>
    <mergeCell ref="C93:C96"/>
    <mergeCell ref="E93:E96"/>
    <mergeCell ref="I89:I91"/>
    <mergeCell ref="G89:G91"/>
    <mergeCell ref="G85:G87"/>
    <mergeCell ref="G80:G82"/>
    <mergeCell ref="G76:G78"/>
    <mergeCell ref="I19:I21"/>
    <mergeCell ref="I23:I25"/>
    <mergeCell ref="I14:I17"/>
    <mergeCell ref="I27:I29"/>
    <mergeCell ref="I31:I33"/>
    <mergeCell ref="I52:I54"/>
    <mergeCell ref="I56:I58"/>
    <mergeCell ref="I60:I64"/>
    <mergeCell ref="I66:I68"/>
    <mergeCell ref="I70:I74"/>
    <mergeCell ref="I76:I78"/>
    <mergeCell ref="I80:I82"/>
    <mergeCell ref="I85:I87"/>
    <mergeCell ref="I43:I45"/>
    <mergeCell ref="I47:I51"/>
    <mergeCell ref="I35:I37"/>
    <mergeCell ref="I39:I41"/>
    <mergeCell ref="G14:G17"/>
    <mergeCell ref="G19:G21"/>
    <mergeCell ref="G23:G25"/>
    <mergeCell ref="G27:G29"/>
  </mergeCells>
  <conditionalFormatting sqref="C1 C5">
    <cfRule type="cellIs" dxfId="107" priority="225" operator="equal">
      <formula>0</formula>
    </cfRule>
  </conditionalFormatting>
  <conditionalFormatting sqref="C9:C47 C51:C1048576">
    <cfRule type="cellIs" dxfId="106" priority="153" operator="equal">
      <formula>0</formula>
    </cfRule>
  </conditionalFormatting>
  <conditionalFormatting sqref="E10">
    <cfRule type="cellIs" dxfId="105" priority="137" operator="equal">
      <formula>"Desprezível"</formula>
    </cfRule>
    <cfRule type="cellIs" dxfId="104" priority="138" operator="equal">
      <formula>"Intolerável"</formula>
    </cfRule>
    <cfRule type="cellIs" dxfId="103" priority="139" operator="equal">
      <formula>"Indesejável"</formula>
    </cfRule>
    <cfRule type="cellIs" dxfId="102" priority="140" operator="equal">
      <formula>"Administrável"</formula>
    </cfRule>
  </conditionalFormatting>
  <conditionalFormatting sqref="E14">
    <cfRule type="cellIs" dxfId="101" priority="129" operator="equal">
      <formula>"Desprezível"</formula>
    </cfRule>
    <cfRule type="cellIs" dxfId="100" priority="130" operator="equal">
      <formula>"Intolerável"</formula>
    </cfRule>
    <cfRule type="cellIs" dxfId="99" priority="131" operator="equal">
      <formula>"Indesejável"</formula>
    </cfRule>
    <cfRule type="cellIs" dxfId="98" priority="132" operator="equal">
      <formula>"Administrável"</formula>
    </cfRule>
  </conditionalFormatting>
  <conditionalFormatting sqref="E19">
    <cfRule type="cellIs" dxfId="97" priority="121" operator="equal">
      <formula>"Desprezível"</formula>
    </cfRule>
    <cfRule type="cellIs" dxfId="96" priority="122" operator="equal">
      <formula>"Intolerável"</formula>
    </cfRule>
    <cfRule type="cellIs" dxfId="95" priority="123" operator="equal">
      <formula>"Indesejável"</formula>
    </cfRule>
    <cfRule type="cellIs" dxfId="94" priority="124" operator="equal">
      <formula>"Administrável"</formula>
    </cfRule>
  </conditionalFormatting>
  <conditionalFormatting sqref="E23">
    <cfRule type="cellIs" dxfId="93" priority="145" operator="equal">
      <formula>"Desprezível"</formula>
    </cfRule>
    <cfRule type="cellIs" dxfId="92" priority="146" operator="equal">
      <formula>"Intolerável"</formula>
    </cfRule>
    <cfRule type="cellIs" dxfId="91" priority="147" operator="equal">
      <formula>"Indesejável"</formula>
    </cfRule>
    <cfRule type="cellIs" dxfId="90" priority="148" operator="equal">
      <formula>"Administrável"</formula>
    </cfRule>
  </conditionalFormatting>
  <conditionalFormatting sqref="E27">
    <cfRule type="cellIs" dxfId="89" priority="113" operator="equal">
      <formula>"Desprezível"</formula>
    </cfRule>
    <cfRule type="cellIs" dxfId="88" priority="114" operator="equal">
      <formula>"Intolerável"</formula>
    </cfRule>
    <cfRule type="cellIs" dxfId="87" priority="115" operator="equal">
      <formula>"Indesejável"</formula>
    </cfRule>
    <cfRule type="cellIs" dxfId="86" priority="116" operator="equal">
      <formula>"Administrável"</formula>
    </cfRule>
  </conditionalFormatting>
  <conditionalFormatting sqref="E31">
    <cfRule type="cellIs" dxfId="85" priority="105" operator="equal">
      <formula>"Desprezível"</formula>
    </cfRule>
    <cfRule type="cellIs" dxfId="84" priority="106" operator="equal">
      <formula>"Intolerável"</formula>
    </cfRule>
    <cfRule type="cellIs" dxfId="83" priority="107" operator="equal">
      <formula>"Indesejável"</formula>
    </cfRule>
    <cfRule type="cellIs" dxfId="82" priority="108" operator="equal">
      <formula>"Administrável"</formula>
    </cfRule>
  </conditionalFormatting>
  <conditionalFormatting sqref="E35">
    <cfRule type="cellIs" dxfId="81" priority="97" operator="equal">
      <formula>"Desprezível"</formula>
    </cfRule>
    <cfRule type="cellIs" dxfId="80" priority="98" operator="equal">
      <formula>"Intolerável"</formula>
    </cfRule>
    <cfRule type="cellIs" dxfId="79" priority="99" operator="equal">
      <formula>"Indesejável"</formula>
    </cfRule>
    <cfRule type="cellIs" dxfId="78" priority="100" operator="equal">
      <formula>"Administrável"</formula>
    </cfRule>
  </conditionalFormatting>
  <conditionalFormatting sqref="E39">
    <cfRule type="cellIs" dxfId="77" priority="89" operator="equal">
      <formula>"Desprezível"</formula>
    </cfRule>
    <cfRule type="cellIs" dxfId="76" priority="90" operator="equal">
      <formula>"Intolerável"</formula>
    </cfRule>
    <cfRule type="cellIs" dxfId="75" priority="91" operator="equal">
      <formula>"Indesejável"</formula>
    </cfRule>
    <cfRule type="cellIs" dxfId="74" priority="92" operator="equal">
      <formula>"Administrável"</formula>
    </cfRule>
  </conditionalFormatting>
  <conditionalFormatting sqref="E43">
    <cfRule type="cellIs" dxfId="73" priority="81" operator="equal">
      <formula>"Desprezível"</formula>
    </cfRule>
    <cfRule type="cellIs" dxfId="72" priority="82" operator="equal">
      <formula>"Intolerável"</formula>
    </cfRule>
    <cfRule type="cellIs" dxfId="71" priority="83" operator="equal">
      <formula>"Indesejável"</formula>
    </cfRule>
    <cfRule type="cellIs" dxfId="70" priority="84" operator="equal">
      <formula>"Administrável"</formula>
    </cfRule>
  </conditionalFormatting>
  <conditionalFormatting sqref="E47">
    <cfRule type="cellIs" dxfId="69" priority="73" operator="equal">
      <formula>"Desprezível"</formula>
    </cfRule>
    <cfRule type="cellIs" dxfId="68" priority="74" operator="equal">
      <formula>"Intolerável"</formula>
    </cfRule>
    <cfRule type="cellIs" dxfId="67" priority="75" operator="equal">
      <formula>"Indesejável"</formula>
    </cfRule>
    <cfRule type="cellIs" dxfId="66" priority="76" operator="equal">
      <formula>"Administrável"</formula>
    </cfRule>
  </conditionalFormatting>
  <conditionalFormatting sqref="E52">
    <cfRule type="cellIs" dxfId="65" priority="65" operator="equal">
      <formula>"Desprezível"</formula>
    </cfRule>
    <cfRule type="cellIs" dxfId="64" priority="66" operator="equal">
      <formula>"Intolerável"</formula>
    </cfRule>
    <cfRule type="cellIs" dxfId="63" priority="67" operator="equal">
      <formula>"Indesejável"</formula>
    </cfRule>
    <cfRule type="cellIs" dxfId="62" priority="68" operator="equal">
      <formula>"Administrável"</formula>
    </cfRule>
  </conditionalFormatting>
  <conditionalFormatting sqref="E56">
    <cfRule type="cellIs" dxfId="61" priority="57" operator="equal">
      <formula>"Desprezível"</formula>
    </cfRule>
    <cfRule type="cellIs" dxfId="60" priority="58" operator="equal">
      <formula>"Intolerável"</formula>
    </cfRule>
    <cfRule type="cellIs" dxfId="59" priority="59" operator="equal">
      <formula>"Indesejável"</formula>
    </cfRule>
    <cfRule type="cellIs" dxfId="58" priority="60" operator="equal">
      <formula>"Administrável"</formula>
    </cfRule>
  </conditionalFormatting>
  <conditionalFormatting sqref="E60">
    <cfRule type="cellIs" dxfId="57" priority="49" operator="equal">
      <formula>"Desprezível"</formula>
    </cfRule>
    <cfRule type="cellIs" dxfId="56" priority="50" operator="equal">
      <formula>"Intolerável"</formula>
    </cfRule>
    <cfRule type="cellIs" dxfId="55" priority="51" operator="equal">
      <formula>"Indesejável"</formula>
    </cfRule>
    <cfRule type="cellIs" dxfId="54" priority="52" operator="equal">
      <formula>"Administrável"</formula>
    </cfRule>
  </conditionalFormatting>
  <conditionalFormatting sqref="E66">
    <cfRule type="cellIs" dxfId="53" priority="41" operator="equal">
      <formula>"Desprezível"</formula>
    </cfRule>
    <cfRule type="cellIs" dxfId="52" priority="42" operator="equal">
      <formula>"Intolerável"</formula>
    </cfRule>
    <cfRule type="cellIs" dxfId="51" priority="43" operator="equal">
      <formula>"Indesejável"</formula>
    </cfRule>
    <cfRule type="cellIs" dxfId="50" priority="44" operator="equal">
      <formula>"Administrável"</formula>
    </cfRule>
  </conditionalFormatting>
  <conditionalFormatting sqref="E70:E72">
    <cfRule type="cellIs" dxfId="49" priority="33" operator="equal">
      <formula>"Desprezível"</formula>
    </cfRule>
    <cfRule type="cellIs" dxfId="48" priority="34" operator="equal">
      <formula>"Intolerável"</formula>
    </cfRule>
    <cfRule type="cellIs" dxfId="47" priority="35" operator="equal">
      <formula>"Indesejável"</formula>
    </cfRule>
    <cfRule type="cellIs" dxfId="46" priority="36" operator="equal">
      <formula>"Administrável"</formula>
    </cfRule>
  </conditionalFormatting>
  <conditionalFormatting sqref="E76">
    <cfRule type="cellIs" dxfId="45" priority="25" operator="equal">
      <formula>"Desprezível"</formula>
    </cfRule>
    <cfRule type="cellIs" dxfId="44" priority="26" operator="equal">
      <formula>"Intolerável"</formula>
    </cfRule>
    <cfRule type="cellIs" dxfId="43" priority="27" operator="equal">
      <formula>"Indesejável"</formula>
    </cfRule>
    <cfRule type="cellIs" dxfId="42" priority="28" operator="equal">
      <formula>"Administrável"</formula>
    </cfRule>
  </conditionalFormatting>
  <conditionalFormatting sqref="E80">
    <cfRule type="cellIs" dxfId="41" priority="17" operator="equal">
      <formula>"Desprezível"</formula>
    </cfRule>
    <cfRule type="cellIs" dxfId="40" priority="18" operator="equal">
      <formula>"Intolerável"</formula>
    </cfRule>
    <cfRule type="cellIs" dxfId="39" priority="19" operator="equal">
      <formula>"Indesejável"</formula>
    </cfRule>
    <cfRule type="cellIs" dxfId="38" priority="20" operator="equal">
      <formula>"Administrável"</formula>
    </cfRule>
  </conditionalFormatting>
  <conditionalFormatting sqref="E85">
    <cfRule type="cellIs" dxfId="37" priority="1" operator="equal">
      <formula>"Desprezível"</formula>
    </cfRule>
    <cfRule type="cellIs" dxfId="36" priority="2" operator="equal">
      <formula>"Intolerável"</formula>
    </cfRule>
    <cfRule type="cellIs" dxfId="35" priority="3" operator="equal">
      <formula>"Indesejável"</formula>
    </cfRule>
    <cfRule type="cellIs" dxfId="34" priority="4" operator="equal">
      <formula>"Administrável"</formula>
    </cfRule>
  </conditionalFormatting>
  <dataValidations disablePrompts="1" count="2">
    <dataValidation allowBlank="1" showErrorMessage="1" sqref="E6:E8" xr:uid="{00000000-0002-0000-0700-000000000000}"/>
    <dataValidation type="list" allowBlank="1" showInputMessage="1" showErrorMessage="1" sqref="E9 E18 E42 E34 E26 E22 E38 E46 E30 E51 E55 E59 E65 E69 E75" xr:uid="{00000000-0002-0000-0700-000001000000}">
      <formula1>#REF!</formula1>
    </dataValidation>
  </dataValidations>
  <pageMargins left="0" right="0" top="0" bottom="0" header="0" footer="0"/>
  <pageSetup paperSize="9" scale="80" fitToHeight="2" orientation="landscape" r:id="rId1"/>
  <rowBreaks count="1" manualBreakCount="1">
    <brk id="29" min="1" max="10"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B3:H22"/>
  <sheetViews>
    <sheetView showGridLines="0" zoomScale="90" zoomScaleNormal="90" workbookViewId="0">
      <selection activeCell="C27" sqref="C27:C29"/>
    </sheetView>
  </sheetViews>
  <sheetFormatPr defaultColWidth="9.109375" defaultRowHeight="13.2" x14ac:dyDescent="0.25"/>
  <cols>
    <col min="1" max="1" width="9.109375" style="72"/>
    <col min="2" max="2" width="19.44140625" style="71" customWidth="1"/>
    <col min="3" max="3" width="65.109375" style="72" customWidth="1"/>
    <col min="4" max="4" width="12.33203125" style="73" customWidth="1"/>
    <col min="5" max="5" width="2.44140625" style="72" customWidth="1"/>
    <col min="6" max="6" width="19.33203125" style="72" customWidth="1"/>
    <col min="7" max="7" width="54.109375" style="72" customWidth="1"/>
    <col min="8" max="8" width="16.109375" style="72" customWidth="1"/>
    <col min="9" max="16384" width="9.109375" style="72"/>
  </cols>
  <sheetData>
    <row r="3" spans="2:8" ht="13.8" thickBot="1" x14ac:dyDescent="0.3"/>
    <row r="4" spans="2:8" s="76" customFormat="1" ht="30" customHeight="1" thickTop="1" x14ac:dyDescent="0.25">
      <c r="B4" s="447" t="s">
        <v>142</v>
      </c>
      <c r="C4" s="448"/>
      <c r="D4" s="74" t="s">
        <v>72</v>
      </c>
      <c r="E4" s="75"/>
      <c r="F4" s="72"/>
      <c r="G4" s="72"/>
      <c r="H4" s="72"/>
    </row>
    <row r="5" spans="2:8" ht="45" customHeight="1" x14ac:dyDescent="0.25">
      <c r="B5" s="449" t="s">
        <v>141</v>
      </c>
      <c r="C5" s="111" t="s">
        <v>177</v>
      </c>
      <c r="D5" s="78">
        <v>0</v>
      </c>
      <c r="E5" s="79"/>
      <c r="G5" s="132"/>
    </row>
    <row r="6" spans="2:8" ht="48" customHeight="1" x14ac:dyDescent="0.25">
      <c r="B6" s="449"/>
      <c r="C6" s="77" t="s">
        <v>73</v>
      </c>
      <c r="D6" s="78">
        <v>2</v>
      </c>
      <c r="E6" s="79"/>
    </row>
    <row r="7" spans="2:8" ht="32.1" customHeight="1" x14ac:dyDescent="0.25">
      <c r="B7" s="449"/>
      <c r="C7" s="77" t="s">
        <v>146</v>
      </c>
      <c r="D7" s="78">
        <v>4</v>
      </c>
      <c r="E7" s="79"/>
    </row>
    <row r="8" spans="2:8" s="66" customFormat="1" ht="26.25" customHeight="1" x14ac:dyDescent="0.3">
      <c r="B8" s="449"/>
      <c r="C8" s="80" t="s">
        <v>5</v>
      </c>
      <c r="D8" s="81">
        <v>9</v>
      </c>
      <c r="E8" s="115"/>
      <c r="F8" s="450" t="s">
        <v>74</v>
      </c>
      <c r="G8" s="450"/>
      <c r="H8" s="450"/>
    </row>
    <row r="9" spans="2:8" ht="18" customHeight="1" x14ac:dyDescent="0.25">
      <c r="B9" s="82"/>
      <c r="C9" s="83"/>
      <c r="D9" s="84"/>
      <c r="E9" s="114"/>
      <c r="F9" s="450"/>
      <c r="G9" s="450"/>
      <c r="H9" s="450"/>
    </row>
    <row r="10" spans="2:8" ht="27.75" customHeight="1" x14ac:dyDescent="0.25">
      <c r="B10" s="442" t="s">
        <v>144</v>
      </c>
      <c r="C10" s="112" t="s">
        <v>173</v>
      </c>
      <c r="D10" s="85">
        <v>1</v>
      </c>
      <c r="E10" s="114"/>
      <c r="F10" s="441" t="s">
        <v>75</v>
      </c>
      <c r="G10" s="440" t="s">
        <v>134</v>
      </c>
      <c r="H10" s="446" t="s">
        <v>76</v>
      </c>
    </row>
    <row r="11" spans="2:8" ht="30" customHeight="1" x14ac:dyDescent="0.25">
      <c r="B11" s="443"/>
      <c r="C11" s="113" t="s">
        <v>145</v>
      </c>
      <c r="D11" s="85">
        <v>3</v>
      </c>
      <c r="E11" s="114"/>
      <c r="F11" s="441"/>
      <c r="G11" s="440"/>
      <c r="H11" s="446"/>
    </row>
    <row r="12" spans="2:8" ht="15.75" customHeight="1" x14ac:dyDescent="0.25">
      <c r="B12" s="444"/>
      <c r="C12" s="171" t="s">
        <v>143</v>
      </c>
      <c r="D12" s="126">
        <v>5</v>
      </c>
      <c r="E12" s="114"/>
      <c r="F12" s="441" t="s">
        <v>77</v>
      </c>
      <c r="G12" s="441" t="s">
        <v>137</v>
      </c>
      <c r="H12" s="446" t="s">
        <v>78</v>
      </c>
    </row>
    <row r="13" spans="2:8" ht="18" customHeight="1" x14ac:dyDescent="0.25">
      <c r="B13" s="82"/>
      <c r="C13" s="83"/>
      <c r="D13" s="84"/>
      <c r="E13" s="114"/>
      <c r="F13" s="441"/>
      <c r="G13" s="441"/>
      <c r="H13" s="446"/>
    </row>
    <row r="14" spans="2:8" ht="18" customHeight="1" x14ac:dyDescent="0.25">
      <c r="B14" s="442" t="s">
        <v>140</v>
      </c>
      <c r="C14" s="86" t="s">
        <v>147</v>
      </c>
      <c r="D14" s="85">
        <v>1</v>
      </c>
      <c r="E14" s="114"/>
      <c r="F14" s="441" t="s">
        <v>79</v>
      </c>
      <c r="G14" s="440" t="s">
        <v>136</v>
      </c>
      <c r="H14" s="446" t="s">
        <v>80</v>
      </c>
    </row>
    <row r="15" spans="2:8" ht="18" customHeight="1" x14ac:dyDescent="0.25">
      <c r="B15" s="443"/>
      <c r="C15" s="86" t="s">
        <v>8</v>
      </c>
      <c r="D15" s="85">
        <v>2</v>
      </c>
      <c r="E15" s="114"/>
      <c r="F15" s="441"/>
      <c r="G15" s="440"/>
      <c r="H15" s="446"/>
    </row>
    <row r="16" spans="2:8" ht="15" customHeight="1" x14ac:dyDescent="0.25">
      <c r="B16" s="443"/>
      <c r="C16" s="86" t="s">
        <v>9</v>
      </c>
      <c r="D16" s="85">
        <v>3</v>
      </c>
      <c r="E16" s="114"/>
      <c r="F16" s="441" t="s">
        <v>81</v>
      </c>
      <c r="G16" s="440" t="s">
        <v>135</v>
      </c>
      <c r="H16" s="446" t="s">
        <v>174</v>
      </c>
    </row>
    <row r="17" spans="2:8" ht="17.25" customHeight="1" x14ac:dyDescent="0.25">
      <c r="B17" s="443"/>
      <c r="C17" s="86" t="s">
        <v>10</v>
      </c>
      <c r="D17" s="85">
        <v>4</v>
      </c>
      <c r="E17" s="114"/>
      <c r="F17" s="441"/>
      <c r="G17" s="441"/>
      <c r="H17" s="446"/>
    </row>
    <row r="18" spans="2:8" ht="18" customHeight="1" x14ac:dyDescent="0.25">
      <c r="B18" s="443"/>
      <c r="C18" s="86" t="s">
        <v>11</v>
      </c>
      <c r="D18" s="85">
        <v>5</v>
      </c>
      <c r="E18" s="79"/>
      <c r="H18" s="87"/>
    </row>
    <row r="19" spans="2:8" ht="18" customHeight="1" thickBot="1" x14ac:dyDescent="0.3">
      <c r="B19" s="445"/>
      <c r="C19" s="88" t="s">
        <v>139</v>
      </c>
      <c r="D19" s="89">
        <v>6</v>
      </c>
      <c r="E19" s="79"/>
      <c r="H19" s="87"/>
    </row>
    <row r="20" spans="2:8" ht="18" customHeight="1" thickTop="1" x14ac:dyDescent="0.25">
      <c r="E20" s="79"/>
      <c r="H20" s="87"/>
    </row>
    <row r="21" spans="2:8" ht="18" customHeight="1" thickBot="1" x14ac:dyDescent="0.3">
      <c r="E21" s="90"/>
    </row>
    <row r="22" spans="2:8" ht="13.8" thickTop="1" x14ac:dyDescent="0.25"/>
  </sheetData>
  <mergeCells count="17">
    <mergeCell ref="B4:C4"/>
    <mergeCell ref="B5:B8"/>
    <mergeCell ref="F8:H9"/>
    <mergeCell ref="F10:F11"/>
    <mergeCell ref="H10:H11"/>
    <mergeCell ref="G10:G11"/>
    <mergeCell ref="G16:G17"/>
    <mergeCell ref="B10:B12"/>
    <mergeCell ref="B14:B19"/>
    <mergeCell ref="F16:F17"/>
    <mergeCell ref="H16:H17"/>
    <mergeCell ref="F12:F13"/>
    <mergeCell ref="H12:H13"/>
    <mergeCell ref="F14:F15"/>
    <mergeCell ref="H14:H15"/>
    <mergeCell ref="G12:G13"/>
    <mergeCell ref="G14:G15"/>
  </mergeCells>
  <pageMargins left="0.511811024" right="0.511811024" top="0.78740157499999996" bottom="0.78740157499999996" header="0.31496062000000002" footer="0.31496062000000002"/>
  <pageSetup paperSize="9" scale="79"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B3:F21"/>
  <sheetViews>
    <sheetView showGridLines="0" zoomScaleNormal="100" workbookViewId="0">
      <selection activeCell="C27" sqref="C27:C29"/>
    </sheetView>
  </sheetViews>
  <sheetFormatPr defaultColWidth="9.109375" defaultRowHeight="13.2" x14ac:dyDescent="0.25"/>
  <cols>
    <col min="1" max="1" width="9.109375" style="72"/>
    <col min="2" max="2" width="20.88671875" style="71" customWidth="1"/>
    <col min="3" max="3" width="24.6640625" style="71" customWidth="1"/>
    <col min="4" max="4" width="64.33203125" style="72" customWidth="1"/>
    <col min="5" max="5" width="12.33203125" style="73" customWidth="1"/>
    <col min="6" max="6" width="2.44140625" style="72" customWidth="1"/>
    <col min="7" max="7" width="14.5546875" style="72" customWidth="1"/>
    <col min="8" max="8" width="16.44140625" style="72" customWidth="1"/>
    <col min="9" max="16384" width="9.109375" style="72"/>
  </cols>
  <sheetData>
    <row r="3" spans="2:6" ht="13.8" thickBot="1" x14ac:dyDescent="0.3"/>
    <row r="4" spans="2:6" s="76" customFormat="1" ht="30" customHeight="1" thickTop="1" x14ac:dyDescent="0.3">
      <c r="B4" s="447" t="s">
        <v>175</v>
      </c>
      <c r="C4" s="451"/>
      <c r="D4" s="448"/>
      <c r="E4" s="74" t="s">
        <v>72</v>
      </c>
      <c r="F4" s="75"/>
    </row>
    <row r="5" spans="2:6" ht="17.399999999999999" x14ac:dyDescent="0.25">
      <c r="B5" s="449" t="s">
        <v>157</v>
      </c>
      <c r="C5" s="102" t="s">
        <v>93</v>
      </c>
      <c r="D5" s="105" t="s">
        <v>96</v>
      </c>
      <c r="E5" s="78">
        <v>5</v>
      </c>
      <c r="F5" s="114"/>
    </row>
    <row r="6" spans="2:6" ht="17.399999999999999" x14ac:dyDescent="0.25">
      <c r="B6" s="449"/>
      <c r="C6" s="102" t="s">
        <v>94</v>
      </c>
      <c r="D6" s="105" t="s">
        <v>98</v>
      </c>
      <c r="E6" s="78">
        <v>4</v>
      </c>
      <c r="F6" s="114"/>
    </row>
    <row r="7" spans="2:6" ht="17.399999999999999" x14ac:dyDescent="0.25">
      <c r="B7" s="449"/>
      <c r="C7" s="102" t="s">
        <v>95</v>
      </c>
      <c r="D7" s="105" t="s">
        <v>154</v>
      </c>
      <c r="E7" s="78">
        <v>3</v>
      </c>
      <c r="F7" s="114"/>
    </row>
    <row r="8" spans="2:6" ht="20.25" customHeight="1" x14ac:dyDescent="0.25">
      <c r="B8" s="449"/>
      <c r="C8" s="102" t="s">
        <v>97</v>
      </c>
      <c r="D8" s="105" t="s">
        <v>155</v>
      </c>
      <c r="E8" s="78">
        <v>2</v>
      </c>
      <c r="F8" s="114"/>
    </row>
    <row r="9" spans="2:6" s="66" customFormat="1" ht="17.399999999999999" x14ac:dyDescent="0.3">
      <c r="B9" s="449"/>
      <c r="C9" s="102" t="s">
        <v>99</v>
      </c>
      <c r="D9" s="104" t="s">
        <v>156</v>
      </c>
      <c r="E9" s="81">
        <v>1</v>
      </c>
      <c r="F9" s="115"/>
    </row>
    <row r="10" spans="2:6" ht="18" customHeight="1" x14ac:dyDescent="0.25">
      <c r="B10" s="82"/>
      <c r="C10" s="101"/>
      <c r="D10" s="83"/>
      <c r="E10" s="84"/>
      <c r="F10" s="79"/>
    </row>
    <row r="11" spans="2:6" ht="21.75" customHeight="1" x14ac:dyDescent="0.25">
      <c r="B11" s="449" t="s">
        <v>114</v>
      </c>
      <c r="C11" s="103" t="s">
        <v>100</v>
      </c>
      <c r="D11" s="106" t="s">
        <v>163</v>
      </c>
      <c r="E11" s="81">
        <v>5</v>
      </c>
      <c r="F11" s="79"/>
    </row>
    <row r="12" spans="2:6" ht="30" x14ac:dyDescent="0.25">
      <c r="B12" s="449"/>
      <c r="C12" s="103" t="s">
        <v>101</v>
      </c>
      <c r="D12" s="105" t="s">
        <v>164</v>
      </c>
      <c r="E12" s="81">
        <v>4</v>
      </c>
      <c r="F12" s="79"/>
    </row>
    <row r="13" spans="2:6" ht="30" x14ac:dyDescent="0.25">
      <c r="B13" s="449"/>
      <c r="C13" s="103" t="s">
        <v>13</v>
      </c>
      <c r="D13" s="105" t="s">
        <v>161</v>
      </c>
      <c r="E13" s="81">
        <v>3</v>
      </c>
      <c r="F13" s="79"/>
    </row>
    <row r="14" spans="2:6" ht="30" x14ac:dyDescent="0.25">
      <c r="B14" s="449"/>
      <c r="C14" s="103" t="s">
        <v>102</v>
      </c>
      <c r="D14" s="105" t="s">
        <v>162</v>
      </c>
      <c r="E14" s="81">
        <v>2</v>
      </c>
      <c r="F14" s="79"/>
    </row>
    <row r="15" spans="2:6" ht="30" x14ac:dyDescent="0.25">
      <c r="B15" s="449"/>
      <c r="C15" s="103" t="s">
        <v>103</v>
      </c>
      <c r="D15" s="106" t="s">
        <v>165</v>
      </c>
      <c r="E15" s="81">
        <v>1</v>
      </c>
      <c r="F15" s="79"/>
    </row>
    <row r="16" spans="2:6" ht="18" customHeight="1" x14ac:dyDescent="0.25">
      <c r="B16" s="82"/>
      <c r="C16" s="101"/>
      <c r="D16" s="83"/>
      <c r="E16" s="84"/>
      <c r="F16" s="79"/>
    </row>
    <row r="17" spans="2:6" ht="18.75" customHeight="1" x14ac:dyDescent="0.25">
      <c r="B17" s="442" t="s">
        <v>179</v>
      </c>
      <c r="C17" s="103" t="s">
        <v>105</v>
      </c>
      <c r="D17" s="104" t="s">
        <v>106</v>
      </c>
      <c r="E17" s="81">
        <v>5</v>
      </c>
      <c r="F17" s="79"/>
    </row>
    <row r="18" spans="2:6" ht="18" customHeight="1" x14ac:dyDescent="0.25">
      <c r="B18" s="443"/>
      <c r="C18" s="103" t="s">
        <v>111</v>
      </c>
      <c r="D18" s="104" t="s">
        <v>107</v>
      </c>
      <c r="E18" s="81">
        <v>4</v>
      </c>
      <c r="F18" s="79"/>
    </row>
    <row r="19" spans="2:6" ht="18" customHeight="1" x14ac:dyDescent="0.25">
      <c r="B19" s="443"/>
      <c r="C19" s="103" t="s">
        <v>112</v>
      </c>
      <c r="D19" s="104" t="s">
        <v>108</v>
      </c>
      <c r="E19" s="81">
        <v>3</v>
      </c>
      <c r="F19" s="79"/>
    </row>
    <row r="20" spans="2:6" ht="18" customHeight="1" x14ac:dyDescent="0.25">
      <c r="B20" s="443"/>
      <c r="C20" s="103" t="s">
        <v>113</v>
      </c>
      <c r="D20" s="104" t="s">
        <v>109</v>
      </c>
      <c r="E20" s="81">
        <v>2</v>
      </c>
      <c r="F20" s="79"/>
    </row>
    <row r="21" spans="2:6" ht="18" customHeight="1" x14ac:dyDescent="0.25">
      <c r="B21" s="443"/>
      <c r="C21" s="103" t="s">
        <v>99</v>
      </c>
      <c r="D21" s="104" t="s">
        <v>110</v>
      </c>
      <c r="E21" s="81">
        <v>1</v>
      </c>
      <c r="F21" s="79"/>
    </row>
  </sheetData>
  <mergeCells count="4">
    <mergeCell ref="B17:B21"/>
    <mergeCell ref="B4:D4"/>
    <mergeCell ref="B5:B9"/>
    <mergeCell ref="B11:B15"/>
  </mergeCells>
  <pageMargins left="0.511811024" right="0.511811024" top="0.78740157499999996" bottom="0.78740157499999996" header="0.31496062000000002" footer="0.31496062000000002"/>
  <pageSetup paperSize="9" scale="7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B2:G14"/>
  <sheetViews>
    <sheetView showGridLines="0" zoomScale="90" zoomScaleNormal="90" workbookViewId="0">
      <pane xSplit="3" ySplit="4" topLeftCell="D11" activePane="bottomRight" state="frozen"/>
      <selection activeCell="C27" sqref="C27:C29"/>
      <selection pane="topRight" activeCell="C27" sqref="C27:C29"/>
      <selection pane="bottomLeft" activeCell="C27" sqref="C27:C29"/>
      <selection pane="bottomRight" activeCell="C27" sqref="C27:C29"/>
    </sheetView>
  </sheetViews>
  <sheetFormatPr defaultColWidth="9.109375" defaultRowHeight="13.2" x14ac:dyDescent="0.3"/>
  <cols>
    <col min="1" max="1" width="3.109375" style="66" customWidth="1"/>
    <col min="2" max="3" width="21.6640625" style="66" customWidth="1"/>
    <col min="4" max="4" width="33.33203125" style="66" customWidth="1"/>
    <col min="5" max="5" width="33.5546875" style="66" customWidth="1"/>
    <col min="6" max="6" width="33" style="66" customWidth="1"/>
    <col min="7" max="7" width="35.44140625" style="66" customWidth="1"/>
    <col min="8" max="16384" width="9.109375" style="66"/>
  </cols>
  <sheetData>
    <row r="2" spans="2:7" ht="13.8" thickBot="1" x14ac:dyDescent="0.35"/>
    <row r="3" spans="2:7" s="67" customFormat="1" ht="29.25" customHeight="1" thickTop="1" x14ac:dyDescent="0.3">
      <c r="B3" s="454" t="s">
        <v>59</v>
      </c>
      <c r="C3" s="455"/>
      <c r="D3" s="456"/>
      <c r="E3" s="456"/>
      <c r="F3" s="456"/>
      <c r="G3" s="457"/>
    </row>
    <row r="4" spans="2:7" s="67" customFormat="1" ht="39" customHeight="1" x14ac:dyDescent="0.3">
      <c r="B4" s="68"/>
      <c r="C4" s="91"/>
      <c r="D4" s="108" t="s">
        <v>60</v>
      </c>
      <c r="E4" s="109" t="s">
        <v>61</v>
      </c>
      <c r="F4" s="110" t="s">
        <v>62</v>
      </c>
      <c r="G4" s="110" t="s">
        <v>63</v>
      </c>
    </row>
    <row r="5" spans="2:7" s="67" customFormat="1" ht="50.1" customHeight="1" x14ac:dyDescent="0.3">
      <c r="B5" s="459" t="s">
        <v>158</v>
      </c>
      <c r="C5" s="99" t="s">
        <v>82</v>
      </c>
      <c r="D5" s="92" t="s">
        <v>200</v>
      </c>
      <c r="E5" s="69" t="s">
        <v>201</v>
      </c>
      <c r="F5" s="70" t="s">
        <v>243</v>
      </c>
      <c r="G5" s="196" t="s">
        <v>240</v>
      </c>
    </row>
    <row r="6" spans="2:7" s="67" customFormat="1" ht="50.1" customHeight="1" x14ac:dyDescent="0.3">
      <c r="B6" s="460"/>
      <c r="C6" s="99" t="s">
        <v>83</v>
      </c>
      <c r="D6" s="133" t="s">
        <v>242</v>
      </c>
      <c r="E6" s="93" t="s">
        <v>244</v>
      </c>
      <c r="F6" s="94" t="s">
        <v>245</v>
      </c>
      <c r="G6" s="95" t="s">
        <v>241</v>
      </c>
    </row>
    <row r="7" spans="2:7" s="67" customFormat="1" ht="50.1" customHeight="1" x14ac:dyDescent="0.3">
      <c r="B7" s="458" t="s">
        <v>3</v>
      </c>
      <c r="C7" s="99" t="s">
        <v>82</v>
      </c>
      <c r="D7" s="92" t="s">
        <v>64</v>
      </c>
      <c r="E7" s="69" t="s">
        <v>65</v>
      </c>
      <c r="F7" s="70" t="s">
        <v>120</v>
      </c>
      <c r="G7" s="100" t="s">
        <v>66</v>
      </c>
    </row>
    <row r="8" spans="2:7" s="67" customFormat="1" ht="90" customHeight="1" x14ac:dyDescent="0.3">
      <c r="B8" s="458"/>
      <c r="C8" s="99" t="s">
        <v>83</v>
      </c>
      <c r="D8" s="133" t="s">
        <v>178</v>
      </c>
      <c r="E8" s="69" t="s">
        <v>86</v>
      </c>
      <c r="F8" s="70" t="s">
        <v>85</v>
      </c>
      <c r="G8" s="100" t="s">
        <v>84</v>
      </c>
    </row>
    <row r="9" spans="2:7" s="67" customFormat="1" ht="50.1" customHeight="1" x14ac:dyDescent="0.3">
      <c r="B9" s="452" t="s">
        <v>87</v>
      </c>
      <c r="C9" s="99" t="s">
        <v>82</v>
      </c>
      <c r="D9" s="92" t="s">
        <v>67</v>
      </c>
      <c r="E9" s="69" t="s">
        <v>68</v>
      </c>
      <c r="F9" s="70" t="s">
        <v>69</v>
      </c>
      <c r="G9" s="100" t="s">
        <v>70</v>
      </c>
    </row>
    <row r="10" spans="2:7" s="67" customFormat="1" ht="83.25" customHeight="1" x14ac:dyDescent="0.3">
      <c r="B10" s="453"/>
      <c r="C10" s="99" t="s">
        <v>83</v>
      </c>
      <c r="D10" s="133" t="s">
        <v>88</v>
      </c>
      <c r="E10" s="96" t="s">
        <v>91</v>
      </c>
      <c r="F10" s="97" t="s">
        <v>90</v>
      </c>
      <c r="G10" s="98" t="s">
        <v>89</v>
      </c>
    </row>
    <row r="11" spans="2:7" s="67" customFormat="1" ht="53.25" customHeight="1" x14ac:dyDescent="0.3">
      <c r="B11" s="452" t="s">
        <v>115</v>
      </c>
      <c r="C11" s="107" t="s">
        <v>82</v>
      </c>
      <c r="D11" s="92" t="s">
        <v>117</v>
      </c>
      <c r="E11" s="96" t="s">
        <v>71</v>
      </c>
      <c r="F11" s="97" t="s">
        <v>116</v>
      </c>
      <c r="G11" s="98" t="s">
        <v>118</v>
      </c>
    </row>
    <row r="12" spans="2:7" s="67" customFormat="1" ht="57.75" customHeight="1" x14ac:dyDescent="0.3">
      <c r="B12" s="453"/>
      <c r="C12" s="107" t="s">
        <v>83</v>
      </c>
      <c r="D12" s="133" t="s">
        <v>150</v>
      </c>
      <c r="E12" s="96" t="s">
        <v>151</v>
      </c>
      <c r="F12" s="97" t="s">
        <v>152</v>
      </c>
      <c r="G12" s="98" t="s">
        <v>153</v>
      </c>
    </row>
    <row r="13" spans="2:7" s="67" customFormat="1" ht="99.75" customHeight="1" x14ac:dyDescent="0.3">
      <c r="B13" s="452" t="s">
        <v>133</v>
      </c>
      <c r="C13" s="107" t="s">
        <v>82</v>
      </c>
      <c r="D13" s="92" t="s">
        <v>119</v>
      </c>
      <c r="E13" s="96" t="s">
        <v>130</v>
      </c>
      <c r="F13" s="97" t="s">
        <v>132</v>
      </c>
      <c r="G13" s="98" t="s">
        <v>131</v>
      </c>
    </row>
    <row r="14" spans="2:7" ht="85.5" customHeight="1" x14ac:dyDescent="0.3">
      <c r="B14" s="453"/>
      <c r="C14" s="107" t="s">
        <v>83</v>
      </c>
      <c r="D14" s="133" t="s">
        <v>166</v>
      </c>
      <c r="E14" s="96" t="s">
        <v>167</v>
      </c>
      <c r="F14" s="97" t="s">
        <v>168</v>
      </c>
      <c r="G14" s="98" t="s">
        <v>169</v>
      </c>
    </row>
  </sheetData>
  <mergeCells count="6">
    <mergeCell ref="B13:B14"/>
    <mergeCell ref="B3:G3"/>
    <mergeCell ref="B7:B8"/>
    <mergeCell ref="B5:B6"/>
    <mergeCell ref="B9:B10"/>
    <mergeCell ref="B11:B12"/>
  </mergeCells>
  <pageMargins left="0.511811024" right="0.511811024" top="0.78740157499999996" bottom="0.78740157499999996" header="0.31496062000000002" footer="0.31496062000000002"/>
  <pageSetup paperSize="9" scale="85" orientation="landscape" verticalDpi="4294967293" r:id="rId1"/>
  <colBreaks count="1" manualBreakCount="1">
    <brk id="10" max="18"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sheetPr>
  <dimension ref="A1:E5"/>
  <sheetViews>
    <sheetView workbookViewId="0">
      <selection activeCell="C27" sqref="C27:C29"/>
    </sheetView>
  </sheetViews>
  <sheetFormatPr defaultRowHeight="14.4" x14ac:dyDescent="0.3"/>
  <cols>
    <col min="1" max="1" width="10" customWidth="1"/>
    <col min="2" max="2" width="56" customWidth="1"/>
    <col min="3" max="3" width="2.44140625" customWidth="1"/>
    <col min="4" max="4" width="13" customWidth="1"/>
    <col min="5" max="5" width="58" customWidth="1"/>
  </cols>
  <sheetData>
    <row r="1" spans="1:5" x14ac:dyDescent="0.3">
      <c r="A1" s="461" t="s">
        <v>181</v>
      </c>
      <c r="B1" s="461"/>
      <c r="D1" s="461" t="s">
        <v>182</v>
      </c>
      <c r="E1" s="461"/>
    </row>
    <row r="2" spans="1:5" ht="43.2" x14ac:dyDescent="0.3">
      <c r="A2" s="187" t="s">
        <v>187</v>
      </c>
      <c r="B2" s="186" t="s">
        <v>191</v>
      </c>
      <c r="D2" s="187" t="s">
        <v>195</v>
      </c>
      <c r="E2" s="186" t="s">
        <v>183</v>
      </c>
    </row>
    <row r="3" spans="1:5" ht="28.8" x14ac:dyDescent="0.3">
      <c r="A3" s="187" t="s">
        <v>188</v>
      </c>
      <c r="B3" s="186" t="s">
        <v>192</v>
      </c>
      <c r="D3" s="187" t="s">
        <v>196</v>
      </c>
      <c r="E3" s="186" t="s">
        <v>184</v>
      </c>
    </row>
    <row r="4" spans="1:5" ht="28.8" x14ac:dyDescent="0.3">
      <c r="A4" s="187" t="s">
        <v>189</v>
      </c>
      <c r="B4" s="186" t="s">
        <v>193</v>
      </c>
      <c r="D4" s="187" t="s">
        <v>197</v>
      </c>
      <c r="E4" s="186" t="s">
        <v>185</v>
      </c>
    </row>
    <row r="5" spans="1:5" ht="28.8" x14ac:dyDescent="0.3">
      <c r="A5" s="187" t="s">
        <v>190</v>
      </c>
      <c r="B5" s="186" t="s">
        <v>194</v>
      </c>
      <c r="D5" s="187" t="s">
        <v>190</v>
      </c>
      <c r="E5" s="186" t="s">
        <v>186</v>
      </c>
    </row>
  </sheetData>
  <mergeCells count="2">
    <mergeCell ref="D1:E1"/>
    <mergeCell ref="A1:B1"/>
  </mergeCells>
  <pageMargins left="0.511811024" right="0.511811024" top="0.78740157499999996" bottom="0.78740157499999996" header="0.31496062000000002" footer="0.3149606200000000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pageSetUpPr fitToPage="1"/>
  </sheetPr>
  <dimension ref="B1:BE38"/>
  <sheetViews>
    <sheetView showGridLines="0" zoomScaleNormal="100" workbookViewId="0">
      <pane xSplit="4" ySplit="9" topLeftCell="E10" activePane="bottomRight" state="frozen"/>
      <selection activeCell="C27" sqref="C27:C29"/>
      <selection pane="topRight" activeCell="C27" sqref="C27:C29"/>
      <selection pane="bottomLeft" activeCell="C27" sqref="C27:C29"/>
      <selection pane="bottomRight" activeCell="C27" sqref="C27:C29"/>
    </sheetView>
  </sheetViews>
  <sheetFormatPr defaultColWidth="9.109375" defaultRowHeight="13.8" x14ac:dyDescent="0.3"/>
  <cols>
    <col min="1" max="1" width="1.88671875" style="1" customWidth="1"/>
    <col min="2" max="2" width="6.33203125" style="1" customWidth="1"/>
    <col min="3" max="3" width="39.5546875" style="46" customWidth="1"/>
    <col min="4" max="4" width="0.5546875" style="2" customWidth="1"/>
    <col min="5" max="5" width="11" style="2" customWidth="1"/>
    <col min="6" max="6" width="2.109375" style="2" hidden="1" customWidth="1"/>
    <col min="7" max="7" width="2" style="2" hidden="1" customWidth="1"/>
    <col min="8" max="8" width="10.33203125" style="2" customWidth="1"/>
    <col min="9" max="9" width="1.88671875" style="2" hidden="1" customWidth="1"/>
    <col min="10" max="10" width="3.33203125" style="2" hidden="1" customWidth="1"/>
    <col min="11" max="11" width="10.109375" style="2" customWidth="1"/>
    <col min="12" max="12" width="1.88671875" style="2" hidden="1" customWidth="1"/>
    <col min="13" max="13" width="2.88671875" style="2" hidden="1" customWidth="1"/>
    <col min="14" max="14" width="13.88671875" style="2" customWidth="1"/>
    <col min="15" max="15" width="2" style="2" hidden="1" customWidth="1"/>
    <col min="16" max="16" width="3" style="2" hidden="1" customWidth="1"/>
    <col min="17" max="17" width="11.33203125" style="2" customWidth="1"/>
    <col min="18" max="18" width="2.5546875" style="2" hidden="1" customWidth="1"/>
    <col min="19" max="19" width="2.44140625" style="2" hidden="1" customWidth="1"/>
    <col min="20" max="20" width="2.33203125" style="118" hidden="1" customWidth="1"/>
    <col min="21" max="21" width="2.44140625" style="118" hidden="1" customWidth="1"/>
    <col min="22" max="22" width="1" style="11" customWidth="1"/>
    <col min="23" max="24" width="8.33203125" style="2" customWidth="1"/>
    <col min="25" max="25" width="10" style="2" customWidth="1"/>
    <col min="26" max="26" width="10.5546875" style="2" customWidth="1"/>
    <col min="27" max="27" width="9.33203125" style="2" customWidth="1"/>
    <col min="28" max="28" width="3" style="7" hidden="1" customWidth="1"/>
    <col min="29" max="29" width="1.109375" style="2" customWidth="1"/>
    <col min="30" max="30" width="7.88671875" style="2" customWidth="1"/>
    <col min="31" max="31" width="7.44140625" style="2" customWidth="1"/>
    <col min="32" max="32" width="6.5546875" style="2" customWidth="1"/>
    <col min="33" max="33" width="5.6640625" style="7" customWidth="1"/>
    <col min="34" max="34" width="7" style="2" customWidth="1"/>
    <col min="35" max="35" width="2.44140625" style="2" hidden="1" customWidth="1"/>
    <col min="36" max="36" width="0.6640625" style="2" customWidth="1"/>
    <col min="37" max="37" width="6.33203125" style="2" customWidth="1"/>
    <col min="38" max="39" width="5.44140625" style="2" customWidth="1"/>
    <col min="40" max="40" width="5.5546875" style="2" customWidth="1"/>
    <col min="41" max="41" width="5.6640625" style="121" customWidth="1"/>
    <col min="42" max="42" width="3.33203125" style="2" hidden="1" customWidth="1"/>
    <col min="43" max="43" width="3.33203125" style="118" hidden="1" customWidth="1"/>
    <col min="44" max="44" width="2.6640625" style="118" hidden="1" customWidth="1"/>
    <col min="45" max="45" width="6.109375" style="118" hidden="1" customWidth="1"/>
    <col min="46" max="46" width="17.44140625" style="1" customWidth="1"/>
    <col min="47" max="47" width="0.5546875" style="59" customWidth="1"/>
    <col min="48" max="48" width="17.44140625" style="1" customWidth="1"/>
    <col min="49" max="49" width="6.6640625" style="184" customWidth="1"/>
    <col min="50" max="50" width="0.88671875" style="3" customWidth="1"/>
    <col min="51" max="52" width="12.109375" style="35" hidden="1" customWidth="1"/>
    <col min="53" max="53" width="11.5546875" style="35" hidden="1" customWidth="1"/>
    <col min="54" max="54" width="13.109375" style="35" hidden="1" customWidth="1"/>
    <col min="55" max="55" width="9.109375" style="1"/>
    <col min="56" max="56" width="9.109375" style="3"/>
    <col min="57" max="16384" width="9.109375" style="1"/>
  </cols>
  <sheetData>
    <row r="1" spans="2:57" ht="18" customHeight="1" x14ac:dyDescent="0.3">
      <c r="B1" s="353"/>
      <c r="C1" s="354"/>
      <c r="D1" s="158"/>
      <c r="E1" s="405" t="s">
        <v>262</v>
      </c>
      <c r="F1" s="405"/>
      <c r="G1" s="405"/>
      <c r="H1" s="405"/>
      <c r="I1" s="405"/>
      <c r="J1" s="405"/>
      <c r="K1" s="405"/>
      <c r="L1" s="405"/>
      <c r="M1" s="405"/>
      <c r="N1" s="405"/>
      <c r="O1" s="405"/>
      <c r="P1" s="405"/>
      <c r="Q1" s="405"/>
      <c r="R1" s="405"/>
      <c r="S1" s="405"/>
      <c r="T1" s="405"/>
      <c r="U1" s="405"/>
      <c r="V1" s="405"/>
      <c r="W1" s="405"/>
      <c r="X1" s="405"/>
      <c r="Y1" s="405"/>
      <c r="Z1" s="405"/>
      <c r="AA1" s="405"/>
      <c r="AB1" s="405"/>
      <c r="AC1" s="405"/>
      <c r="AD1" s="405"/>
      <c r="AE1" s="405"/>
      <c r="AF1" s="405"/>
      <c r="AG1" s="405"/>
      <c r="AH1" s="405"/>
      <c r="AI1" s="405"/>
      <c r="AJ1" s="405"/>
      <c r="AK1" s="405"/>
      <c r="AL1" s="405"/>
      <c r="AM1" s="405"/>
      <c r="AN1" s="405"/>
      <c r="AO1" s="405"/>
      <c r="AP1" s="405"/>
      <c r="AQ1" s="405"/>
      <c r="AR1" s="405"/>
      <c r="AS1" s="405"/>
      <c r="AT1" s="405"/>
      <c r="AU1" s="405"/>
      <c r="AV1" s="405"/>
    </row>
    <row r="2" spans="2:57" ht="22.5" customHeight="1" x14ac:dyDescent="0.3">
      <c r="B2" s="355"/>
      <c r="C2" s="356"/>
      <c r="D2" s="158"/>
      <c r="E2" s="405"/>
      <c r="F2" s="405"/>
      <c r="G2" s="405"/>
      <c r="H2" s="405"/>
      <c r="I2" s="405"/>
      <c r="J2" s="405"/>
      <c r="K2" s="405"/>
      <c r="L2" s="405"/>
      <c r="M2" s="405"/>
      <c r="N2" s="405"/>
      <c r="O2" s="405"/>
      <c r="P2" s="405"/>
      <c r="Q2" s="405"/>
      <c r="R2" s="405"/>
      <c r="S2" s="405"/>
      <c r="T2" s="405"/>
      <c r="U2" s="405"/>
      <c r="V2" s="405"/>
      <c r="W2" s="405"/>
      <c r="X2" s="405"/>
      <c r="Y2" s="405"/>
      <c r="Z2" s="405"/>
      <c r="AA2" s="405"/>
      <c r="AB2" s="405"/>
      <c r="AC2" s="405"/>
      <c r="AD2" s="405"/>
      <c r="AE2" s="405"/>
      <c r="AF2" s="405"/>
      <c r="AG2" s="405"/>
      <c r="AH2" s="405"/>
      <c r="AI2" s="405"/>
      <c r="AJ2" s="405"/>
      <c r="AK2" s="405"/>
      <c r="AL2" s="405"/>
      <c r="AM2" s="405"/>
      <c r="AN2" s="405"/>
      <c r="AO2" s="405"/>
      <c r="AP2" s="405"/>
      <c r="AQ2" s="405"/>
      <c r="AR2" s="405"/>
      <c r="AS2" s="405"/>
      <c r="AT2" s="405"/>
      <c r="AU2" s="405"/>
      <c r="AV2" s="405"/>
    </row>
    <row r="3" spans="2:57" ht="3" customHeight="1" x14ac:dyDescent="0.3">
      <c r="B3" s="355"/>
      <c r="C3" s="356"/>
    </row>
    <row r="4" spans="2:57" ht="23.25" customHeight="1" thickBot="1" x14ac:dyDescent="0.35">
      <c r="B4" s="357"/>
      <c r="C4" s="358"/>
      <c r="D4" s="159"/>
      <c r="E4" s="406" t="s">
        <v>172</v>
      </c>
      <c r="F4" s="406"/>
      <c r="G4" s="406"/>
      <c r="H4" s="406"/>
      <c r="I4" s="406"/>
      <c r="J4" s="406"/>
      <c r="K4" s="406"/>
      <c r="L4" s="406"/>
      <c r="M4" s="406"/>
      <c r="N4" s="406"/>
      <c r="O4" s="406"/>
      <c r="P4" s="406"/>
      <c r="Q4" s="406"/>
      <c r="R4" s="406"/>
      <c r="S4" s="406"/>
      <c r="T4" s="406"/>
      <c r="U4" s="406"/>
      <c r="V4" s="406"/>
      <c r="W4" s="406"/>
      <c r="X4" s="406"/>
      <c r="Y4" s="406"/>
      <c r="Z4" s="406"/>
      <c r="AA4" s="406"/>
      <c r="AB4" s="406"/>
      <c r="AC4" s="406"/>
      <c r="AD4" s="406"/>
      <c r="AE4" s="406"/>
      <c r="AF4" s="406"/>
      <c r="AG4" s="406"/>
      <c r="AH4" s="406"/>
      <c r="AI4" s="406"/>
      <c r="AJ4" s="406"/>
      <c r="AK4" s="406"/>
      <c r="AL4" s="406"/>
      <c r="AM4" s="406"/>
      <c r="AN4" s="406"/>
      <c r="AO4" s="406"/>
      <c r="AP4" s="406"/>
      <c r="AQ4" s="406"/>
      <c r="AR4" s="406"/>
      <c r="AS4" s="406"/>
      <c r="AT4" s="406"/>
      <c r="AU4" s="406"/>
      <c r="AV4" s="406"/>
    </row>
    <row r="5" spans="2:57" ht="3" customHeight="1" thickBot="1" x14ac:dyDescent="0.35"/>
    <row r="6" spans="2:57" ht="27" customHeight="1" x14ac:dyDescent="0.3">
      <c r="B6" s="407" t="s">
        <v>0</v>
      </c>
      <c r="C6" s="410" t="s">
        <v>83</v>
      </c>
      <c r="D6" s="4"/>
      <c r="E6" s="367" t="s">
        <v>21</v>
      </c>
      <c r="F6" s="368"/>
      <c r="G6" s="368"/>
      <c r="H6" s="368"/>
      <c r="I6" s="368"/>
      <c r="J6" s="368"/>
      <c r="K6" s="368"/>
      <c r="L6" s="368"/>
      <c r="M6" s="368"/>
      <c r="N6" s="368"/>
      <c r="O6" s="368"/>
      <c r="P6" s="368"/>
      <c r="Q6" s="369"/>
      <c r="R6" s="146"/>
      <c r="S6" s="146"/>
      <c r="T6" s="119"/>
      <c r="U6" s="119"/>
      <c r="V6" s="12"/>
      <c r="W6" s="367" t="s">
        <v>176</v>
      </c>
      <c r="X6" s="368"/>
      <c r="Y6" s="368"/>
      <c r="Z6" s="368"/>
      <c r="AA6" s="368"/>
      <c r="AB6" s="368"/>
      <c r="AC6" s="368"/>
      <c r="AD6" s="368"/>
      <c r="AE6" s="368"/>
      <c r="AF6" s="368"/>
      <c r="AG6" s="368"/>
      <c r="AH6" s="368"/>
      <c r="AI6" s="368"/>
      <c r="AJ6" s="368"/>
      <c r="AK6" s="368"/>
      <c r="AL6" s="368"/>
      <c r="AM6" s="368"/>
      <c r="AN6" s="368"/>
      <c r="AO6" s="369"/>
      <c r="AP6" s="149"/>
      <c r="AQ6" s="119"/>
      <c r="AR6" s="119"/>
      <c r="AS6" s="119"/>
      <c r="AT6" s="413" t="s">
        <v>149</v>
      </c>
      <c r="AU6" s="189"/>
      <c r="AV6" s="413" t="s">
        <v>180</v>
      </c>
      <c r="AY6" s="400" t="s">
        <v>149</v>
      </c>
      <c r="AZ6" s="400"/>
      <c r="BA6" s="400"/>
      <c r="BB6" s="400"/>
    </row>
    <row r="7" spans="2:57" ht="16.5" customHeight="1" x14ac:dyDescent="0.3">
      <c r="B7" s="408"/>
      <c r="C7" s="411"/>
      <c r="D7" s="4"/>
      <c r="E7" s="371" t="s">
        <v>2</v>
      </c>
      <c r="F7" s="375" t="s">
        <v>22</v>
      </c>
      <c r="G7" s="375" t="s">
        <v>23</v>
      </c>
      <c r="H7" s="351" t="s">
        <v>3</v>
      </c>
      <c r="I7" s="340" t="s">
        <v>22</v>
      </c>
      <c r="J7" s="340" t="s">
        <v>23</v>
      </c>
      <c r="K7" s="351" t="s">
        <v>87</v>
      </c>
      <c r="L7" s="340" t="s">
        <v>22</v>
      </c>
      <c r="M7" s="340" t="s">
        <v>23</v>
      </c>
      <c r="N7" s="351" t="s">
        <v>115</v>
      </c>
      <c r="O7" s="340" t="s">
        <v>22</v>
      </c>
      <c r="P7" s="340" t="s">
        <v>23</v>
      </c>
      <c r="Q7" s="373" t="s">
        <v>133</v>
      </c>
      <c r="R7" s="401" t="s">
        <v>22</v>
      </c>
      <c r="S7" s="403" t="s">
        <v>23</v>
      </c>
      <c r="T7" s="119"/>
      <c r="U7" s="119"/>
      <c r="V7" s="12"/>
      <c r="W7" s="350" t="s">
        <v>92</v>
      </c>
      <c r="X7" s="342"/>
      <c r="Y7" s="342"/>
      <c r="Z7" s="342"/>
      <c r="AA7" s="342"/>
      <c r="AB7" s="375" t="s">
        <v>22</v>
      </c>
      <c r="AC7" s="153"/>
      <c r="AD7" s="342" t="s">
        <v>123</v>
      </c>
      <c r="AE7" s="342"/>
      <c r="AF7" s="342"/>
      <c r="AG7" s="342"/>
      <c r="AH7" s="342"/>
      <c r="AI7" s="375" t="s">
        <v>22</v>
      </c>
      <c r="AJ7" s="153"/>
      <c r="AK7" s="342" t="s">
        <v>104</v>
      </c>
      <c r="AL7" s="342"/>
      <c r="AM7" s="342"/>
      <c r="AN7" s="342"/>
      <c r="AO7" s="343"/>
      <c r="AP7" s="414" t="s">
        <v>22</v>
      </c>
      <c r="AQ7" s="119"/>
      <c r="AR7" s="119"/>
      <c r="AS7" s="119"/>
      <c r="AT7" s="413"/>
      <c r="AU7" s="189"/>
      <c r="AV7" s="413"/>
      <c r="AY7" s="400"/>
      <c r="AZ7" s="400"/>
      <c r="BA7" s="400"/>
      <c r="BB7" s="400"/>
    </row>
    <row r="8" spans="2:57" ht="27.9" customHeight="1" thickBot="1" x14ac:dyDescent="0.35">
      <c r="B8" s="409"/>
      <c r="C8" s="412"/>
      <c r="D8" s="4"/>
      <c r="E8" s="372"/>
      <c r="F8" s="376"/>
      <c r="G8" s="376"/>
      <c r="H8" s="377"/>
      <c r="I8" s="341"/>
      <c r="J8" s="341"/>
      <c r="K8" s="352"/>
      <c r="L8" s="341"/>
      <c r="M8" s="341"/>
      <c r="N8" s="352"/>
      <c r="O8" s="341"/>
      <c r="P8" s="341"/>
      <c r="Q8" s="374"/>
      <c r="R8" s="402"/>
      <c r="S8" s="404"/>
      <c r="T8" s="119"/>
      <c r="U8" s="120" t="s">
        <v>32</v>
      </c>
      <c r="V8" s="13"/>
      <c r="W8" s="154" t="s">
        <v>121</v>
      </c>
      <c r="X8" s="155" t="s">
        <v>94</v>
      </c>
      <c r="Y8" s="155" t="s">
        <v>95</v>
      </c>
      <c r="Z8" s="155" t="s">
        <v>97</v>
      </c>
      <c r="AA8" s="155" t="s">
        <v>122</v>
      </c>
      <c r="AB8" s="376"/>
      <c r="AC8" s="156"/>
      <c r="AD8" s="155" t="s">
        <v>124</v>
      </c>
      <c r="AE8" s="155" t="s">
        <v>125</v>
      </c>
      <c r="AF8" s="155" t="s">
        <v>13</v>
      </c>
      <c r="AG8" s="155" t="s">
        <v>102</v>
      </c>
      <c r="AH8" s="155" t="s">
        <v>126</v>
      </c>
      <c r="AI8" s="376"/>
      <c r="AJ8" s="156"/>
      <c r="AK8" s="155" t="s">
        <v>105</v>
      </c>
      <c r="AL8" s="155" t="s">
        <v>127</v>
      </c>
      <c r="AM8" s="155" t="s">
        <v>128</v>
      </c>
      <c r="AN8" s="155" t="s">
        <v>129</v>
      </c>
      <c r="AO8" s="157" t="s">
        <v>122</v>
      </c>
      <c r="AP8" s="415"/>
      <c r="AQ8" s="120" t="s">
        <v>27</v>
      </c>
      <c r="AR8" s="120" t="s">
        <v>13</v>
      </c>
      <c r="AS8" s="120"/>
      <c r="AT8" s="413"/>
      <c r="AU8" s="189"/>
      <c r="AV8" s="413"/>
      <c r="AY8" s="134" t="s">
        <v>28</v>
      </c>
      <c r="AZ8" s="135" t="s">
        <v>95</v>
      </c>
      <c r="BA8" s="136" t="s">
        <v>31</v>
      </c>
      <c r="BB8" s="137" t="s">
        <v>148</v>
      </c>
    </row>
    <row r="9" spans="2:57" ht="3" customHeight="1" x14ac:dyDescent="0.3">
      <c r="C9" s="48"/>
      <c r="E9" s="16"/>
      <c r="F9" s="16"/>
      <c r="G9" s="16"/>
      <c r="H9" s="16"/>
      <c r="I9" s="16"/>
      <c r="J9" s="16"/>
      <c r="K9" s="16"/>
      <c r="L9" s="16"/>
      <c r="M9" s="16"/>
      <c r="N9" s="16"/>
      <c r="O9" s="16"/>
      <c r="P9" s="16"/>
      <c r="Q9" s="16"/>
      <c r="R9" s="16"/>
      <c r="S9" s="16"/>
      <c r="W9" s="16"/>
      <c r="X9" s="16"/>
      <c r="Y9" s="16"/>
      <c r="Z9" s="16"/>
      <c r="AA9" s="16"/>
      <c r="AB9" s="16"/>
      <c r="AC9" s="7"/>
      <c r="AD9" s="16"/>
      <c r="AE9" s="16"/>
      <c r="AF9" s="16"/>
      <c r="AG9" s="16"/>
      <c r="AH9" s="16"/>
      <c r="AI9" s="16"/>
      <c r="AJ9" s="7"/>
      <c r="AK9" s="16"/>
      <c r="AL9" s="16"/>
      <c r="AM9" s="16"/>
      <c r="AN9" s="16"/>
      <c r="AO9" s="16"/>
      <c r="AP9" s="16"/>
      <c r="AT9" s="191"/>
      <c r="AV9" s="191"/>
      <c r="AY9" s="130"/>
      <c r="AZ9" s="130"/>
      <c r="BA9" s="130"/>
      <c r="BB9" s="130"/>
    </row>
    <row r="10" spans="2:57" ht="41.4" x14ac:dyDescent="0.3">
      <c r="B10" s="41" t="s">
        <v>35</v>
      </c>
      <c r="C10" s="222" t="s">
        <v>257</v>
      </c>
      <c r="E10" s="37" t="s">
        <v>31</v>
      </c>
      <c r="F10" s="38">
        <f t="shared" ref="F10:F12" si="0">IF(E10="N.A.",0)+IF(E10="Baixo",1)+IF(E10="Moderado",2)+IF(E10="Significativo",4)+IF(E10="Alto",6)</f>
        <v>6</v>
      </c>
      <c r="G10" s="38">
        <f t="shared" ref="G10:G12" si="1">IF(F10&gt;0,1,0)</f>
        <v>1</v>
      </c>
      <c r="H10" s="37" t="s">
        <v>29</v>
      </c>
      <c r="I10" s="38">
        <f t="shared" ref="I10:I12" si="2">IF(H10="N.A.",0)+IF(H10="Baixo",1)+IF(H10="Moderado",2)+IF(H10="Significativo",4)+IF(H10="Alto",6)</f>
        <v>2</v>
      </c>
      <c r="J10" s="38">
        <f t="shared" ref="J10:J12" si="3">IF(I10&gt;0,1,0)</f>
        <v>1</v>
      </c>
      <c r="K10" s="37" t="s">
        <v>31</v>
      </c>
      <c r="L10" s="38">
        <f>IF(K10="N.A.",0)+IF(K10="Baixo",1)+IF(K10="Moderado",2)+IF(K10="Significativo",4)+IF(K10="Alto",6)</f>
        <v>6</v>
      </c>
      <c r="M10" s="8">
        <f>IF(L10&gt;0,1,0)</f>
        <v>1</v>
      </c>
      <c r="N10" s="37" t="s">
        <v>30</v>
      </c>
      <c r="O10" s="38">
        <f t="shared" ref="O10:O12" si="4">IF(N10="N.A.",0)+IF(N10="Baixo",1)+IF(N10="Moderado",2)+IF(N10="Significativo",4)+IF(N10="Alto",6)</f>
        <v>4</v>
      </c>
      <c r="P10" s="38">
        <f t="shared" ref="P10:P12" si="5">IF(O10&gt;0,1,0)</f>
        <v>1</v>
      </c>
      <c r="Q10" s="37" t="s">
        <v>30</v>
      </c>
      <c r="R10" s="38">
        <f t="shared" ref="R10:R12" si="6">IF(Q10="N.A.",0)+IF(Q10="Baixo",1)+IF(Q10="Moderado",2)+IF(Q10="Significativo",4)+IF(Q10="Alto",6)</f>
        <v>4</v>
      </c>
      <c r="S10" s="38">
        <f t="shared" ref="S10:S12" si="7">IF(R10&gt;0,1,0)</f>
        <v>1</v>
      </c>
      <c r="T10" s="117">
        <f>SUM(G10,J10,M10,P10,S10)</f>
        <v>5</v>
      </c>
      <c r="U10" s="117">
        <f>IFERROR(SUM(F10,I10,L10,O10,R10)/T10,0)</f>
        <v>4.4000000000000004</v>
      </c>
      <c r="V10" s="14"/>
      <c r="W10" s="128"/>
      <c r="X10" s="128"/>
      <c r="Y10" s="128"/>
      <c r="Z10" s="128" t="s">
        <v>202</v>
      </c>
      <c r="AA10" s="128"/>
      <c r="AB10" s="36">
        <f>IF(W10="X",5)+IF(X10="X",4)+IF(Y10="X",3)+IF(Z10="X",2)+IF(AA10="X",1)</f>
        <v>2</v>
      </c>
      <c r="AC10" s="9"/>
      <c r="AD10" s="128"/>
      <c r="AE10" s="128"/>
      <c r="AF10" s="128" t="s">
        <v>202</v>
      </c>
      <c r="AG10" s="152"/>
      <c r="AH10" s="128"/>
      <c r="AI10" s="36">
        <f>IF(AD10="X",5)+IF(AE10="X",4)+IF(AF10="X",3)+IF(AG10="X",2)+IF(AH10="X",1)</f>
        <v>3</v>
      </c>
      <c r="AJ10" s="9"/>
      <c r="AK10" s="128"/>
      <c r="AL10" s="128"/>
      <c r="AM10" s="128" t="s">
        <v>202</v>
      </c>
      <c r="AN10" s="128"/>
      <c r="AO10" s="131"/>
      <c r="AP10" s="36">
        <f>IF(AK10="X",5)+IF(AL10="X",4)+IF(AM10="X",3)+IF(AN10="X",2)+IF(AO10="X",1)</f>
        <v>3</v>
      </c>
      <c r="AQ10" s="117">
        <f>AB10+AI10+AP10</f>
        <v>8</v>
      </c>
      <c r="AR10" s="117">
        <f>(AQ10+U10)/2</f>
        <v>6.2</v>
      </c>
      <c r="AS10" s="117">
        <f>IF(AT10="",0,10)</f>
        <v>10</v>
      </c>
      <c r="AT10" s="39" t="str">
        <f>IF(AY10=TRUE,"Baixo",IF(AZ10=TRUE,"Médio",IF(BA10=TRUE,"Alto",IF(BB10=TRUE,"Muito Alto",""))))</f>
        <v>Alto</v>
      </c>
      <c r="AU10" s="185"/>
      <c r="AV10" s="195" t="s">
        <v>195</v>
      </c>
      <c r="AX10" s="20" t="s">
        <v>12</v>
      </c>
      <c r="AY10" s="130" t="b">
        <f>AND(U10&gt;0,U10&lt;=2,AQ10&gt;0,AQ10&lt;=7)</f>
        <v>0</v>
      </c>
      <c r="AZ10" s="130" t="b">
        <f>OR(AND(U10&gt;0,U10&lt;=2,AQ10&gt;0,AQ10&gt;7,AQ10&lt;=13),AND(U10&gt;0,U10&gt;2,U10&lt;=3,AQ10&gt;0,AQ10&lt;=10))</f>
        <v>0</v>
      </c>
      <c r="BA10" s="130" t="b">
        <f t="shared" ref="BA10:BA38" si="8">OR(AND(U10&gt;0,U10&lt;=2,AQ10&gt;0,AQ10&gt;12,AQ10&lt;=17),AND(U10&gt;0,U10&gt;2,U10&lt;=3,AQ10&gt;0,AQ10&gt;10,AQ10&lt;=13),AND(U10&gt;0,U10&gt;3,U10&lt;=5,AQ10&gt;0,AQ10&lt;=10),AND(U10&gt;0,U10&gt;5,U10&lt;=6,AQ10&gt;0,AQ10&lt;=7))</f>
        <v>1</v>
      </c>
      <c r="BB10" s="130" t="b">
        <f>OR(AND(U10&gt;0,U10&gt;2,U10&lt;=3,AQ10&gt;0,AQ10&gt;14,AQ10&lt;=20),AND(U10&gt;0,U10&gt;3,U10&lt;=5,AQ10&gt;0,AQ10&gt;10),AND(U10&gt;0,U10&gt;5,U10&lt;=6,AQ10&gt;0,AQ10&gt;7,AQ10&lt;=20))</f>
        <v>0</v>
      </c>
      <c r="BD10" s="20" t="s">
        <v>12</v>
      </c>
    </row>
    <row r="11" spans="2:57" ht="3.75" customHeight="1" x14ac:dyDescent="0.3">
      <c r="C11" s="116"/>
      <c r="E11" s="21"/>
      <c r="F11" s="38"/>
      <c r="G11" s="38"/>
      <c r="H11" s="21"/>
      <c r="I11" s="38">
        <f t="shared" si="2"/>
        <v>0</v>
      </c>
      <c r="J11" s="38">
        <f t="shared" si="3"/>
        <v>0</v>
      </c>
      <c r="K11" s="21"/>
      <c r="L11" s="38">
        <f>IF(K11="N.A.",0)+IF(K11="Baixo",1)+IF(K11="Moderado",2)+IF(K11="Significativo",4)+IF(K11="Alto",6)</f>
        <v>0</v>
      </c>
      <c r="M11" s="10"/>
      <c r="N11" s="37"/>
      <c r="O11" s="38"/>
      <c r="P11" s="38"/>
      <c r="Q11" s="37"/>
      <c r="R11" s="38">
        <f t="shared" si="6"/>
        <v>0</v>
      </c>
      <c r="S11" s="38">
        <f t="shared" si="7"/>
        <v>0</v>
      </c>
      <c r="T11" s="117">
        <f t="shared" ref="T11:T12" si="9">SUM(G11,J11,M11,P11,S11)</f>
        <v>0</v>
      </c>
      <c r="U11" s="117">
        <f t="shared" ref="U11:U12" si="10">IFERROR(SUM(F11,I11,L11,O11,R11)/T11,0)</f>
        <v>0</v>
      </c>
      <c r="V11" s="14"/>
      <c r="W11" s="128"/>
      <c r="X11" s="128"/>
      <c r="Y11" s="128"/>
      <c r="Z11" s="128"/>
      <c r="AA11" s="128"/>
      <c r="AB11" s="10"/>
      <c r="AC11" s="9"/>
      <c r="AD11" s="128"/>
      <c r="AE11" s="128"/>
      <c r="AF11" s="128"/>
      <c r="AG11" s="152"/>
      <c r="AH11" s="128"/>
      <c r="AI11" s="36"/>
      <c r="AJ11" s="9"/>
      <c r="AK11" s="128"/>
      <c r="AL11" s="128"/>
      <c r="AM11" s="128"/>
      <c r="AN11" s="128"/>
      <c r="AO11" s="131"/>
      <c r="AP11" s="36"/>
      <c r="AQ11" s="117">
        <f t="shared" ref="AQ11:AQ12" si="11">AB11+AI11+AP11</f>
        <v>0</v>
      </c>
      <c r="AR11" s="117"/>
      <c r="AS11" s="117"/>
      <c r="AT11" s="39" t="str">
        <f t="shared" ref="AT11:AT12" si="12">IF(AY11=TRUE,"Baixo",IF(AZ11=TRUE,"Médio",IF(BA11=TRUE,"Alto",IF(BB11=TRUE,"Muito Alto",""))))</f>
        <v/>
      </c>
      <c r="AU11" s="185"/>
      <c r="AV11" s="195"/>
      <c r="AX11" s="20" t="s">
        <v>28</v>
      </c>
      <c r="AY11" s="130"/>
      <c r="AZ11" s="130"/>
      <c r="BA11" s="130" t="b">
        <f t="shared" si="8"/>
        <v>0</v>
      </c>
      <c r="BB11" s="130" t="b">
        <f t="shared" ref="BB11:BB38" si="13">OR(AND(U11&gt;0,U11&gt;2,U11&lt;=3,AQ11&gt;0,AQ11&gt;14,AQ11&lt;=20),AND(U11&gt;0,U11&gt;3,U11&lt;=5,AQ11&gt;0,AQ11&gt;10),AND(U11&gt;0,U11&gt;5,U11&lt;=6,AQ11&gt;0,AQ11&gt;7,AQ11&lt;=20))</f>
        <v>0</v>
      </c>
      <c r="BD11" s="20" t="s">
        <v>28</v>
      </c>
    </row>
    <row r="12" spans="2:57" ht="25.5" customHeight="1" x14ac:dyDescent="0.3">
      <c r="B12" s="41" t="s">
        <v>36</v>
      </c>
      <c r="C12" s="222" t="s">
        <v>203</v>
      </c>
      <c r="E12" s="37" t="s">
        <v>31</v>
      </c>
      <c r="F12" s="38">
        <f t="shared" si="0"/>
        <v>6</v>
      </c>
      <c r="G12" s="38">
        <f t="shared" si="1"/>
        <v>1</v>
      </c>
      <c r="H12" s="37" t="s">
        <v>31</v>
      </c>
      <c r="I12" s="38">
        <f t="shared" si="2"/>
        <v>6</v>
      </c>
      <c r="J12" s="38">
        <f t="shared" si="3"/>
        <v>1</v>
      </c>
      <c r="K12" s="37" t="s">
        <v>31</v>
      </c>
      <c r="L12" s="38">
        <f>IF(K12="N.A.",0)+IF(K12="Baixo",1)+IF(K12="Moderado",2)+IF(K12="Significativo",4)+IF(K12="Alto",6)</f>
        <v>6</v>
      </c>
      <c r="M12" s="8">
        <f>IF(L12&gt;0,1,0)</f>
        <v>1</v>
      </c>
      <c r="N12" s="37" t="s">
        <v>30</v>
      </c>
      <c r="O12" s="38">
        <f t="shared" si="4"/>
        <v>4</v>
      </c>
      <c r="P12" s="38">
        <f t="shared" si="5"/>
        <v>1</v>
      </c>
      <c r="Q12" s="37" t="s">
        <v>29</v>
      </c>
      <c r="R12" s="38">
        <f t="shared" si="6"/>
        <v>2</v>
      </c>
      <c r="S12" s="38">
        <f t="shared" si="7"/>
        <v>1</v>
      </c>
      <c r="T12" s="117">
        <f t="shared" si="9"/>
        <v>5</v>
      </c>
      <c r="U12" s="117">
        <f t="shared" si="10"/>
        <v>4.8</v>
      </c>
      <c r="V12" s="14"/>
      <c r="W12" s="128"/>
      <c r="X12" s="128" t="s">
        <v>202</v>
      </c>
      <c r="Y12" s="128"/>
      <c r="Z12" s="128"/>
      <c r="AA12" s="128"/>
      <c r="AB12" s="36">
        <f>IF(W12="X",5)+IF(X12="X",4)+IF(Y12="X",3)+IF(Z12="X",2)+IF(AA12="X",1)</f>
        <v>4</v>
      </c>
      <c r="AC12" s="9"/>
      <c r="AD12" s="128"/>
      <c r="AE12" s="128"/>
      <c r="AF12" s="128"/>
      <c r="AG12" s="152" t="s">
        <v>202</v>
      </c>
      <c r="AH12" s="128"/>
      <c r="AI12" s="36">
        <f t="shared" ref="AI12" si="14">IF(AD12="X",5)+IF(AE12="X",4)+IF(AF12="X",3)+IF(AG12="X",2)+IF(AH12="X",1)</f>
        <v>2</v>
      </c>
      <c r="AJ12" s="9"/>
      <c r="AK12" s="128" t="s">
        <v>202</v>
      </c>
      <c r="AL12" s="128"/>
      <c r="AM12" s="128"/>
      <c r="AN12" s="128"/>
      <c r="AO12" s="131"/>
      <c r="AP12" s="36">
        <f t="shared" ref="AP12" si="15">IF(AK12="X",5)+IF(AL12="X",4)+IF(AM12="X",3)+IF(AN12="X",2)+IF(AO12="X",1)</f>
        <v>5</v>
      </c>
      <c r="AQ12" s="117">
        <f t="shared" si="11"/>
        <v>11</v>
      </c>
      <c r="AR12" s="117">
        <f>(AQ12+U12)/2</f>
        <v>7.9</v>
      </c>
      <c r="AS12" s="117">
        <f>IF(AT12="",0,10)</f>
        <v>10</v>
      </c>
      <c r="AT12" s="39" t="str">
        <f t="shared" si="12"/>
        <v>Muito Alto</v>
      </c>
      <c r="AU12" s="185"/>
      <c r="AV12" s="195" t="s">
        <v>196</v>
      </c>
      <c r="AX12" s="20" t="s">
        <v>29</v>
      </c>
      <c r="AY12" s="130" t="b">
        <f t="shared" ref="AY12:AY37" si="16">AND(U12&gt;0,U12&lt;=2,AQ12&gt;0,AQ12&lt;=7)</f>
        <v>0</v>
      </c>
      <c r="AZ12" s="130" t="b">
        <f t="shared" ref="AZ12:AZ37" si="17">OR(AND(U12&gt;0,U12&lt;=2,AQ12&gt;0,AQ12&gt;7,AQ12&lt;=13),AND(U12&gt;0,U12&gt;2,U12&lt;=3,AQ12&gt;0,AQ12&lt;=10))</f>
        <v>0</v>
      </c>
      <c r="BA12" s="130" t="b">
        <f t="shared" si="8"/>
        <v>0</v>
      </c>
      <c r="BB12" s="130" t="b">
        <f t="shared" si="13"/>
        <v>1</v>
      </c>
      <c r="BD12" s="20" t="s">
        <v>29</v>
      </c>
    </row>
    <row r="13" spans="2:57" ht="3.75" customHeight="1" x14ac:dyDescent="0.3">
      <c r="C13" s="116"/>
      <c r="E13" s="21"/>
      <c r="F13" s="38"/>
      <c r="G13" s="38"/>
      <c r="H13" s="21"/>
      <c r="I13" s="38"/>
      <c r="J13" s="38"/>
      <c r="K13" s="21"/>
      <c r="L13" s="38"/>
      <c r="M13" s="8"/>
      <c r="N13" s="37"/>
      <c r="O13" s="38"/>
      <c r="P13" s="38"/>
      <c r="Q13" s="37"/>
      <c r="R13" s="38"/>
      <c r="S13" s="38"/>
      <c r="T13" s="117">
        <f t="shared" ref="T13:T37" si="18">SUM(G13,J13,M13,P13,S13)</f>
        <v>0</v>
      </c>
      <c r="U13" s="117">
        <f t="shared" ref="U13:U37" si="19">IFERROR(SUM(F13,I13,L13,O13,R13)/T13,0)</f>
        <v>0</v>
      </c>
      <c r="V13" s="14"/>
      <c r="W13" s="128"/>
      <c r="X13" s="128"/>
      <c r="Y13" s="128"/>
      <c r="Z13" s="128"/>
      <c r="AA13" s="128"/>
      <c r="AB13" s="10"/>
      <c r="AC13" s="9"/>
      <c r="AD13" s="128"/>
      <c r="AE13" s="128"/>
      <c r="AF13" s="128"/>
      <c r="AG13" s="152"/>
      <c r="AH13" s="128"/>
      <c r="AI13" s="36"/>
      <c r="AJ13" s="9"/>
      <c r="AK13" s="128"/>
      <c r="AL13" s="128"/>
      <c r="AM13" s="128"/>
      <c r="AN13" s="128"/>
      <c r="AO13" s="131"/>
      <c r="AP13" s="36"/>
      <c r="AQ13" s="117">
        <f t="shared" ref="AQ13:AQ37" si="20">AB13+AI13+AP13</f>
        <v>0</v>
      </c>
      <c r="AR13" s="117"/>
      <c r="AS13" s="117"/>
      <c r="AT13" s="39" t="str">
        <f t="shared" ref="AT13:AT37" si="21">IF(AY13=TRUE,"Baixo",IF(AZ13=TRUE,"Médio",IF(BA13=TRUE,"Alto",IF(BB13=TRUE,"Muito Alto",""))))</f>
        <v/>
      </c>
      <c r="AU13" s="185"/>
      <c r="AV13" s="195"/>
      <c r="AX13" s="20" t="s">
        <v>30</v>
      </c>
      <c r="AY13" s="130"/>
      <c r="AZ13" s="130"/>
      <c r="BA13" s="130" t="b">
        <f t="shared" si="8"/>
        <v>0</v>
      </c>
      <c r="BB13" s="130" t="b">
        <f t="shared" si="13"/>
        <v>0</v>
      </c>
      <c r="BD13" s="20" t="s">
        <v>30</v>
      </c>
    </row>
    <row r="14" spans="2:57" ht="25.5" customHeight="1" x14ac:dyDescent="0.3">
      <c r="B14" s="41" t="s">
        <v>37</v>
      </c>
      <c r="C14" s="216" t="s">
        <v>204</v>
      </c>
      <c r="E14" s="37" t="s">
        <v>28</v>
      </c>
      <c r="F14" s="38">
        <f t="shared" ref="F14:F16" si="22">IF(E14="N.A.",0)+IF(E14="Baixo",1)+IF(E14="Moderado",2)+IF(E14="Significativo",4)+IF(E14="Alto",6)</f>
        <v>1</v>
      </c>
      <c r="G14" s="38">
        <f t="shared" ref="G14:G16" si="23">IF(F14&gt;0,1,0)</f>
        <v>1</v>
      </c>
      <c r="H14" s="37" t="s">
        <v>31</v>
      </c>
      <c r="I14" s="38">
        <f t="shared" ref="I14:I16" si="24">IF(H14="N.A.",0)+IF(H14="Baixo",1)+IF(H14="Moderado",2)+IF(H14="Significativo",4)+IF(H14="Alto",6)</f>
        <v>6</v>
      </c>
      <c r="J14" s="38">
        <f t="shared" ref="J14:J16" si="25">IF(I14&gt;0,1,0)</f>
        <v>1</v>
      </c>
      <c r="K14" s="37" t="s">
        <v>29</v>
      </c>
      <c r="L14" s="38">
        <f>IF(K14="N.A.",0)+IF(K14="Baixo",1)+IF(K14="Moderado",2)+IF(K14="Significativo",4)+IF(K14="Alto",6)</f>
        <v>2</v>
      </c>
      <c r="M14" s="8">
        <f>IF(L14&gt;0,1,0)</f>
        <v>1</v>
      </c>
      <c r="N14" s="37" t="s">
        <v>30</v>
      </c>
      <c r="O14" s="38">
        <f t="shared" ref="O14:O16" si="26">IF(N14="N.A.",0)+IF(N14="Baixo",1)+IF(N14="Moderado",2)+IF(N14="Significativo",4)+IF(N14="Alto",6)</f>
        <v>4</v>
      </c>
      <c r="P14" s="38">
        <f t="shared" ref="P14:P16" si="27">IF(O14&gt;0,1,0)</f>
        <v>1</v>
      </c>
      <c r="Q14" s="37" t="s">
        <v>28</v>
      </c>
      <c r="R14" s="38">
        <f>IF(Q14="N.A.",0)+IF(Q14="Baixo",1)+IF(Q14="Moderado",2)+IF(Q14="Significativo",4)+IF(Q14="Alto",6)</f>
        <v>1</v>
      </c>
      <c r="S14" s="38">
        <f t="shared" ref="S14:S16" si="28">IF(R14&gt;0,1,0)</f>
        <v>1</v>
      </c>
      <c r="T14" s="117">
        <f t="shared" si="18"/>
        <v>5</v>
      </c>
      <c r="U14" s="117">
        <f t="shared" si="19"/>
        <v>2.8</v>
      </c>
      <c r="V14" s="14"/>
      <c r="W14" s="128"/>
      <c r="X14" s="128" t="s">
        <v>202</v>
      </c>
      <c r="Y14" s="128"/>
      <c r="Z14" s="128"/>
      <c r="AA14" s="128"/>
      <c r="AB14" s="36">
        <f>IF(W14="X",5)+IF(X14="X",4)+IF(Y14="X",3)+IF(Z14="X",2)+IF(AA14="X",1)</f>
        <v>4</v>
      </c>
      <c r="AC14" s="9"/>
      <c r="AD14" s="128"/>
      <c r="AE14" s="128"/>
      <c r="AF14" s="128" t="s">
        <v>202</v>
      </c>
      <c r="AG14" s="152"/>
      <c r="AH14" s="128"/>
      <c r="AI14" s="36">
        <f t="shared" ref="AI14:AI37" si="29">IF(AD14="X",5)+IF(AE14="X",4)+IF(AF14="X",3)+IF(AG14="X",2)+IF(AH14="X",1)</f>
        <v>3</v>
      </c>
      <c r="AJ14" s="9"/>
      <c r="AK14" s="128"/>
      <c r="AL14" s="128" t="s">
        <v>202</v>
      </c>
      <c r="AM14" s="128"/>
      <c r="AN14" s="128"/>
      <c r="AO14" s="131"/>
      <c r="AP14" s="36">
        <f t="shared" ref="AP14:AP37" si="30">IF(AK14="X",5)+IF(AL14="X",4)+IF(AM14="X",3)+IF(AN14="X",2)+IF(AO14="X",1)</f>
        <v>4</v>
      </c>
      <c r="AQ14" s="117">
        <f t="shared" si="20"/>
        <v>11</v>
      </c>
      <c r="AR14" s="117">
        <f>(AQ14+U14)/2</f>
        <v>6.9</v>
      </c>
      <c r="AS14" s="117">
        <f>IF(AT14="",0,10)</f>
        <v>10</v>
      </c>
      <c r="AT14" s="39" t="str">
        <f t="shared" si="21"/>
        <v>Alto</v>
      </c>
      <c r="AU14" s="185"/>
      <c r="AV14" s="195" t="s">
        <v>195</v>
      </c>
      <c r="AX14" s="20" t="s">
        <v>31</v>
      </c>
      <c r="AY14" s="130" t="b">
        <f t="shared" si="16"/>
        <v>0</v>
      </c>
      <c r="AZ14" s="130" t="b">
        <f t="shared" si="17"/>
        <v>0</v>
      </c>
      <c r="BA14" s="130" t="b">
        <f t="shared" si="8"/>
        <v>1</v>
      </c>
      <c r="BB14" s="130" t="b">
        <f t="shared" si="13"/>
        <v>0</v>
      </c>
      <c r="BD14" s="20" t="s">
        <v>31</v>
      </c>
      <c r="BE14" s="3"/>
    </row>
    <row r="15" spans="2:57" ht="4.5" customHeight="1" x14ac:dyDescent="0.3">
      <c r="C15" s="116"/>
      <c r="E15" s="21"/>
      <c r="F15" s="38"/>
      <c r="G15" s="38"/>
      <c r="H15" s="21"/>
      <c r="I15" s="38">
        <f t="shared" si="24"/>
        <v>0</v>
      </c>
      <c r="J15" s="38">
        <f t="shared" si="25"/>
        <v>0</v>
      </c>
      <c r="K15" s="21"/>
      <c r="L15" s="38">
        <f>IF(K15="N.A.",0)+IF(K15="Baixo",1)+IF(K15="Moderado",2)+IF(K15="Significativo",4)+IF(K15="Alto",6)</f>
        <v>0</v>
      </c>
      <c r="M15" s="10"/>
      <c r="N15" s="37"/>
      <c r="O15" s="38"/>
      <c r="P15" s="38"/>
      <c r="Q15" s="37"/>
      <c r="R15" s="38"/>
      <c r="S15" s="38"/>
      <c r="T15" s="117">
        <f t="shared" si="18"/>
        <v>0</v>
      </c>
      <c r="U15" s="117">
        <f t="shared" si="19"/>
        <v>0</v>
      </c>
      <c r="V15" s="14"/>
      <c r="W15" s="128"/>
      <c r="X15" s="128"/>
      <c r="Y15" s="128"/>
      <c r="Z15" s="128"/>
      <c r="AA15" s="128"/>
      <c r="AB15" s="10"/>
      <c r="AC15" s="9"/>
      <c r="AD15" s="128"/>
      <c r="AE15" s="128"/>
      <c r="AF15" s="128"/>
      <c r="AG15" s="152"/>
      <c r="AH15" s="128"/>
      <c r="AI15" s="36"/>
      <c r="AJ15" s="9"/>
      <c r="AK15" s="128"/>
      <c r="AL15" s="128"/>
      <c r="AM15" s="128"/>
      <c r="AN15" s="128"/>
      <c r="AO15" s="131"/>
      <c r="AP15" s="36"/>
      <c r="AQ15" s="117">
        <f t="shared" si="20"/>
        <v>0</v>
      </c>
      <c r="AR15" s="117"/>
      <c r="AS15" s="117"/>
      <c r="AT15" s="39" t="str">
        <f t="shared" si="21"/>
        <v/>
      </c>
      <c r="AU15" s="185"/>
      <c r="AV15" s="195"/>
      <c r="AY15" s="130"/>
      <c r="AZ15" s="130"/>
      <c r="BA15" s="130" t="b">
        <f t="shared" si="8"/>
        <v>0</v>
      </c>
      <c r="BB15" s="130" t="b">
        <f t="shared" si="13"/>
        <v>0</v>
      </c>
    </row>
    <row r="16" spans="2:57" ht="22.5" customHeight="1" x14ac:dyDescent="0.3">
      <c r="B16" s="41" t="s">
        <v>38</v>
      </c>
      <c r="C16" s="51" t="s">
        <v>239</v>
      </c>
      <c r="E16" s="37" t="s">
        <v>29</v>
      </c>
      <c r="F16" s="38">
        <f t="shared" si="22"/>
        <v>2</v>
      </c>
      <c r="G16" s="38">
        <f t="shared" si="23"/>
        <v>1</v>
      </c>
      <c r="H16" s="37" t="s">
        <v>29</v>
      </c>
      <c r="I16" s="38">
        <f t="shared" si="24"/>
        <v>2</v>
      </c>
      <c r="J16" s="38">
        <f t="shared" si="25"/>
        <v>1</v>
      </c>
      <c r="K16" s="37" t="s">
        <v>31</v>
      </c>
      <c r="L16" s="38">
        <f>IF(K16="N.A.",0)+IF(K16="Baixo",1)+IF(K16="Moderado",2)+IF(K16="Significativo",4)+IF(K16="Alto",6)</f>
        <v>6</v>
      </c>
      <c r="M16" s="8">
        <f>IF(L16&gt;0,1,0)</f>
        <v>1</v>
      </c>
      <c r="N16" s="37" t="s">
        <v>29</v>
      </c>
      <c r="O16" s="38">
        <f t="shared" si="26"/>
        <v>2</v>
      </c>
      <c r="P16" s="38">
        <f t="shared" si="27"/>
        <v>1</v>
      </c>
      <c r="Q16" s="37" t="s">
        <v>30</v>
      </c>
      <c r="R16" s="38">
        <f t="shared" ref="R16:R37" si="31">IF(Q16="N.A.",0)+IF(Q16="Baixo",1)+IF(Q16="Moderado",2)+IF(Q16="Significativo",4)+IF(Q16="Alto",6)</f>
        <v>4</v>
      </c>
      <c r="S16" s="38">
        <f t="shared" si="28"/>
        <v>1</v>
      </c>
      <c r="T16" s="117">
        <f t="shared" si="18"/>
        <v>5</v>
      </c>
      <c r="U16" s="117">
        <f t="shared" si="19"/>
        <v>3.2</v>
      </c>
      <c r="V16" s="14"/>
      <c r="W16" s="128"/>
      <c r="X16" s="128"/>
      <c r="Y16" s="128"/>
      <c r="Z16" s="128" t="s">
        <v>202</v>
      </c>
      <c r="AA16" s="128"/>
      <c r="AB16" s="36"/>
      <c r="AC16" s="9"/>
      <c r="AD16" s="128"/>
      <c r="AE16" s="128"/>
      <c r="AF16" s="128" t="s">
        <v>202</v>
      </c>
      <c r="AG16" s="152"/>
      <c r="AH16" s="128"/>
      <c r="AI16" s="36"/>
      <c r="AJ16" s="9"/>
      <c r="AK16" s="128"/>
      <c r="AL16" s="128"/>
      <c r="AM16" s="128"/>
      <c r="AN16" s="128" t="s">
        <v>202</v>
      </c>
      <c r="AO16" s="131"/>
      <c r="AP16" s="36">
        <f>IF(AK16="X",5)+IF(AL16="X",4)+IF(AM16="X",3)+IF(AN16="X",2)+IF(AO16="X",1)</f>
        <v>2</v>
      </c>
      <c r="AQ16" s="117">
        <f>AB16+AI16+AP16</f>
        <v>2</v>
      </c>
      <c r="AR16" s="117">
        <f>(AQ16+U16)/2</f>
        <v>2.6</v>
      </c>
      <c r="AS16" s="117">
        <f>IF(AT16="",0,10)</f>
        <v>10</v>
      </c>
      <c r="AT16" s="39" t="str">
        <f t="shared" si="21"/>
        <v>Alto</v>
      </c>
      <c r="AU16" s="185"/>
      <c r="AV16" s="195" t="s">
        <v>196</v>
      </c>
      <c r="AY16" s="130" t="b">
        <f>AND(U16&gt;0,U16&lt;=2,AQ16&gt;0,AQ16&lt;=7)</f>
        <v>0</v>
      </c>
      <c r="AZ16" s="130" t="b">
        <f>OR(AND(U16&gt;0,U16&lt;=2,AQ16&gt;0,AQ16&gt;7,AQ16&lt;=13),AND(U16&gt;0,U16&gt;2,U16&lt;=3,AQ16&gt;0,AQ16&lt;=10))</f>
        <v>0</v>
      </c>
      <c r="BA16" s="130" t="b">
        <f t="shared" ref="BA16:BA22" si="32">OR(AND(U16&gt;0,U16&lt;=2,AQ16&gt;0,AQ16&gt;12,AQ16&lt;=17),AND(U16&gt;0,U16&gt;2,U16&lt;=3,AQ16&gt;0,AQ16&gt;10,AQ16&lt;=13),AND(U16&gt;0,U16&gt;3,U16&lt;=5,AQ16&gt;0,AQ16&lt;=10),AND(U16&gt;0,U16&gt;5,U16&lt;=6,AQ16&gt;0,AQ16&lt;=7))</f>
        <v>1</v>
      </c>
      <c r="BB16" s="130" t="b">
        <f t="shared" ref="BB16:BB22" si="33">OR(AND(U16&gt;0,U16&gt;2,U16&lt;=3,AQ16&gt;0,AQ16&gt;14,AQ16&lt;=20),AND(U16&gt;0,U16&gt;3,U16&lt;=5,AQ16&gt;0,AQ16&gt;10),AND(U16&gt;0,U16&gt;5,U16&lt;=6,AQ16&gt;0,AQ16&gt;7,AQ16&lt;=20))</f>
        <v>0</v>
      </c>
      <c r="BE16" s="3"/>
    </row>
    <row r="17" spans="2:57" ht="5.25" customHeight="1" x14ac:dyDescent="0.3">
      <c r="C17" s="116"/>
      <c r="E17" s="21"/>
      <c r="F17" s="38"/>
      <c r="G17" s="38"/>
      <c r="H17" s="21"/>
      <c r="I17" s="38"/>
      <c r="J17" s="38"/>
      <c r="K17" s="21"/>
      <c r="L17" s="38"/>
      <c r="M17" s="8"/>
      <c r="N17" s="37"/>
      <c r="O17" s="38"/>
      <c r="P17" s="38"/>
      <c r="Q17" s="37"/>
      <c r="R17" s="38"/>
      <c r="S17" s="38"/>
      <c r="T17" s="117">
        <f t="shared" si="18"/>
        <v>0</v>
      </c>
      <c r="U17" s="117">
        <f t="shared" si="19"/>
        <v>0</v>
      </c>
      <c r="V17" s="14"/>
      <c r="W17" s="128"/>
      <c r="X17" s="128"/>
      <c r="Y17" s="128"/>
      <c r="Z17" s="128"/>
      <c r="AA17" s="128"/>
      <c r="AB17" s="10"/>
      <c r="AC17" s="9"/>
      <c r="AD17" s="128"/>
      <c r="AE17" s="128"/>
      <c r="AF17" s="128"/>
      <c r="AG17" s="152"/>
      <c r="AH17" s="128"/>
      <c r="AI17" s="36"/>
      <c r="AJ17" s="9"/>
      <c r="AK17" s="128"/>
      <c r="AL17" s="128"/>
      <c r="AM17" s="128"/>
      <c r="AN17" s="128"/>
      <c r="AO17" s="131"/>
      <c r="AP17" s="36"/>
      <c r="AQ17" s="117">
        <f>AB17+AI17+AP17</f>
        <v>0</v>
      </c>
      <c r="AR17" s="117"/>
      <c r="AS17" s="117"/>
      <c r="AT17" s="39" t="str">
        <f t="shared" si="21"/>
        <v/>
      </c>
      <c r="AU17" s="185"/>
      <c r="AV17" s="195"/>
      <c r="AY17" s="130"/>
      <c r="AZ17" s="130"/>
      <c r="BA17" s="130" t="b">
        <f t="shared" si="32"/>
        <v>0</v>
      </c>
      <c r="BB17" s="130" t="b">
        <f t="shared" si="33"/>
        <v>0</v>
      </c>
    </row>
    <row r="18" spans="2:57" ht="4.5" customHeight="1" x14ac:dyDescent="0.3">
      <c r="C18" s="116"/>
      <c r="E18" s="21"/>
      <c r="F18" s="38"/>
      <c r="G18" s="38"/>
      <c r="H18" s="21"/>
      <c r="I18" s="38"/>
      <c r="J18" s="38"/>
      <c r="K18" s="21"/>
      <c r="L18" s="38"/>
      <c r="M18" s="8"/>
      <c r="N18" s="37"/>
      <c r="O18" s="38"/>
      <c r="P18" s="38"/>
      <c r="Q18" s="37"/>
      <c r="R18" s="38"/>
      <c r="S18" s="10"/>
      <c r="T18" s="117"/>
      <c r="U18" s="117"/>
      <c r="V18" s="14"/>
      <c r="W18" s="128"/>
      <c r="X18" s="128"/>
      <c r="Y18" s="128"/>
      <c r="Z18" s="128"/>
      <c r="AA18" s="128"/>
      <c r="AB18" s="10"/>
      <c r="AC18" s="9"/>
      <c r="AD18" s="128"/>
      <c r="AE18" s="128"/>
      <c r="AF18" s="128"/>
      <c r="AG18" s="152"/>
      <c r="AH18" s="128"/>
      <c r="AI18" s="36"/>
      <c r="AJ18" s="9"/>
      <c r="AK18" s="128"/>
      <c r="AL18" s="128"/>
      <c r="AM18" s="128"/>
      <c r="AN18" s="128"/>
      <c r="AO18" s="131"/>
      <c r="AP18" s="36"/>
      <c r="AQ18" s="117"/>
      <c r="AR18" s="117"/>
      <c r="AS18" s="117"/>
      <c r="AT18" s="39"/>
      <c r="AU18" s="185"/>
      <c r="AV18" s="195"/>
      <c r="AY18" s="130"/>
      <c r="AZ18" s="130"/>
      <c r="BA18" s="130" t="b">
        <f t="shared" si="32"/>
        <v>0</v>
      </c>
      <c r="BB18" s="130" t="b">
        <f t="shared" si="33"/>
        <v>0</v>
      </c>
    </row>
    <row r="19" spans="2:57" ht="55.2" x14ac:dyDescent="0.3">
      <c r="B19" s="41" t="s">
        <v>40</v>
      </c>
      <c r="C19" s="216" t="s">
        <v>250</v>
      </c>
      <c r="E19" s="37" t="s">
        <v>31</v>
      </c>
      <c r="F19" s="38">
        <f>IF(E19="N.A.",0)+IF(E19="Baixo",1)+IF(E19="Moderado",2)+IF(E19="Significativo",4)+IF(E19="Alto",6)</f>
        <v>6</v>
      </c>
      <c r="G19" s="38">
        <f>IF(F19&gt;0,1,0)</f>
        <v>1</v>
      </c>
      <c r="H19" s="37" t="s">
        <v>30</v>
      </c>
      <c r="I19" s="38">
        <f>IF(H19="N.A.",0)+IF(H19="Baixo",1)+IF(H19="Moderado",2)+IF(H19="Significativo",4)+IF(H19="Alto",6)</f>
        <v>4</v>
      </c>
      <c r="J19" s="38">
        <f>IF(I19&gt;0,1,0)</f>
        <v>1</v>
      </c>
      <c r="K19" s="37" t="s">
        <v>28</v>
      </c>
      <c r="L19" s="38">
        <f>IF(K19="N.A.",0)+IF(K19="Baixo",1)+IF(K19="Moderado",2)+IF(K19="Significativo",4)+IF(K19="Alto",6)</f>
        <v>1</v>
      </c>
      <c r="M19" s="8">
        <f>IF(L19&gt;0,1,0)</f>
        <v>1</v>
      </c>
      <c r="N19" s="37" t="s">
        <v>30</v>
      </c>
      <c r="O19" s="38">
        <f>IF(N19="N.A.",0)+IF(N19="Baixo",1)+IF(N19="Moderado",2)+IF(N19="Significativo",4)+IF(N19="Alto",6)</f>
        <v>4</v>
      </c>
      <c r="P19" s="38">
        <f>IF(O19&gt;0,1,0)</f>
        <v>1</v>
      </c>
      <c r="Q19" s="37" t="s">
        <v>31</v>
      </c>
      <c r="R19" s="38">
        <f>IF(Q19="N.A.",0)+IF(Q19="Baixo",1)+IF(Q19="Moderado",2)+IF(Q19="Significativo",4)+IF(Q19="Alto",6)</f>
        <v>6</v>
      </c>
      <c r="S19" s="38">
        <f>IF(R19&gt;0,1,0)</f>
        <v>1</v>
      </c>
      <c r="T19" s="117">
        <f>SUM(G19,J19,M19,P19,S19)</f>
        <v>5</v>
      </c>
      <c r="U19" s="117">
        <f>IFERROR(SUM(F19,I19,L19,O19,R19)/T19,0)</f>
        <v>4.2</v>
      </c>
      <c r="V19" s="14"/>
      <c r="W19" s="128"/>
      <c r="X19" s="128"/>
      <c r="Y19" s="128" t="s">
        <v>202</v>
      </c>
      <c r="Z19" s="128"/>
      <c r="AA19" s="128"/>
      <c r="AB19" s="36">
        <f>IF(W19="X",5)+IF(X19="X",4)+IF(Y19="X",3)+IF(Z19="X",2)+IF(AA19="X",1)</f>
        <v>3</v>
      </c>
      <c r="AC19" s="9"/>
      <c r="AD19" s="128"/>
      <c r="AE19" s="128"/>
      <c r="AF19" s="128"/>
      <c r="AG19" s="152" t="s">
        <v>202</v>
      </c>
      <c r="AH19" s="128"/>
      <c r="AI19" s="36">
        <f>IF(AD19="X",5)+IF(AE19="X",4)+IF(AF19="X",3)+IF(AG19="X",2)+IF(AH19="X",1)</f>
        <v>2</v>
      </c>
      <c r="AJ19" s="9"/>
      <c r="AK19" s="128"/>
      <c r="AL19" s="128"/>
      <c r="AM19" s="128"/>
      <c r="AN19" s="128" t="s">
        <v>202</v>
      </c>
      <c r="AO19" s="131"/>
      <c r="AP19" s="36">
        <f>IF(AK19="X",5)+IF(AL19="X",4)+IF(AM19="X",3)+IF(AN19="X",2)+IF(AO19="X",1)</f>
        <v>2</v>
      </c>
      <c r="AQ19" s="117">
        <f>AB19+AI19+AP19</f>
        <v>7</v>
      </c>
      <c r="AR19" s="117">
        <f>(AQ19+U19)/2</f>
        <v>5.6</v>
      </c>
      <c r="AS19" s="117">
        <f>IF(AT19="",0,10)</f>
        <v>10</v>
      </c>
      <c r="AT19" s="39" t="str">
        <f t="shared" si="21"/>
        <v>Alto</v>
      </c>
      <c r="AU19" s="185"/>
      <c r="AV19" s="195" t="s">
        <v>195</v>
      </c>
      <c r="AY19" s="130" t="b">
        <f>AND(U19&gt;0,U19&lt;=2,AQ19&gt;0,AQ19&lt;=7)</f>
        <v>0</v>
      </c>
      <c r="AZ19" s="130" t="b">
        <f>OR(AND(U19&gt;0,U19&lt;=2,AQ19&gt;0,AQ19&gt;7,AQ19&lt;=13),AND(U19&gt;0,U19&gt;2,U19&lt;=3,AQ19&gt;0,AQ19&lt;=10))</f>
        <v>0</v>
      </c>
      <c r="BA19" s="130" t="b">
        <f t="shared" si="32"/>
        <v>1</v>
      </c>
      <c r="BB19" s="130" t="b">
        <f t="shared" si="33"/>
        <v>0</v>
      </c>
      <c r="BE19" s="3"/>
    </row>
    <row r="20" spans="2:57" ht="6" customHeight="1" x14ac:dyDescent="0.3">
      <c r="C20" s="129"/>
      <c r="E20" s="21"/>
      <c r="F20" s="38"/>
      <c r="G20" s="38"/>
      <c r="H20" s="21"/>
      <c r="I20" s="38"/>
      <c r="J20" s="38"/>
      <c r="K20" s="21"/>
      <c r="L20" s="38"/>
      <c r="M20" s="8"/>
      <c r="N20" s="37"/>
      <c r="O20" s="38"/>
      <c r="P20" s="38"/>
      <c r="Q20" s="37"/>
      <c r="R20" s="38"/>
      <c r="S20" s="10"/>
      <c r="T20" s="117"/>
      <c r="U20" s="117"/>
      <c r="V20" s="14"/>
      <c r="W20" s="128"/>
      <c r="X20" s="128"/>
      <c r="Y20" s="128"/>
      <c r="Z20" s="128"/>
      <c r="AA20" s="128"/>
      <c r="AB20" s="10"/>
      <c r="AC20" s="9"/>
      <c r="AD20" s="128"/>
      <c r="AE20" s="128"/>
      <c r="AF20" s="128"/>
      <c r="AG20" s="152"/>
      <c r="AH20" s="128"/>
      <c r="AI20" s="36"/>
      <c r="AJ20" s="9"/>
      <c r="AK20" s="128"/>
      <c r="AL20" s="128"/>
      <c r="AM20" s="128"/>
      <c r="AN20" s="128"/>
      <c r="AO20" s="131"/>
      <c r="AP20" s="36"/>
      <c r="AQ20" s="117"/>
      <c r="AR20" s="117"/>
      <c r="AS20" s="117"/>
      <c r="AT20" s="39"/>
      <c r="AU20" s="185"/>
      <c r="AV20" s="195"/>
      <c r="AY20" s="130"/>
      <c r="AZ20" s="130"/>
      <c r="BA20" s="130" t="b">
        <f t="shared" si="32"/>
        <v>0</v>
      </c>
      <c r="BB20" s="130" t="b">
        <f t="shared" si="33"/>
        <v>0</v>
      </c>
    </row>
    <row r="21" spans="2:57" ht="39.75" customHeight="1" x14ac:dyDescent="0.3">
      <c r="B21" s="41" t="s">
        <v>41</v>
      </c>
      <c r="C21" s="216"/>
      <c r="E21" s="37"/>
      <c r="F21" s="38">
        <f>IF(E21="N.A.",0)+IF(E21="Baixo",1)+IF(E21="Moderado",2)+IF(E21="Significativo",4)+IF(E21="Alto",6)</f>
        <v>0</v>
      </c>
      <c r="G21" s="38">
        <f>IF(F21&gt;0,1,0)</f>
        <v>0</v>
      </c>
      <c r="H21" s="37"/>
      <c r="I21" s="38">
        <f>IF(H21="N.A.",0)+IF(H21="Baixo",1)+IF(H21="Moderado",2)+IF(H21="Significativo",4)+IF(H21="Alto",6)</f>
        <v>0</v>
      </c>
      <c r="J21" s="38">
        <f>IF(I21&gt;0,1,0)</f>
        <v>0</v>
      </c>
      <c r="K21" s="37"/>
      <c r="L21" s="38">
        <f>IF(K21="N.A.",0)+IF(K21="Baixo",1)+IF(K21="Moderado",2)+IF(K21="Significativo",4)+IF(K21="Alto",6)</f>
        <v>0</v>
      </c>
      <c r="M21" s="8">
        <f>IF(L21&gt;0,1,0)</f>
        <v>0</v>
      </c>
      <c r="N21" s="37"/>
      <c r="O21" s="38">
        <f>IF(N21="N.A.",0)+IF(N21="Baixo",1)+IF(N21="Moderado",2)+IF(N21="Significativo",4)+IF(N21="Alto",6)</f>
        <v>0</v>
      </c>
      <c r="P21" s="38">
        <f>IF(O21&gt;0,1,0)</f>
        <v>0</v>
      </c>
      <c r="Q21" s="37"/>
      <c r="R21" s="38">
        <f>IF(Q21="N.A.",0)+IF(Q21="Baixo",1)+IF(Q21="Moderado",2)+IF(Q21="Significativo",4)+IF(Q21="Alto",6)</f>
        <v>0</v>
      </c>
      <c r="S21" s="38">
        <f>IF(R21&gt;0,1,0)</f>
        <v>0</v>
      </c>
      <c r="T21" s="117">
        <f>SUM(G21,J21,M21,P21,S21)</f>
        <v>0</v>
      </c>
      <c r="U21" s="117">
        <f>IFERROR(SUM(F21,I21,L21,O21,R21)/T21,0)</f>
        <v>0</v>
      </c>
      <c r="V21" s="14"/>
      <c r="W21" s="213"/>
      <c r="X21" s="213"/>
      <c r="Y21" s="213"/>
      <c r="Z21" s="213"/>
      <c r="AA21" s="213"/>
      <c r="AB21" s="36">
        <f>IF(W21="X",5)+IF(X21="X",4)+IF(Y21="X",3)+IF(Z21="X",2)+IF(AA21="X",1)</f>
        <v>0</v>
      </c>
      <c r="AC21" s="9"/>
      <c r="AD21" s="213"/>
      <c r="AE21" s="213"/>
      <c r="AF21" s="213"/>
      <c r="AG21" s="214"/>
      <c r="AH21" s="213"/>
      <c r="AI21" s="55">
        <f>IF(AD21="X",5)+IF(AE21="X",4)+IF(AF21="X",3)+IF(AG21="X",2)+IF(AH21="X",1)</f>
        <v>0</v>
      </c>
      <c r="AJ21" s="57"/>
      <c r="AK21" s="213"/>
      <c r="AL21" s="213"/>
      <c r="AM21" s="213"/>
      <c r="AN21" s="213"/>
      <c r="AO21" s="215"/>
      <c r="AP21" s="36">
        <f>IF(AK21="X",5)+IF(AL21="X",4)+IF(AM21="X",3)+IF(AN21="X",2)+IF(AO21="X",1)</f>
        <v>0</v>
      </c>
      <c r="AQ21" s="117">
        <f>AB21+AI21+AP21</f>
        <v>0</v>
      </c>
      <c r="AR21" s="117">
        <f>(AQ21+U21)/2</f>
        <v>0</v>
      </c>
      <c r="AS21" s="117">
        <f>IF(AT21="",0,10)</f>
        <v>0</v>
      </c>
      <c r="AT21" s="39" t="str">
        <f t="shared" si="21"/>
        <v/>
      </c>
      <c r="AU21" s="185"/>
      <c r="AV21" s="195"/>
      <c r="AY21" s="130" t="b">
        <f>AND(U21&gt;0,U21&lt;=2,AQ21&gt;0,AQ21&lt;=7)</f>
        <v>0</v>
      </c>
      <c r="AZ21" s="130" t="b">
        <f>OR(AND(U21&gt;0,U21&lt;=2,AQ21&gt;0,AQ21&gt;7,AQ21&lt;=13),AND(U21&gt;0,U21&gt;2,U21&lt;=3,AQ21&gt;0,AQ21&lt;=10))</f>
        <v>0</v>
      </c>
      <c r="BA21" s="130" t="b">
        <f t="shared" si="32"/>
        <v>0</v>
      </c>
      <c r="BB21" s="130" t="b">
        <f t="shared" si="33"/>
        <v>0</v>
      </c>
    </row>
    <row r="22" spans="2:57" ht="6" customHeight="1" x14ac:dyDescent="0.3">
      <c r="C22" s="129"/>
      <c r="E22" s="21"/>
      <c r="F22" s="38"/>
      <c r="G22" s="38"/>
      <c r="H22" s="21"/>
      <c r="I22" s="38"/>
      <c r="J22" s="38"/>
      <c r="K22" s="21"/>
      <c r="L22" s="38"/>
      <c r="M22" s="8"/>
      <c r="N22" s="37"/>
      <c r="O22" s="38"/>
      <c r="P22" s="38"/>
      <c r="Q22" s="37"/>
      <c r="R22" s="38"/>
      <c r="S22" s="10"/>
      <c r="T22" s="117"/>
      <c r="U22" s="117"/>
      <c r="V22" s="14"/>
      <c r="W22" s="128"/>
      <c r="X22" s="128"/>
      <c r="Y22" s="128"/>
      <c r="Z22" s="128"/>
      <c r="AA22" s="128"/>
      <c r="AB22" s="10"/>
      <c r="AC22" s="9"/>
      <c r="AD22" s="128"/>
      <c r="AE22" s="128"/>
      <c r="AF22" s="128"/>
      <c r="AG22" s="152"/>
      <c r="AH22" s="128"/>
      <c r="AI22" s="36"/>
      <c r="AJ22" s="9"/>
      <c r="AK22" s="128"/>
      <c r="AL22" s="128"/>
      <c r="AM22" s="128"/>
      <c r="AN22" s="128"/>
      <c r="AO22" s="131"/>
      <c r="AP22" s="36"/>
      <c r="AQ22" s="117"/>
      <c r="AR22" s="117"/>
      <c r="AS22" s="117"/>
      <c r="AT22" s="39"/>
      <c r="AU22" s="185"/>
      <c r="AV22" s="195"/>
      <c r="AY22" s="130"/>
      <c r="AZ22" s="130"/>
      <c r="BA22" s="130" t="b">
        <f t="shared" si="32"/>
        <v>0</v>
      </c>
      <c r="BB22" s="130" t="b">
        <f t="shared" si="33"/>
        <v>0</v>
      </c>
    </row>
    <row r="23" spans="2:57" ht="39" customHeight="1" x14ac:dyDescent="0.3">
      <c r="B23" s="41" t="s">
        <v>42</v>
      </c>
      <c r="C23" s="51"/>
      <c r="E23" s="37"/>
      <c r="F23" s="38">
        <f>IF(E23="N.A.",0)+IF(E23="Baixo",1)+IF(E23="Moderado",2)+IF(E23="Significativo",4)+IF(E23="Alto",6)</f>
        <v>0</v>
      </c>
      <c r="G23" s="38">
        <f>IF(F23&gt;0,1,0)</f>
        <v>0</v>
      </c>
      <c r="H23" s="37"/>
      <c r="I23" s="38">
        <f>IF(H23="N.A.",0)+IF(H23="Baixo",1)+IF(H23="Moderado",2)+IF(H23="Significativo",4)+IF(H23="Alto",6)</f>
        <v>0</v>
      </c>
      <c r="J23" s="38">
        <f>IF(I23&gt;0,1,0)</f>
        <v>0</v>
      </c>
      <c r="K23" s="37"/>
      <c r="L23" s="38">
        <f>IF(K23="N.A.",0)+IF(K23="Baixo",1)+IF(K23="Moderado",2)+IF(K23="Significativo",4)+IF(K23="Alto",6)</f>
        <v>0</v>
      </c>
      <c r="M23" s="8">
        <f>IF(L23&gt;0,1,0)</f>
        <v>0</v>
      </c>
      <c r="N23" s="37"/>
      <c r="O23" s="38">
        <f>IF(N23="N.A.",0)+IF(N23="Baixo",1)+IF(N23="Moderado",2)+IF(N23="Significativo",4)+IF(N23="Alto",6)</f>
        <v>0</v>
      </c>
      <c r="P23" s="38">
        <f>IF(O23&gt;0,1,0)</f>
        <v>0</v>
      </c>
      <c r="Q23" s="37"/>
      <c r="R23" s="38">
        <f>IF(Q23="N.A.",0)+IF(Q23="Baixo",1)+IF(Q23="Moderado",2)+IF(Q23="Significativo",4)+IF(Q23="Alto",6)</f>
        <v>0</v>
      </c>
      <c r="S23" s="38">
        <f>IF(R23&gt;0,1,0)</f>
        <v>0</v>
      </c>
      <c r="T23" s="117">
        <f>SUM(G23,J23,M23,P23,S23)</f>
        <v>0</v>
      </c>
      <c r="U23" s="117">
        <f>IFERROR(SUM(F23,I23,L23,O23,R23)/T23,0)</f>
        <v>0</v>
      </c>
      <c r="V23" s="14"/>
      <c r="W23" s="128"/>
      <c r="X23" s="128"/>
      <c r="Y23" s="128"/>
      <c r="Z23" s="128"/>
      <c r="AA23" s="128"/>
      <c r="AB23" s="36">
        <f>IF(W23="X",5)+IF(X23="X",4)+IF(Y23="X",3)+IF(Z23="X",2)+IF(AA23="X",1)</f>
        <v>0</v>
      </c>
      <c r="AC23" s="9"/>
      <c r="AD23" s="128"/>
      <c r="AE23" s="128"/>
      <c r="AF23" s="128"/>
      <c r="AG23" s="152"/>
      <c r="AH23" s="128"/>
      <c r="AI23" s="36">
        <f>IF(AD23="X",5)+IF(AE23="X",4)+IF(AF23="X",3)+IF(AG23="X",2)+IF(AH23="X",1)</f>
        <v>0</v>
      </c>
      <c r="AJ23" s="9"/>
      <c r="AK23" s="128"/>
      <c r="AL23" s="128"/>
      <c r="AM23" s="128"/>
      <c r="AN23" s="128"/>
      <c r="AO23" s="131"/>
      <c r="AP23" s="36">
        <f>IF(AK23="X",5)+IF(AL23="X",4)+IF(AM23="X",3)+IF(AN23="X",2)+IF(AO23="X",1)</f>
        <v>0</v>
      </c>
      <c r="AQ23" s="117">
        <f>AB23+AI23+AP23</f>
        <v>0</v>
      </c>
      <c r="AR23" s="117">
        <f>(AQ23+U23)/2</f>
        <v>0</v>
      </c>
      <c r="AS23" s="117">
        <f>IF(AT23="",0,10)</f>
        <v>0</v>
      </c>
      <c r="AT23" s="39" t="str">
        <f>IF(AY27=TRUE,"Baixo",IF(AZ27=TRUE,"Médio",IF(BA27=TRUE,"Alto",IF(BB27=TRUE,"Muito Alto",""))))</f>
        <v/>
      </c>
      <c r="AU23" s="185"/>
      <c r="AV23" s="195"/>
      <c r="AY23" s="130" t="e">
        <f>AND(#REF!&gt;0,#REF!&lt;=2,#REF!&gt;0,#REF!&lt;=7)</f>
        <v>#REF!</v>
      </c>
      <c r="AZ23" s="130" t="e">
        <f>OR(AND(#REF!&gt;0,#REF!&lt;=2,#REF!&gt;0,#REF!&gt;7,#REF!&lt;=13),AND(#REF!&gt;0,#REF!&gt;2,#REF!&lt;=3,#REF!&gt;0,#REF!&lt;=10))</f>
        <v>#REF!</v>
      </c>
      <c r="BA23" s="130" t="e">
        <f>OR(AND(#REF!&gt;0,#REF!&lt;=2,#REF!&gt;0,#REF!&gt;12,#REF!&lt;=17),AND(#REF!&gt;0,#REF!&gt;2,#REF!&lt;=3,#REF!&gt;0,#REF!&gt;10,#REF!&lt;=13),AND(#REF!&gt;0,#REF!&gt;3,#REF!&lt;=5,#REF!&gt;0,#REF!&lt;=10),AND(#REF!&gt;0,#REF!&gt;5,#REF!&lt;=6,#REF!&gt;0,#REF!&lt;=7))</f>
        <v>#REF!</v>
      </c>
      <c r="BB23" s="130" t="e">
        <f>OR(AND(#REF!&gt;0,#REF!&gt;2,#REF!&lt;=3,#REF!&gt;0,#REF!&gt;14,#REF!&lt;=20),AND(#REF!&gt;0,#REF!&gt;3,#REF!&lt;=5,#REF!&gt;0,#REF!&gt;10),AND(#REF!&gt;0,#REF!&gt;5,#REF!&lt;=6,#REF!&gt;0,#REF!&gt;7,#REF!&lt;=20))</f>
        <v>#REF!</v>
      </c>
    </row>
    <row r="24" spans="2:57" ht="3.75" customHeight="1" x14ac:dyDescent="0.3">
      <c r="C24" s="116"/>
      <c r="E24" s="21"/>
      <c r="F24" s="38"/>
      <c r="G24" s="38"/>
      <c r="H24" s="21"/>
      <c r="I24" s="38">
        <f t="shared" ref="I24" si="34">IF(H24="N.A.",0)+IF(H24="Baixo",1)+IF(H24="Moderado",2)+IF(H24="Significativo",4)+IF(H24="Alto",6)</f>
        <v>0</v>
      </c>
      <c r="J24" s="38">
        <f t="shared" ref="J24" si="35">IF(I24&gt;0,1,0)</f>
        <v>0</v>
      </c>
      <c r="K24" s="21"/>
      <c r="L24" s="38">
        <f>IF(K24="N.A.",0)+IF(K24="Baixo",1)+IF(K24="Moderado",2)+IF(K24="Significativo",4)+IF(K24="Alto",6)</f>
        <v>0</v>
      </c>
      <c r="M24" s="10"/>
      <c r="N24" s="37"/>
      <c r="O24" s="38"/>
      <c r="P24" s="38"/>
      <c r="Q24" s="37"/>
      <c r="R24" s="38"/>
      <c r="S24" s="10"/>
      <c r="T24" s="117"/>
      <c r="U24" s="117"/>
      <c r="V24" s="14"/>
      <c r="W24" s="128"/>
      <c r="X24" s="128"/>
      <c r="Y24" s="128"/>
      <c r="Z24" s="128"/>
      <c r="AA24" s="128"/>
      <c r="AB24" s="10"/>
      <c r="AC24" s="9"/>
      <c r="AD24" s="128"/>
      <c r="AE24" s="128"/>
      <c r="AF24" s="128"/>
      <c r="AG24" s="152"/>
      <c r="AH24" s="128"/>
      <c r="AI24" s="36"/>
      <c r="AJ24" s="9"/>
      <c r="AK24" s="128"/>
      <c r="AL24" s="128"/>
      <c r="AM24" s="128"/>
      <c r="AN24" s="128"/>
      <c r="AO24" s="131"/>
      <c r="AP24" s="36"/>
      <c r="AQ24" s="117"/>
      <c r="AR24" s="117"/>
      <c r="AS24" s="117"/>
      <c r="AT24" s="39"/>
      <c r="AU24" s="185"/>
      <c r="AV24" s="195"/>
      <c r="AY24" s="130"/>
      <c r="AZ24" s="130"/>
      <c r="BA24" s="130" t="b">
        <f t="shared" si="8"/>
        <v>0</v>
      </c>
      <c r="BB24" s="130" t="b">
        <f t="shared" si="13"/>
        <v>0</v>
      </c>
    </row>
    <row r="25" spans="2:57" x14ac:dyDescent="0.3">
      <c r="B25" s="41" t="s">
        <v>43</v>
      </c>
      <c r="C25" s="51"/>
      <c r="E25" s="37"/>
      <c r="F25" s="38"/>
      <c r="G25" s="38"/>
      <c r="H25" s="37"/>
      <c r="I25" s="38"/>
      <c r="J25" s="38"/>
      <c r="K25" s="37"/>
      <c r="L25" s="38"/>
      <c r="M25" s="8"/>
      <c r="N25" s="37"/>
      <c r="O25" s="38"/>
      <c r="P25" s="38"/>
      <c r="Q25" s="37"/>
      <c r="R25" s="38"/>
      <c r="S25" s="38"/>
      <c r="T25" s="117"/>
      <c r="U25" s="117"/>
      <c r="V25" s="14"/>
      <c r="W25" s="128"/>
      <c r="X25" s="128"/>
      <c r="Y25" s="128"/>
      <c r="Z25" s="128"/>
      <c r="AA25" s="128"/>
      <c r="AB25" s="36"/>
      <c r="AC25" s="9"/>
      <c r="AD25" s="128"/>
      <c r="AE25" s="128"/>
      <c r="AF25" s="128"/>
      <c r="AG25" s="152"/>
      <c r="AH25" s="128"/>
      <c r="AI25" s="36"/>
      <c r="AJ25" s="9"/>
      <c r="AK25" s="128"/>
      <c r="AL25" s="128"/>
      <c r="AM25" s="128"/>
      <c r="AN25" s="128"/>
      <c r="AO25" s="131"/>
      <c r="AP25" s="36"/>
      <c r="AQ25" s="117"/>
      <c r="AR25" s="117"/>
      <c r="AS25" s="117"/>
      <c r="AT25" s="39"/>
      <c r="AU25" s="185"/>
      <c r="AV25" s="195"/>
      <c r="AY25" s="130" t="b">
        <f t="shared" si="16"/>
        <v>0</v>
      </c>
      <c r="AZ25" s="130" t="b">
        <f t="shared" si="17"/>
        <v>0</v>
      </c>
      <c r="BA25" s="130" t="b">
        <f t="shared" si="8"/>
        <v>0</v>
      </c>
      <c r="BB25" s="130" t="b">
        <f t="shared" si="13"/>
        <v>0</v>
      </c>
    </row>
    <row r="26" spans="2:57" ht="3" customHeight="1" x14ac:dyDescent="0.3">
      <c r="C26" s="47"/>
      <c r="E26" s="21"/>
      <c r="F26" s="38"/>
      <c r="G26" s="38"/>
      <c r="H26" s="21"/>
      <c r="I26" s="38"/>
      <c r="J26" s="38"/>
      <c r="K26" s="21"/>
      <c r="L26" s="38"/>
      <c r="M26" s="8"/>
      <c r="N26" s="37"/>
      <c r="O26" s="38"/>
      <c r="P26" s="38"/>
      <c r="Q26" s="37"/>
      <c r="R26" s="38"/>
      <c r="S26" s="10"/>
      <c r="T26" s="117"/>
      <c r="U26" s="117"/>
      <c r="V26" s="14"/>
      <c r="W26" s="128"/>
      <c r="X26" s="128"/>
      <c r="Y26" s="128"/>
      <c r="Z26" s="128"/>
      <c r="AA26" s="128"/>
      <c r="AB26" s="10"/>
      <c r="AC26" s="9"/>
      <c r="AD26" s="128"/>
      <c r="AE26" s="128"/>
      <c r="AF26" s="128"/>
      <c r="AG26" s="152"/>
      <c r="AH26" s="128"/>
      <c r="AI26" s="36"/>
      <c r="AJ26" s="9"/>
      <c r="AK26" s="128"/>
      <c r="AL26" s="128"/>
      <c r="AM26" s="128"/>
      <c r="AN26" s="128"/>
      <c r="AO26" s="131"/>
      <c r="AP26" s="36"/>
      <c r="AQ26" s="117"/>
      <c r="AR26" s="117"/>
      <c r="AS26" s="117"/>
      <c r="AT26" s="39"/>
      <c r="AU26" s="185"/>
      <c r="AV26" s="195"/>
      <c r="AY26" s="130"/>
      <c r="AZ26" s="130"/>
      <c r="BA26" s="130" t="b">
        <f t="shared" si="8"/>
        <v>0</v>
      </c>
      <c r="BB26" s="130" t="b">
        <f t="shared" si="13"/>
        <v>0</v>
      </c>
    </row>
    <row r="27" spans="2:57" x14ac:dyDescent="0.3">
      <c r="B27" s="41" t="s">
        <v>44</v>
      </c>
      <c r="AY27" s="130" t="b">
        <f>AND(U23&gt;0,U23&lt;=2,AQ23&gt;0,AQ23&lt;=7)</f>
        <v>0</v>
      </c>
      <c r="AZ27" s="130" t="b">
        <f>OR(AND(U23&gt;0,U23&lt;=2,AQ23&gt;0,AQ23&gt;7,AQ23&lt;=13),AND(U23&gt;0,U23&gt;2,U23&lt;=3,AQ23&gt;0,AQ23&lt;=10))</f>
        <v>0</v>
      </c>
      <c r="BA27" s="130" t="b">
        <f>OR(AND(U23&gt;0,U23&lt;=2,AQ23&gt;0,AQ23&gt;12,AQ23&lt;=17),AND(U23&gt;0,U23&gt;2,U23&lt;=3,AQ23&gt;0,AQ23&gt;10,AQ23&lt;=13),AND(U23&gt;0,U23&gt;3,U23&lt;=5,AQ23&gt;0,AQ23&lt;=10),AND(U23&gt;0,U23&gt;5,U23&lt;=6,AQ23&gt;0,AQ23&lt;=7))</f>
        <v>0</v>
      </c>
      <c r="BB27" s="130" t="b">
        <f>OR(AND(U23&gt;0,U23&gt;2,U23&lt;=3,AQ23&gt;0,AQ23&gt;14,AQ23&lt;=20),AND(U23&gt;0,U23&gt;3,U23&lt;=5,AQ23&gt;0,AQ23&gt;10),AND(U23&gt;0,U23&gt;5,U23&lt;=6,AQ23&gt;0,AQ23&gt;7,AQ23&lt;=20))</f>
        <v>0</v>
      </c>
    </row>
    <row r="28" spans="2:57" ht="3" customHeight="1" x14ac:dyDescent="0.3">
      <c r="C28" s="170"/>
      <c r="E28" s="21"/>
      <c r="F28" s="38"/>
      <c r="G28" s="38"/>
      <c r="H28" s="21"/>
      <c r="I28" s="38"/>
      <c r="J28" s="38"/>
      <c r="K28" s="21"/>
      <c r="L28" s="38"/>
      <c r="M28" s="8"/>
      <c r="N28" s="37"/>
      <c r="O28" s="38"/>
      <c r="P28" s="38"/>
      <c r="Q28" s="37"/>
      <c r="R28" s="38"/>
      <c r="S28" s="10"/>
      <c r="T28" s="117"/>
      <c r="U28" s="117"/>
      <c r="V28" s="14"/>
      <c r="W28" s="128"/>
      <c r="X28" s="128"/>
      <c r="Y28" s="128"/>
      <c r="Z28" s="128"/>
      <c r="AA28" s="128"/>
      <c r="AB28" s="10"/>
      <c r="AC28" s="9"/>
      <c r="AD28" s="128"/>
      <c r="AE28" s="128"/>
      <c r="AF28" s="128"/>
      <c r="AG28" s="152"/>
      <c r="AH28" s="128"/>
      <c r="AI28" s="36"/>
      <c r="AJ28" s="9"/>
      <c r="AK28" s="128"/>
      <c r="AL28" s="128"/>
      <c r="AM28" s="128"/>
      <c r="AN28" s="128"/>
      <c r="AO28" s="131"/>
      <c r="AP28" s="36"/>
      <c r="AQ28" s="117"/>
      <c r="AR28" s="117"/>
      <c r="AS28" s="117"/>
      <c r="AT28" s="39"/>
      <c r="AU28" s="185"/>
      <c r="AV28" s="195"/>
      <c r="AY28" s="130"/>
      <c r="AZ28" s="130"/>
      <c r="BA28" s="130" t="b">
        <f t="shared" si="8"/>
        <v>0</v>
      </c>
      <c r="BB28" s="130" t="b">
        <f t="shared" si="13"/>
        <v>0</v>
      </c>
    </row>
    <row r="29" spans="2:57" x14ac:dyDescent="0.3">
      <c r="B29" s="41" t="s">
        <v>47</v>
      </c>
      <c r="C29" s="216"/>
      <c r="E29" s="37"/>
      <c r="F29" s="38">
        <f t="shared" ref="F29:F37" si="36">IF(E29="N.A.",0)+IF(E29="Baixo",1)+IF(E29="Moderado",2)+IF(E29="Significativo",4)+IF(E29="Alto",6)</f>
        <v>0</v>
      </c>
      <c r="G29" s="38">
        <f t="shared" ref="G29:G37" si="37">IF(F29&gt;0,1,0)</f>
        <v>0</v>
      </c>
      <c r="H29" s="37"/>
      <c r="I29" s="38">
        <f t="shared" ref="I29:I37" si="38">IF(H29="N.A.",0)+IF(H29="Baixo",1)+IF(H29="Moderado",2)+IF(H29="Significativo",4)+IF(H29="Alto",6)</f>
        <v>0</v>
      </c>
      <c r="J29" s="38">
        <f t="shared" ref="J29:J37" si="39">IF(I29&gt;0,1,0)</f>
        <v>0</v>
      </c>
      <c r="K29" s="37"/>
      <c r="L29" s="38">
        <f t="shared" ref="L29:L37" si="40">IF(K29="N.A.",0)+IF(K29="Baixo",1)+IF(K29="Moderado",2)+IF(K29="Significativo",4)+IF(K29="Alto",6)</f>
        <v>0</v>
      </c>
      <c r="M29" s="8">
        <f t="shared" ref="M29:M37" si="41">IF(L29&gt;0,1,0)</f>
        <v>0</v>
      </c>
      <c r="N29" s="37"/>
      <c r="O29" s="38">
        <f t="shared" ref="O29:O37" si="42">IF(N29="N.A.",0)+IF(N29="Baixo",1)+IF(N29="Moderado",2)+IF(N29="Significativo",4)+IF(N29="Alto",6)</f>
        <v>0</v>
      </c>
      <c r="P29" s="38">
        <f t="shared" ref="P29:P37" si="43">IF(O29&gt;0,1,0)</f>
        <v>0</v>
      </c>
      <c r="Q29" s="37"/>
      <c r="R29" s="38">
        <f t="shared" si="31"/>
        <v>0</v>
      </c>
      <c r="S29" s="38">
        <f>IF(R29&gt;0,1,0)</f>
        <v>0</v>
      </c>
      <c r="T29" s="117">
        <f t="shared" si="18"/>
        <v>0</v>
      </c>
      <c r="U29" s="117">
        <f t="shared" si="19"/>
        <v>0</v>
      </c>
      <c r="V29" s="14"/>
      <c r="W29" s="128"/>
      <c r="X29" s="128"/>
      <c r="Y29" s="128"/>
      <c r="Z29" s="128"/>
      <c r="AA29" s="128"/>
      <c r="AB29" s="36">
        <f>IF(W29="X",5)+IF(X29="X",4)+IF(Y29="X",3)+IF(Z29="X",2)+IF(AA29="X",1)</f>
        <v>0</v>
      </c>
      <c r="AC29" s="9"/>
      <c r="AD29" s="128"/>
      <c r="AE29" s="128"/>
      <c r="AF29" s="128"/>
      <c r="AG29" s="152"/>
      <c r="AH29" s="128"/>
      <c r="AI29" s="36">
        <f t="shared" si="29"/>
        <v>0</v>
      </c>
      <c r="AJ29" s="9"/>
      <c r="AK29" s="128"/>
      <c r="AL29" s="128"/>
      <c r="AM29" s="128"/>
      <c r="AN29" s="128"/>
      <c r="AO29" s="131"/>
      <c r="AP29" s="36">
        <f t="shared" si="30"/>
        <v>0</v>
      </c>
      <c r="AQ29" s="117">
        <f t="shared" si="20"/>
        <v>0</v>
      </c>
      <c r="AR29" s="117">
        <f>(AQ29+U29)/2</f>
        <v>0</v>
      </c>
      <c r="AS29" s="117">
        <f>IF(AT29="",0,10)</f>
        <v>0</v>
      </c>
      <c r="AT29" s="39" t="str">
        <f t="shared" si="21"/>
        <v/>
      </c>
      <c r="AU29" s="185"/>
      <c r="AV29" s="195"/>
      <c r="AY29" s="130" t="b">
        <f t="shared" si="16"/>
        <v>0</v>
      </c>
      <c r="AZ29" s="130" t="b">
        <f t="shared" si="17"/>
        <v>0</v>
      </c>
      <c r="BA29" s="130" t="b">
        <f t="shared" si="8"/>
        <v>0</v>
      </c>
      <c r="BB29" s="130" t="b">
        <f t="shared" si="13"/>
        <v>0</v>
      </c>
    </row>
    <row r="30" spans="2:57" ht="3" customHeight="1" x14ac:dyDescent="0.3">
      <c r="C30" s="129"/>
      <c r="E30" s="21"/>
      <c r="F30" s="38"/>
      <c r="G30" s="38"/>
      <c r="H30" s="21"/>
      <c r="I30" s="38"/>
      <c r="J30" s="38"/>
      <c r="K30" s="21"/>
      <c r="L30" s="38"/>
      <c r="M30" s="8"/>
      <c r="N30" s="37"/>
      <c r="O30" s="38"/>
      <c r="P30" s="38"/>
      <c r="Q30" s="37"/>
      <c r="R30" s="38"/>
      <c r="S30" s="10"/>
      <c r="T30" s="117"/>
      <c r="U30" s="117"/>
      <c r="V30" s="14"/>
      <c r="W30" s="128"/>
      <c r="X30" s="128"/>
      <c r="Y30" s="128"/>
      <c r="Z30" s="128"/>
      <c r="AA30" s="128"/>
      <c r="AB30" s="10"/>
      <c r="AC30" s="9"/>
      <c r="AD30" s="128"/>
      <c r="AE30" s="128"/>
      <c r="AF30" s="128"/>
      <c r="AG30" s="152"/>
      <c r="AH30" s="128"/>
      <c r="AI30" s="36"/>
      <c r="AJ30" s="9"/>
      <c r="AK30" s="128"/>
      <c r="AL30" s="128"/>
      <c r="AM30" s="128"/>
      <c r="AN30" s="128"/>
      <c r="AO30" s="131"/>
      <c r="AP30" s="36"/>
      <c r="AQ30" s="117"/>
      <c r="AR30" s="117"/>
      <c r="AS30" s="117"/>
      <c r="AT30" s="39"/>
      <c r="AU30" s="185"/>
      <c r="AV30" s="195"/>
      <c r="AY30" s="130"/>
      <c r="AZ30" s="130"/>
      <c r="BA30" s="130" t="b">
        <f t="shared" si="8"/>
        <v>0</v>
      </c>
      <c r="BB30" s="130" t="b">
        <f t="shared" si="13"/>
        <v>0</v>
      </c>
    </row>
    <row r="31" spans="2:57" x14ac:dyDescent="0.3">
      <c r="B31" s="41" t="s">
        <v>48</v>
      </c>
      <c r="C31" s="51"/>
      <c r="E31" s="37"/>
      <c r="F31" s="38">
        <f t="shared" si="36"/>
        <v>0</v>
      </c>
      <c r="G31" s="38">
        <f t="shared" si="37"/>
        <v>0</v>
      </c>
      <c r="H31" s="37"/>
      <c r="I31" s="38">
        <f t="shared" si="38"/>
        <v>0</v>
      </c>
      <c r="J31" s="38">
        <f t="shared" si="39"/>
        <v>0</v>
      </c>
      <c r="K31" s="37"/>
      <c r="L31" s="38">
        <f t="shared" si="40"/>
        <v>0</v>
      </c>
      <c r="M31" s="8">
        <f t="shared" si="41"/>
        <v>0</v>
      </c>
      <c r="N31" s="37"/>
      <c r="O31" s="38">
        <f t="shared" si="42"/>
        <v>0</v>
      </c>
      <c r="P31" s="38">
        <f t="shared" si="43"/>
        <v>0</v>
      </c>
      <c r="Q31" s="37"/>
      <c r="R31" s="38">
        <f t="shared" si="31"/>
        <v>0</v>
      </c>
      <c r="S31" s="38">
        <f>IF(R31&gt;0,1,0)</f>
        <v>0</v>
      </c>
      <c r="T31" s="117">
        <f t="shared" si="18"/>
        <v>0</v>
      </c>
      <c r="U31" s="117">
        <f t="shared" si="19"/>
        <v>0</v>
      </c>
      <c r="V31" s="14"/>
      <c r="W31" s="128"/>
      <c r="X31" s="128"/>
      <c r="Y31" s="128"/>
      <c r="Z31" s="128"/>
      <c r="AA31" s="128"/>
      <c r="AB31" s="36">
        <f>IF(W31="X",5)+IF(X31="X",4)+IF(Y31="X",3)+IF(Z31="X",2)+IF(AA31="X",1)</f>
        <v>0</v>
      </c>
      <c r="AC31" s="9"/>
      <c r="AD31" s="128"/>
      <c r="AE31" s="128"/>
      <c r="AF31" s="128"/>
      <c r="AG31" s="152"/>
      <c r="AH31" s="128"/>
      <c r="AI31" s="36">
        <f t="shared" si="29"/>
        <v>0</v>
      </c>
      <c r="AJ31" s="9"/>
      <c r="AK31" s="128"/>
      <c r="AL31" s="128"/>
      <c r="AM31" s="128"/>
      <c r="AN31" s="128"/>
      <c r="AO31" s="131"/>
      <c r="AP31" s="36">
        <f t="shared" si="30"/>
        <v>0</v>
      </c>
      <c r="AQ31" s="117">
        <f t="shared" si="20"/>
        <v>0</v>
      </c>
      <c r="AR31" s="117">
        <f>(AQ31+U31)/2</f>
        <v>0</v>
      </c>
      <c r="AS31" s="117">
        <f>IF(AT31="",0,10)</f>
        <v>0</v>
      </c>
      <c r="AT31" s="39" t="str">
        <f t="shared" si="21"/>
        <v/>
      </c>
      <c r="AU31" s="185"/>
      <c r="AV31" s="195"/>
      <c r="AY31" s="130" t="b">
        <f t="shared" si="16"/>
        <v>0</v>
      </c>
      <c r="AZ31" s="130" t="b">
        <f t="shared" si="17"/>
        <v>0</v>
      </c>
      <c r="BA31" s="130" t="b">
        <f t="shared" si="8"/>
        <v>0</v>
      </c>
      <c r="BB31" s="130" t="b">
        <f t="shared" si="13"/>
        <v>0</v>
      </c>
    </row>
    <row r="32" spans="2:57" ht="3" customHeight="1" x14ac:dyDescent="0.3">
      <c r="C32" s="47"/>
      <c r="E32" s="21"/>
      <c r="F32" s="38"/>
      <c r="G32" s="38"/>
      <c r="H32" s="21"/>
      <c r="I32" s="38"/>
      <c r="J32" s="38"/>
      <c r="K32" s="21"/>
      <c r="L32" s="38"/>
      <c r="M32" s="8"/>
      <c r="N32" s="37"/>
      <c r="O32" s="38"/>
      <c r="P32" s="38"/>
      <c r="Q32" s="37"/>
      <c r="R32" s="38"/>
      <c r="S32" s="10"/>
      <c r="T32" s="117"/>
      <c r="U32" s="117"/>
      <c r="V32" s="14"/>
      <c r="W32" s="128"/>
      <c r="X32" s="128"/>
      <c r="Y32" s="128"/>
      <c r="Z32" s="128"/>
      <c r="AA32" s="128"/>
      <c r="AB32" s="10"/>
      <c r="AC32" s="9"/>
      <c r="AD32" s="128"/>
      <c r="AE32" s="128"/>
      <c r="AF32" s="128"/>
      <c r="AG32" s="152"/>
      <c r="AH32" s="128"/>
      <c r="AI32" s="36"/>
      <c r="AJ32" s="9"/>
      <c r="AK32" s="128"/>
      <c r="AL32" s="128"/>
      <c r="AM32" s="128"/>
      <c r="AN32" s="128"/>
      <c r="AO32" s="131"/>
      <c r="AP32" s="36"/>
      <c r="AQ32" s="117"/>
      <c r="AR32" s="117"/>
      <c r="AS32" s="117"/>
      <c r="AT32" s="39"/>
      <c r="AU32" s="185"/>
      <c r="AV32" s="195"/>
      <c r="AY32" s="130"/>
      <c r="AZ32" s="130"/>
      <c r="BA32" s="130" t="b">
        <f t="shared" si="8"/>
        <v>0</v>
      </c>
      <c r="BB32" s="130" t="b">
        <f t="shared" si="13"/>
        <v>0</v>
      </c>
    </row>
    <row r="33" spans="2:54" x14ac:dyDescent="0.3">
      <c r="B33" s="41" t="s">
        <v>51</v>
      </c>
      <c r="C33" s="45"/>
      <c r="E33" s="37"/>
      <c r="F33" s="38">
        <f t="shared" si="36"/>
        <v>0</v>
      </c>
      <c r="G33" s="38">
        <f t="shared" si="37"/>
        <v>0</v>
      </c>
      <c r="H33" s="37"/>
      <c r="I33" s="38">
        <f t="shared" si="38"/>
        <v>0</v>
      </c>
      <c r="J33" s="38">
        <f t="shared" si="39"/>
        <v>0</v>
      </c>
      <c r="K33" s="37"/>
      <c r="L33" s="38">
        <f t="shared" si="40"/>
        <v>0</v>
      </c>
      <c r="M33" s="8">
        <f t="shared" si="41"/>
        <v>0</v>
      </c>
      <c r="N33" s="37"/>
      <c r="O33" s="38">
        <f t="shared" si="42"/>
        <v>0</v>
      </c>
      <c r="P33" s="38">
        <f t="shared" si="43"/>
        <v>0</v>
      </c>
      <c r="Q33" s="37"/>
      <c r="R33" s="38">
        <f t="shared" si="31"/>
        <v>0</v>
      </c>
      <c r="S33" s="38">
        <f>IF(R33&gt;0,1,0)</f>
        <v>0</v>
      </c>
      <c r="T33" s="117">
        <f t="shared" si="18"/>
        <v>0</v>
      </c>
      <c r="U33" s="117">
        <f t="shared" si="19"/>
        <v>0</v>
      </c>
      <c r="V33" s="14"/>
      <c r="W33" s="128"/>
      <c r="X33" s="128"/>
      <c r="Y33" s="128"/>
      <c r="Z33" s="128"/>
      <c r="AA33" s="128"/>
      <c r="AB33" s="36">
        <f>IF(W33="X",5)+IF(X33="X",4)+IF(Y33="X",3)+IF(Z33="X",2)+IF(AA33="X",1)</f>
        <v>0</v>
      </c>
      <c r="AC33" s="9"/>
      <c r="AD33" s="128"/>
      <c r="AE33" s="128"/>
      <c r="AF33" s="128"/>
      <c r="AG33" s="152"/>
      <c r="AH33" s="128"/>
      <c r="AI33" s="36">
        <f t="shared" si="29"/>
        <v>0</v>
      </c>
      <c r="AJ33" s="9"/>
      <c r="AK33" s="128"/>
      <c r="AL33" s="128"/>
      <c r="AM33" s="128"/>
      <c r="AN33" s="128"/>
      <c r="AO33" s="131"/>
      <c r="AP33" s="36">
        <f t="shared" si="30"/>
        <v>0</v>
      </c>
      <c r="AQ33" s="117">
        <f t="shared" si="20"/>
        <v>0</v>
      </c>
      <c r="AR33" s="117">
        <f>(AQ33+U33)/2</f>
        <v>0</v>
      </c>
      <c r="AS33" s="117">
        <f>IF(AT33="",0,10)</f>
        <v>0</v>
      </c>
      <c r="AT33" s="39" t="str">
        <f t="shared" si="21"/>
        <v/>
      </c>
      <c r="AU33" s="185"/>
      <c r="AV33" s="195"/>
      <c r="AY33" s="130" t="b">
        <f t="shared" si="16"/>
        <v>0</v>
      </c>
      <c r="AZ33" s="130" t="b">
        <f t="shared" si="17"/>
        <v>0</v>
      </c>
      <c r="BA33" s="130" t="b">
        <f t="shared" si="8"/>
        <v>0</v>
      </c>
      <c r="BB33" s="130" t="b">
        <f t="shared" si="13"/>
        <v>0</v>
      </c>
    </row>
    <row r="34" spans="2:54" ht="3" customHeight="1" x14ac:dyDescent="0.3">
      <c r="C34" s="47"/>
      <c r="E34" s="21"/>
      <c r="F34" s="38"/>
      <c r="G34" s="38"/>
      <c r="H34" s="21"/>
      <c r="I34" s="38"/>
      <c r="J34" s="38"/>
      <c r="K34" s="21"/>
      <c r="L34" s="38"/>
      <c r="M34" s="8"/>
      <c r="N34" s="37"/>
      <c r="O34" s="38"/>
      <c r="P34" s="38"/>
      <c r="Q34" s="37"/>
      <c r="R34" s="38"/>
      <c r="S34" s="10"/>
      <c r="T34" s="117"/>
      <c r="U34" s="117"/>
      <c r="V34" s="14"/>
      <c r="W34" s="128"/>
      <c r="X34" s="128"/>
      <c r="Y34" s="128"/>
      <c r="Z34" s="128"/>
      <c r="AA34" s="128"/>
      <c r="AB34" s="10"/>
      <c r="AC34" s="9"/>
      <c r="AD34" s="128"/>
      <c r="AE34" s="128"/>
      <c r="AF34" s="128"/>
      <c r="AG34" s="152"/>
      <c r="AH34" s="128"/>
      <c r="AI34" s="36"/>
      <c r="AJ34" s="9"/>
      <c r="AK34" s="128"/>
      <c r="AL34" s="128"/>
      <c r="AM34" s="128"/>
      <c r="AN34" s="128"/>
      <c r="AO34" s="131"/>
      <c r="AP34" s="36"/>
      <c r="AQ34" s="117"/>
      <c r="AR34" s="117"/>
      <c r="AS34" s="117"/>
      <c r="AT34" s="39"/>
      <c r="AU34" s="185"/>
      <c r="AV34" s="195"/>
      <c r="AY34" s="130"/>
      <c r="AZ34" s="130"/>
      <c r="BA34" s="130" t="b">
        <f t="shared" si="8"/>
        <v>0</v>
      </c>
      <c r="BB34" s="130" t="b">
        <f t="shared" si="13"/>
        <v>0</v>
      </c>
    </row>
    <row r="35" spans="2:54" x14ac:dyDescent="0.3">
      <c r="B35" s="41" t="s">
        <v>49</v>
      </c>
      <c r="C35" s="49"/>
      <c r="E35" s="37"/>
      <c r="F35" s="38">
        <f t="shared" si="36"/>
        <v>0</v>
      </c>
      <c r="G35" s="38">
        <f t="shared" si="37"/>
        <v>0</v>
      </c>
      <c r="H35" s="37"/>
      <c r="I35" s="38">
        <f t="shared" si="38"/>
        <v>0</v>
      </c>
      <c r="J35" s="38">
        <f t="shared" si="39"/>
        <v>0</v>
      </c>
      <c r="K35" s="37"/>
      <c r="L35" s="38">
        <f t="shared" si="40"/>
        <v>0</v>
      </c>
      <c r="M35" s="8">
        <f t="shared" si="41"/>
        <v>0</v>
      </c>
      <c r="N35" s="37"/>
      <c r="O35" s="38">
        <f t="shared" si="42"/>
        <v>0</v>
      </c>
      <c r="P35" s="38">
        <f t="shared" si="43"/>
        <v>0</v>
      </c>
      <c r="Q35" s="37"/>
      <c r="R35" s="38">
        <f t="shared" si="31"/>
        <v>0</v>
      </c>
      <c r="S35" s="38">
        <f>IF(R35&gt;0,1,0)</f>
        <v>0</v>
      </c>
      <c r="T35" s="117">
        <f t="shared" si="18"/>
        <v>0</v>
      </c>
      <c r="U35" s="117">
        <f t="shared" si="19"/>
        <v>0</v>
      </c>
      <c r="V35" s="14"/>
      <c r="W35" s="128"/>
      <c r="X35" s="128"/>
      <c r="Y35" s="128"/>
      <c r="Z35" s="128"/>
      <c r="AA35" s="128"/>
      <c r="AB35" s="36">
        <f>IF(W35="X",5)+IF(X35="X",4)+IF(Y35="X",3)+IF(Z35="X",2)+IF(AA35="X",1)</f>
        <v>0</v>
      </c>
      <c r="AC35" s="9"/>
      <c r="AD35" s="128"/>
      <c r="AE35" s="128"/>
      <c r="AF35" s="128"/>
      <c r="AG35" s="152"/>
      <c r="AH35" s="128"/>
      <c r="AI35" s="36">
        <f t="shared" si="29"/>
        <v>0</v>
      </c>
      <c r="AJ35" s="9"/>
      <c r="AK35" s="128"/>
      <c r="AL35" s="128"/>
      <c r="AM35" s="128"/>
      <c r="AN35" s="128"/>
      <c r="AO35" s="131"/>
      <c r="AP35" s="36">
        <f t="shared" si="30"/>
        <v>0</v>
      </c>
      <c r="AQ35" s="117">
        <f t="shared" si="20"/>
        <v>0</v>
      </c>
      <c r="AR35" s="117">
        <f>(AQ35+U35)/2</f>
        <v>0</v>
      </c>
      <c r="AS35" s="117">
        <f>IF(AT35="",0,10)</f>
        <v>0</v>
      </c>
      <c r="AT35" s="39" t="str">
        <f t="shared" si="21"/>
        <v/>
      </c>
      <c r="AU35" s="185"/>
      <c r="AV35" s="195"/>
      <c r="AY35" s="130" t="b">
        <f t="shared" si="16"/>
        <v>0</v>
      </c>
      <c r="AZ35" s="130" t="b">
        <f t="shared" si="17"/>
        <v>0</v>
      </c>
      <c r="BA35" s="130" t="b">
        <f t="shared" si="8"/>
        <v>0</v>
      </c>
      <c r="BB35" s="130" t="b">
        <f t="shared" si="13"/>
        <v>0</v>
      </c>
    </row>
    <row r="36" spans="2:54" ht="3" customHeight="1" x14ac:dyDescent="0.3">
      <c r="C36" s="48"/>
      <c r="E36" s="21"/>
      <c r="F36" s="38"/>
      <c r="G36" s="38"/>
      <c r="H36" s="21"/>
      <c r="I36" s="38"/>
      <c r="J36" s="38"/>
      <c r="K36" s="21"/>
      <c r="L36" s="38"/>
      <c r="M36" s="8"/>
      <c r="N36" s="37"/>
      <c r="O36" s="38"/>
      <c r="P36" s="38"/>
      <c r="Q36" s="37"/>
      <c r="R36" s="38"/>
      <c r="S36" s="10"/>
      <c r="T36" s="117"/>
      <c r="U36" s="117"/>
      <c r="V36" s="14"/>
      <c r="W36" s="128"/>
      <c r="X36" s="128"/>
      <c r="Y36" s="128"/>
      <c r="Z36" s="128"/>
      <c r="AA36" s="128"/>
      <c r="AB36" s="10"/>
      <c r="AC36" s="9"/>
      <c r="AD36" s="128"/>
      <c r="AE36" s="128"/>
      <c r="AF36" s="128"/>
      <c r="AG36" s="152"/>
      <c r="AH36" s="128"/>
      <c r="AI36" s="36"/>
      <c r="AJ36" s="9"/>
      <c r="AK36" s="128"/>
      <c r="AL36" s="128"/>
      <c r="AM36" s="128"/>
      <c r="AN36" s="128"/>
      <c r="AO36" s="131"/>
      <c r="AP36" s="36"/>
      <c r="AQ36" s="117"/>
      <c r="AR36" s="117"/>
      <c r="AS36" s="117"/>
      <c r="AT36" s="39"/>
      <c r="AU36" s="185"/>
      <c r="AV36" s="195"/>
      <c r="AY36" s="130"/>
      <c r="AZ36" s="130"/>
      <c r="BA36" s="130" t="b">
        <f t="shared" si="8"/>
        <v>0</v>
      </c>
      <c r="BB36" s="130" t="b">
        <f t="shared" si="13"/>
        <v>0</v>
      </c>
    </row>
    <row r="37" spans="2:54" x14ac:dyDescent="0.3">
      <c r="B37" s="41" t="s">
        <v>50</v>
      </c>
      <c r="C37" s="49"/>
      <c r="E37" s="37"/>
      <c r="F37" s="38">
        <f t="shared" si="36"/>
        <v>0</v>
      </c>
      <c r="G37" s="38">
        <f t="shared" si="37"/>
        <v>0</v>
      </c>
      <c r="H37" s="37"/>
      <c r="I37" s="38">
        <f t="shared" si="38"/>
        <v>0</v>
      </c>
      <c r="J37" s="38">
        <f t="shared" si="39"/>
        <v>0</v>
      </c>
      <c r="K37" s="37"/>
      <c r="L37" s="38">
        <f t="shared" si="40"/>
        <v>0</v>
      </c>
      <c r="M37" s="8">
        <f t="shared" si="41"/>
        <v>0</v>
      </c>
      <c r="N37" s="37"/>
      <c r="O37" s="38">
        <f t="shared" si="42"/>
        <v>0</v>
      </c>
      <c r="P37" s="38">
        <f t="shared" si="43"/>
        <v>0</v>
      </c>
      <c r="Q37" s="37"/>
      <c r="R37" s="38">
        <f t="shared" si="31"/>
        <v>0</v>
      </c>
      <c r="S37" s="38">
        <f>IF(R37&gt;0,1,0)</f>
        <v>0</v>
      </c>
      <c r="T37" s="117">
        <f t="shared" si="18"/>
        <v>0</v>
      </c>
      <c r="U37" s="117">
        <f t="shared" si="19"/>
        <v>0</v>
      </c>
      <c r="V37" s="14"/>
      <c r="W37" s="128"/>
      <c r="X37" s="128"/>
      <c r="Y37" s="128"/>
      <c r="Z37" s="128"/>
      <c r="AA37" s="128"/>
      <c r="AB37" s="36">
        <f>IF(W37="X",5)+IF(X37="X",4)+IF(Y37="X",3)+IF(Z37="X",2)+IF(AA37="X",1)</f>
        <v>0</v>
      </c>
      <c r="AC37" s="9"/>
      <c r="AD37" s="128"/>
      <c r="AE37" s="128"/>
      <c r="AF37" s="128"/>
      <c r="AG37" s="152"/>
      <c r="AH37" s="128"/>
      <c r="AI37" s="36">
        <f t="shared" si="29"/>
        <v>0</v>
      </c>
      <c r="AJ37" s="9"/>
      <c r="AK37" s="128"/>
      <c r="AL37" s="128"/>
      <c r="AM37" s="128"/>
      <c r="AN37" s="128"/>
      <c r="AO37" s="131"/>
      <c r="AP37" s="36">
        <f t="shared" si="30"/>
        <v>0</v>
      </c>
      <c r="AQ37" s="117">
        <f t="shared" si="20"/>
        <v>0</v>
      </c>
      <c r="AR37" s="117">
        <f>(AQ37+U37)/2</f>
        <v>0</v>
      </c>
      <c r="AS37" s="117">
        <f>IF(AT37="",0,10)</f>
        <v>0</v>
      </c>
      <c r="AT37" s="39" t="str">
        <f t="shared" si="21"/>
        <v/>
      </c>
      <c r="AU37" s="185"/>
      <c r="AV37" s="195"/>
      <c r="AY37" s="130" t="b">
        <f t="shared" si="16"/>
        <v>0</v>
      </c>
      <c r="AZ37" s="130" t="b">
        <f t="shared" si="17"/>
        <v>0</v>
      </c>
      <c r="BA37" s="130" t="b">
        <f t="shared" si="8"/>
        <v>0</v>
      </c>
      <c r="BB37" s="130" t="b">
        <f t="shared" si="13"/>
        <v>0</v>
      </c>
    </row>
    <row r="38" spans="2:54" ht="3.75" customHeight="1" x14ac:dyDescent="0.3">
      <c r="C38" s="48"/>
      <c r="E38" s="21"/>
      <c r="F38" s="38"/>
      <c r="G38" s="10"/>
      <c r="H38" s="21"/>
      <c r="I38" s="38"/>
      <c r="J38" s="10"/>
      <c r="K38" s="21"/>
      <c r="L38" s="38"/>
      <c r="M38" s="10"/>
      <c r="N38" s="37"/>
      <c r="O38" s="38"/>
      <c r="P38" s="38"/>
      <c r="Q38" s="37"/>
      <c r="R38" s="38"/>
      <c r="S38" s="10"/>
      <c r="T38" s="117"/>
      <c r="U38" s="117"/>
      <c r="V38" s="14"/>
      <c r="W38" s="21"/>
      <c r="X38" s="21"/>
      <c r="Y38" s="21"/>
      <c r="Z38" s="21"/>
      <c r="AA38" s="10"/>
      <c r="AB38" s="9"/>
      <c r="AC38" s="21"/>
      <c r="AD38" s="21"/>
      <c r="AE38" s="150"/>
      <c r="AF38" s="151"/>
      <c r="AG38" s="9"/>
      <c r="AH38" s="21"/>
      <c r="AI38" s="21"/>
      <c r="AJ38" s="21"/>
      <c r="AK38" s="21"/>
      <c r="AL38" s="21"/>
      <c r="AM38" s="21"/>
      <c r="AN38" s="10"/>
      <c r="AO38" s="125"/>
      <c r="AP38" s="21"/>
      <c r="AQ38" s="117"/>
      <c r="AR38" s="117"/>
      <c r="AS38" s="117"/>
      <c r="AT38" s="19"/>
      <c r="AU38" s="190"/>
      <c r="AV38" s="188"/>
      <c r="AY38" s="130"/>
      <c r="AZ38" s="130"/>
      <c r="BA38" s="130" t="b">
        <f t="shared" si="8"/>
        <v>0</v>
      </c>
      <c r="BB38" s="130" t="b">
        <f t="shared" si="13"/>
        <v>0</v>
      </c>
    </row>
  </sheetData>
  <sheetProtection formatCells="0" formatColumns="0" formatRows="0" selectLockedCells="1" pivotTables="0"/>
  <mergeCells count="31">
    <mergeCell ref="E4:AV4"/>
    <mergeCell ref="E1:AV2"/>
    <mergeCell ref="B6:B8"/>
    <mergeCell ref="B1:C4"/>
    <mergeCell ref="O7:O8"/>
    <mergeCell ref="P7:P8"/>
    <mergeCell ref="Q7:Q8"/>
    <mergeCell ref="R7:R8"/>
    <mergeCell ref="C6:C8"/>
    <mergeCell ref="E6:Q6"/>
    <mergeCell ref="E7:E8"/>
    <mergeCell ref="F7:F8"/>
    <mergeCell ref="G7:G8"/>
    <mergeCell ref="H7:H8"/>
    <mergeCell ref="S7:S8"/>
    <mergeCell ref="N7:N8"/>
    <mergeCell ref="AY6:BB7"/>
    <mergeCell ref="W6:AO6"/>
    <mergeCell ref="W7:AA7"/>
    <mergeCell ref="AB7:AB8"/>
    <mergeCell ref="AD7:AH7"/>
    <mergeCell ref="AI7:AI8"/>
    <mergeCell ref="AK7:AO7"/>
    <mergeCell ref="AP7:AP8"/>
    <mergeCell ref="AT6:AT8"/>
    <mergeCell ref="AV6:AV8"/>
    <mergeCell ref="I7:I8"/>
    <mergeCell ref="J7:J8"/>
    <mergeCell ref="K7:K8"/>
    <mergeCell ref="L7:L8"/>
    <mergeCell ref="M7:M8"/>
  </mergeCells>
  <conditionalFormatting sqref="Q10">
    <cfRule type="containsText" dxfId="33" priority="1" operator="containsText" text="Baixo">
      <formula>NOT(ISERROR(SEARCH("Baixo",Q10)))</formula>
    </cfRule>
  </conditionalFormatting>
  <conditionalFormatting sqref="AT16:AU16">
    <cfRule type="containsText" dxfId="32" priority="38" operator="containsText" text="Baixo">
      <formula>NOT(ISERROR(SEARCH("Baixo",AT16)))</formula>
    </cfRule>
    <cfRule type="containsText" dxfId="31" priority="39" operator="containsText" text="Médio">
      <formula>NOT(ISERROR(SEARCH("Médio",AT16)))</formula>
    </cfRule>
    <cfRule type="beginsWith" dxfId="30" priority="40" operator="beginsWith" text="Alto">
      <formula>LEFT(AT16,LEN("Alto"))="Alto"</formula>
    </cfRule>
    <cfRule type="containsText" dxfId="29" priority="41" operator="containsText" text="Muito Alto">
      <formula>NOT(ISERROR(SEARCH("Muito Alto",AT16)))</formula>
    </cfRule>
  </conditionalFormatting>
  <conditionalFormatting sqref="AT28:AU37 AV28:AV38">
    <cfRule type="containsText" dxfId="28" priority="42" operator="containsText" text="Baixo">
      <formula>NOT(ISERROR(SEARCH("Baixo",AT28)))</formula>
    </cfRule>
    <cfRule type="containsText" dxfId="27" priority="43" operator="containsText" text="Médio">
      <formula>NOT(ISERROR(SEARCH("Médio",AT28)))</formula>
    </cfRule>
    <cfRule type="beginsWith" dxfId="26" priority="44" operator="beginsWith" text="Alto">
      <formula>LEFT(AT28,LEN("Alto"))="Alto"</formula>
    </cfRule>
    <cfRule type="containsText" dxfId="25" priority="45" operator="containsText" text="Muito Alto">
      <formula>NOT(ISERROR(SEARCH("Muito Alto",AT28)))</formula>
    </cfRule>
  </conditionalFormatting>
  <conditionalFormatting sqref="AT3:AV3 AT5:AV6 AT7:AU8">
    <cfRule type="cellIs" dxfId="24" priority="58" operator="equal">
      <formula>"Desprezível"</formula>
    </cfRule>
    <cfRule type="cellIs" dxfId="23" priority="59" operator="equal">
      <formula>"Intolerável"</formula>
    </cfRule>
    <cfRule type="cellIs" dxfId="22" priority="60" operator="equal">
      <formula>"Indesejável"</formula>
    </cfRule>
    <cfRule type="cellIs" dxfId="21" priority="61" operator="equal">
      <formula>"Administrável"</formula>
    </cfRule>
  </conditionalFormatting>
  <conditionalFormatting sqref="AT9:AV26">
    <cfRule type="cellIs" dxfId="20" priority="6" operator="equal">
      <formula>"Desprezível"</formula>
    </cfRule>
    <cfRule type="cellIs" dxfId="19" priority="7" operator="equal">
      <formula>"Intolerável"</formula>
    </cfRule>
    <cfRule type="cellIs" dxfId="18" priority="8" operator="equal">
      <formula>"Indesejável"</formula>
    </cfRule>
    <cfRule type="cellIs" dxfId="17" priority="9" operator="equal">
      <formula>"Administrável"</formula>
    </cfRule>
  </conditionalFormatting>
  <conditionalFormatting sqref="AT10:AV26">
    <cfRule type="containsText" dxfId="16" priority="2" operator="containsText" text="Baixo">
      <formula>NOT(ISERROR(SEARCH("Baixo",AT10)))</formula>
    </cfRule>
    <cfRule type="containsText" dxfId="15" priority="3" operator="containsText" text="Médio">
      <formula>NOT(ISERROR(SEARCH("Médio",AT10)))</formula>
    </cfRule>
    <cfRule type="beginsWith" dxfId="14" priority="4" operator="beginsWith" text="Alto">
      <formula>LEFT(AT10,LEN("Alto"))="Alto"</formula>
    </cfRule>
    <cfRule type="containsText" dxfId="13" priority="5" operator="containsText" text="Muito Alto">
      <formula>NOT(ISERROR(SEARCH("Muito Alto",AT10)))</formula>
    </cfRule>
  </conditionalFormatting>
  <conditionalFormatting sqref="AT28:AV1048576">
    <cfRule type="cellIs" dxfId="12" priority="46" operator="equal">
      <formula>"Desprezível"</formula>
    </cfRule>
    <cfRule type="cellIs" dxfId="11" priority="47" operator="equal">
      <formula>"Intolerável"</formula>
    </cfRule>
    <cfRule type="cellIs" dxfId="10" priority="48" operator="equal">
      <formula>"Indesejável"</formula>
    </cfRule>
    <cfRule type="cellIs" dxfId="9" priority="49" operator="equal">
      <formula>"Administrável"</formula>
    </cfRule>
  </conditionalFormatting>
  <conditionalFormatting sqref="AZ8">
    <cfRule type="containsText" dxfId="8" priority="26" operator="containsText" text="Baixo">
      <formula>NOT(ISERROR(SEARCH("Baixo",AZ8)))</formula>
    </cfRule>
    <cfRule type="containsText" dxfId="7" priority="27" operator="containsText" text="Médio">
      <formula>NOT(ISERROR(SEARCH("Médio",AZ8)))</formula>
    </cfRule>
    <cfRule type="beginsWith" dxfId="6" priority="28" operator="beginsWith" text="Alto">
      <formula>LEFT(AZ8,LEN("Alto"))="Alto"</formula>
    </cfRule>
    <cfRule type="containsText" dxfId="5" priority="29" operator="containsText" text="Muito Alto">
      <formula>NOT(ISERROR(SEARCH("Muito Alto",AZ8)))</formula>
    </cfRule>
    <cfRule type="cellIs" dxfId="4" priority="30" operator="equal">
      <formula>"Desprezível"</formula>
    </cfRule>
    <cfRule type="cellIs" dxfId="3" priority="31" operator="equal">
      <formula>"Intolerável"</formula>
    </cfRule>
    <cfRule type="cellIs" dxfId="2" priority="32" operator="equal">
      <formula>"Indesejável"</formula>
    </cfRule>
    <cfRule type="cellIs" dxfId="1" priority="33" operator="equal">
      <formula>"Administrável"</formula>
    </cfRule>
  </conditionalFormatting>
  <dataValidations count="4">
    <dataValidation type="list" allowBlank="1" showInputMessage="1" showErrorMessage="1" sqref="H21 K37 K29 K31 K33 K35 H37 H33 E37 K23 E23 K21 E19 H16 N28:N38 Q28:Q38 E21 H25 H35 E29 E31 E33 E35 H29 H31 K16 K14 E14 E16 H14 H19 K19 K25 E25 H23 K12 K10 E10 E12 H10 H12 N10:N26 Q10:Q26" xr:uid="{00000000-0002-0000-0100-000000000000}">
      <formula1>$BD$10:$BD$14</formula1>
    </dataValidation>
    <dataValidation allowBlank="1" showErrorMessage="1" sqref="AT6:AU8 AV6" xr:uid="{00000000-0002-0000-0100-000001000000}"/>
    <dataValidation type="list" allowBlank="1" showInputMessage="1" showErrorMessage="1" sqref="AT38:AU38 AT9:AV9" xr:uid="{00000000-0002-0000-0100-000002000000}">
      <formula1>$BG$14:$BG$19</formula1>
    </dataValidation>
    <dataValidation type="list" allowBlank="1" showInputMessage="1" showErrorMessage="1" sqref="AV28:AV38 AV10:AV26" xr:uid="{00000000-0002-0000-0100-000003000000}">
      <formula1>EstrategiasOport</formula1>
    </dataValidation>
  </dataValidations>
  <pageMargins left="0" right="0" top="0" bottom="0" header="0" footer="0"/>
  <pageSetup paperSize="9" scale="73" fitToHeight="2" orientation="landscape" r:id="rId1"/>
  <drawing r:id="rId2"/>
  <legacy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B2:K46"/>
  <sheetViews>
    <sheetView showGridLines="0" zoomScale="90" zoomScaleNormal="90" workbookViewId="0">
      <pane xSplit="5" ySplit="9" topLeftCell="F10" activePane="bottomRight" state="frozen"/>
      <selection activeCell="C27" sqref="C27:C29"/>
      <selection pane="topRight" activeCell="C27" sqref="C27:C29"/>
      <selection pane="bottomLeft" activeCell="C27" sqref="C27:C29"/>
      <selection pane="bottomRight" activeCell="C27" sqref="C27:C29"/>
    </sheetView>
  </sheetViews>
  <sheetFormatPr defaultColWidth="9.109375" defaultRowHeight="13.8" x14ac:dyDescent="0.3"/>
  <cols>
    <col min="1" max="1" width="1.88671875" style="1" customWidth="1"/>
    <col min="2" max="2" width="9.88671875" style="1" bestFit="1" customWidth="1"/>
    <col min="3" max="3" width="39.5546875" style="2" customWidth="1"/>
    <col min="4" max="5" width="0.5546875" style="2" customWidth="1"/>
    <col min="6" max="6" width="17.6640625" style="2" customWidth="1"/>
    <col min="7" max="7" width="0.5546875" style="2" customWidth="1"/>
    <col min="8" max="8" width="17.6640625" style="2" customWidth="1"/>
    <col min="9" max="9" width="0.5546875" style="2" customWidth="1"/>
    <col min="10" max="10" width="85.6640625" style="2" customWidth="1"/>
    <col min="11" max="16384" width="9.109375" style="1"/>
  </cols>
  <sheetData>
    <row r="2" spans="2:10" ht="20.399999999999999" x14ac:dyDescent="0.3">
      <c r="B2" s="386" t="s">
        <v>199</v>
      </c>
      <c r="C2" s="386"/>
      <c r="D2" s="386"/>
      <c r="E2" s="386"/>
      <c r="F2" s="386"/>
      <c r="G2" s="386"/>
      <c r="H2" s="386"/>
      <c r="I2" s="386"/>
      <c r="J2" s="386"/>
    </row>
    <row r="3" spans="2:10" ht="3" customHeight="1" x14ac:dyDescent="0.3"/>
    <row r="4" spans="2:10" ht="20.399999999999999" x14ac:dyDescent="0.3">
      <c r="B4" s="421"/>
      <c r="C4" s="421"/>
      <c r="D4" s="421"/>
      <c r="E4" s="421"/>
      <c r="F4" s="421"/>
      <c r="G4" s="421"/>
      <c r="H4" s="421"/>
      <c r="I4" s="421"/>
      <c r="J4" s="421"/>
    </row>
    <row r="5" spans="2:10" ht="3" customHeight="1" thickBot="1" x14ac:dyDescent="0.35"/>
    <row r="6" spans="2:10" ht="27" customHeight="1" x14ac:dyDescent="0.3">
      <c r="B6" s="42"/>
      <c r="C6" s="387" t="s">
        <v>52</v>
      </c>
      <c r="D6" s="4"/>
      <c r="E6" s="4"/>
      <c r="F6" s="422" t="s">
        <v>46</v>
      </c>
      <c r="G6" s="65"/>
      <c r="H6" s="425" t="s">
        <v>34</v>
      </c>
      <c r="I6" s="65"/>
      <c r="J6" s="425" t="s">
        <v>33</v>
      </c>
    </row>
    <row r="7" spans="2:10" ht="16.5" customHeight="1" x14ac:dyDescent="0.3">
      <c r="B7" s="43" t="s">
        <v>0</v>
      </c>
      <c r="C7" s="388"/>
      <c r="D7" s="4"/>
      <c r="E7" s="4"/>
      <c r="F7" s="423"/>
      <c r="G7" s="64"/>
      <c r="H7" s="425"/>
      <c r="I7" s="64"/>
      <c r="J7" s="425"/>
    </row>
    <row r="8" spans="2:10" ht="23.1" customHeight="1" thickBot="1" x14ac:dyDescent="0.35">
      <c r="B8" s="44"/>
      <c r="C8" s="389"/>
      <c r="D8" s="4"/>
      <c r="E8" s="4"/>
      <c r="F8" s="424"/>
      <c r="G8" s="64"/>
      <c r="H8" s="425"/>
      <c r="I8" s="64"/>
      <c r="J8" s="425"/>
    </row>
    <row r="9" spans="2:10" ht="3" customHeight="1" x14ac:dyDescent="0.3">
      <c r="B9" s="5"/>
      <c r="C9" s="6"/>
    </row>
    <row r="10" spans="2:10" ht="30" customHeight="1" x14ac:dyDescent="0.3">
      <c r="B10" s="378" t="s">
        <v>35</v>
      </c>
      <c r="C10" s="430" t="str">
        <f>'Oportunidades-PIEMONTE'!C10</f>
        <v>Crescimento do mercado trazendo oportunidades para o nicho de prestação de serviços no agronegócio</v>
      </c>
      <c r="F10" s="462" t="s">
        <v>258</v>
      </c>
      <c r="G10" s="18"/>
      <c r="H10" s="462" t="s">
        <v>207</v>
      </c>
      <c r="I10" s="18"/>
      <c r="J10" s="40"/>
    </row>
    <row r="11" spans="2:10" ht="30" customHeight="1" x14ac:dyDescent="0.3">
      <c r="B11" s="378"/>
      <c r="C11" s="430"/>
      <c r="F11" s="463"/>
      <c r="G11" s="18"/>
      <c r="H11" s="463"/>
      <c r="I11" s="18"/>
      <c r="J11" s="40"/>
    </row>
    <row r="12" spans="2:10" ht="30" customHeight="1" x14ac:dyDescent="0.3">
      <c r="B12" s="378"/>
      <c r="C12" s="431"/>
      <c r="F12" s="464"/>
      <c r="G12" s="18"/>
      <c r="H12" s="464"/>
      <c r="I12" s="18"/>
      <c r="J12" s="40"/>
    </row>
    <row r="13" spans="2:10" ht="3" customHeight="1" x14ac:dyDescent="0.3">
      <c r="C13" s="231"/>
      <c r="F13" s="17"/>
      <c r="G13" s="18"/>
      <c r="H13" s="17"/>
      <c r="I13" s="18"/>
      <c r="J13" s="17"/>
    </row>
    <row r="14" spans="2:10" ht="30" customHeight="1" x14ac:dyDescent="0.3">
      <c r="B14" s="378" t="s">
        <v>36</v>
      </c>
      <c r="C14" s="430" t="str">
        <f>'Oportunidades-PIEMONTE'!C12</f>
        <v>Boa aceitação do mercado para aquisição de personalização de unidades</v>
      </c>
      <c r="F14" s="462" t="s">
        <v>259</v>
      </c>
      <c r="G14" s="225"/>
      <c r="H14" s="462" t="s">
        <v>207</v>
      </c>
      <c r="I14" s="18"/>
      <c r="J14" s="40"/>
    </row>
    <row r="15" spans="2:10" ht="30" customHeight="1" x14ac:dyDescent="0.3">
      <c r="B15" s="378"/>
      <c r="C15" s="430"/>
      <c r="F15" s="463"/>
      <c r="G15" s="225"/>
      <c r="H15" s="463"/>
      <c r="I15" s="18"/>
      <c r="J15" s="40"/>
    </row>
    <row r="16" spans="2:10" ht="30" customHeight="1" x14ac:dyDescent="0.3">
      <c r="B16" s="378"/>
      <c r="C16" s="431"/>
      <c r="F16" s="464"/>
      <c r="G16" s="225"/>
      <c r="H16" s="464"/>
      <c r="I16" s="18"/>
      <c r="J16" s="40"/>
    </row>
    <row r="17" spans="2:11" ht="3" customHeight="1" x14ac:dyDescent="0.3">
      <c r="C17" s="16"/>
      <c r="F17" s="17"/>
      <c r="G17" s="18"/>
      <c r="H17" s="17"/>
      <c r="I17" s="18"/>
      <c r="J17" s="17"/>
    </row>
    <row r="18" spans="2:11" ht="30" customHeight="1" x14ac:dyDescent="0.3">
      <c r="B18" s="378" t="s">
        <v>37</v>
      </c>
      <c r="C18" s="379" t="str">
        <f>'Oportunidades-PIEMONTE'!C14</f>
        <v>Redução do custo fixo através da centralização do DGCA</v>
      </c>
      <c r="F18" s="234" t="s">
        <v>260</v>
      </c>
      <c r="G18" s="18"/>
      <c r="H18" s="416" t="s">
        <v>205</v>
      </c>
      <c r="I18" s="18"/>
      <c r="J18" s="416" t="s">
        <v>206</v>
      </c>
    </row>
    <row r="19" spans="2:11" ht="30" customHeight="1" x14ac:dyDescent="0.3">
      <c r="B19" s="378"/>
      <c r="C19" s="379"/>
      <c r="F19" s="40"/>
      <c r="G19" s="18"/>
      <c r="H19" s="417"/>
      <c r="I19" s="18"/>
      <c r="J19" s="416"/>
    </row>
    <row r="20" spans="2:11" ht="30" customHeight="1" x14ac:dyDescent="0.3">
      <c r="B20" s="378"/>
      <c r="C20" s="380"/>
      <c r="F20" s="40"/>
      <c r="G20" s="18"/>
      <c r="H20" s="418"/>
      <c r="I20" s="18"/>
      <c r="J20" s="465"/>
    </row>
    <row r="21" spans="2:11" ht="3" customHeight="1" x14ac:dyDescent="0.3">
      <c r="C21" s="16"/>
      <c r="F21" s="17"/>
      <c r="G21" s="18"/>
      <c r="H21" s="17"/>
      <c r="I21" s="18"/>
      <c r="J21" s="17"/>
    </row>
    <row r="22" spans="2:11" ht="30" customHeight="1" x14ac:dyDescent="0.3">
      <c r="B22" s="378" t="s">
        <v>38</v>
      </c>
      <c r="C22" s="430" t="str">
        <f>'Oportunidades-PIEMONTE'!C16</f>
        <v>Melhorar o atendimento ao cliente</v>
      </c>
      <c r="D22" s="232"/>
      <c r="E22" s="232"/>
      <c r="F22" s="462" t="s">
        <v>254</v>
      </c>
      <c r="G22" s="225"/>
      <c r="H22" s="466" t="s">
        <v>208</v>
      </c>
      <c r="I22" s="223"/>
      <c r="J22" s="233" t="s">
        <v>249</v>
      </c>
    </row>
    <row r="23" spans="2:11" ht="30" customHeight="1" x14ac:dyDescent="0.3">
      <c r="B23" s="378"/>
      <c r="C23" s="430"/>
      <c r="D23" s="232"/>
      <c r="E23" s="232"/>
      <c r="F23" s="463"/>
      <c r="G23" s="225"/>
      <c r="H23" s="463"/>
      <c r="I23" s="225"/>
      <c r="J23" s="233" t="s">
        <v>248</v>
      </c>
    </row>
    <row r="24" spans="2:11" ht="30" customHeight="1" x14ac:dyDescent="0.3">
      <c r="B24" s="378"/>
      <c r="C24" s="431"/>
      <c r="D24" s="232"/>
      <c r="E24" s="232"/>
      <c r="F24" s="464"/>
      <c r="G24" s="225"/>
      <c r="H24" s="464"/>
      <c r="I24" s="227"/>
      <c r="J24" s="233"/>
    </row>
    <row r="25" spans="2:11" ht="3" customHeight="1" x14ac:dyDescent="0.3">
      <c r="C25" s="16"/>
      <c r="F25" s="17"/>
      <c r="G25" s="18"/>
      <c r="H25" s="17"/>
      <c r="I25" s="18"/>
      <c r="J25" s="17"/>
    </row>
    <row r="26" spans="2:11" ht="3" customHeight="1" x14ac:dyDescent="0.3">
      <c r="C26" s="16"/>
      <c r="F26" s="17"/>
      <c r="G26" s="18"/>
      <c r="H26" s="17"/>
      <c r="I26" s="18"/>
      <c r="J26" s="17"/>
    </row>
    <row r="27" spans="2:11" ht="36" customHeight="1" x14ac:dyDescent="0.3">
      <c r="B27" s="378" t="s">
        <v>40</v>
      </c>
      <c r="C27" s="430" t="str">
        <f>'Oportunidades-PIEMONTE'!C19</f>
        <v>Investidores buscando oportunidades de maior rentabilidade no mercado imobiliário, priorizam empresas com boas práticas e com bons projetos</v>
      </c>
      <c r="F27" s="416" t="s">
        <v>255</v>
      </c>
      <c r="G27" s="18"/>
      <c r="H27" s="416" t="s">
        <v>224</v>
      </c>
      <c r="I27" s="18"/>
      <c r="J27" s="40" t="s">
        <v>251</v>
      </c>
      <c r="K27" s="221" t="s">
        <v>256</v>
      </c>
    </row>
    <row r="28" spans="2:11" ht="36" customHeight="1" x14ac:dyDescent="0.3">
      <c r="B28" s="378"/>
      <c r="C28" s="430"/>
      <c r="F28" s="416"/>
      <c r="G28" s="18"/>
      <c r="H28" s="417"/>
      <c r="I28" s="18"/>
      <c r="J28" s="40" t="s">
        <v>252</v>
      </c>
    </row>
    <row r="29" spans="2:11" ht="36" customHeight="1" x14ac:dyDescent="0.3">
      <c r="B29" s="378"/>
      <c r="C29" s="431"/>
      <c r="F29" s="465"/>
      <c r="G29" s="18"/>
      <c r="H29" s="418"/>
      <c r="I29" s="18"/>
      <c r="J29" s="40" t="s">
        <v>253</v>
      </c>
    </row>
    <row r="30" spans="2:11" ht="3" customHeight="1" x14ac:dyDescent="0.3">
      <c r="C30" s="16"/>
      <c r="F30" s="17"/>
      <c r="G30" s="18"/>
      <c r="H30" s="17"/>
      <c r="I30" s="18"/>
      <c r="J30" s="17"/>
    </row>
    <row r="31" spans="2:11" ht="30" customHeight="1" x14ac:dyDescent="0.3">
      <c r="B31" s="378" t="s">
        <v>41</v>
      </c>
      <c r="C31" s="379">
        <f>'Oportunidades-PIEMONTE'!C21</f>
        <v>0</v>
      </c>
      <c r="F31" s="416"/>
      <c r="G31" s="18"/>
      <c r="H31" s="416"/>
      <c r="I31" s="18"/>
      <c r="J31" s="217"/>
    </row>
    <row r="32" spans="2:11" ht="30" customHeight="1" x14ac:dyDescent="0.3">
      <c r="B32" s="378"/>
      <c r="C32" s="379"/>
      <c r="F32" s="416"/>
      <c r="G32" s="18"/>
      <c r="H32" s="416"/>
      <c r="I32" s="18"/>
      <c r="J32" s="217"/>
    </row>
    <row r="33" spans="2:10" ht="30" customHeight="1" x14ac:dyDescent="0.3">
      <c r="B33" s="378"/>
      <c r="C33" s="380"/>
      <c r="F33" s="465"/>
      <c r="G33" s="18"/>
      <c r="H33" s="465"/>
      <c r="I33" s="18"/>
      <c r="J33" s="40"/>
    </row>
    <row r="34" spans="2:10" ht="3" customHeight="1" x14ac:dyDescent="0.3">
      <c r="C34" s="16"/>
      <c r="F34" s="17"/>
      <c r="G34" s="18"/>
      <c r="H34" s="17"/>
      <c r="I34" s="18"/>
      <c r="J34" s="17"/>
    </row>
    <row r="35" spans="2:10" ht="30" customHeight="1" x14ac:dyDescent="0.3">
      <c r="B35" s="378" t="s">
        <v>42</v>
      </c>
      <c r="C35" s="379">
        <f>'Oportunidades-PIEMONTE'!C23</f>
        <v>0</v>
      </c>
      <c r="F35" s="40"/>
      <c r="G35" s="18"/>
      <c r="H35" s="416"/>
      <c r="I35" s="18"/>
      <c r="J35" s="40"/>
    </row>
    <row r="36" spans="2:10" ht="30" customHeight="1" x14ac:dyDescent="0.3">
      <c r="B36" s="378"/>
      <c r="C36" s="379"/>
      <c r="F36" s="40"/>
      <c r="G36" s="18"/>
      <c r="H36" s="416"/>
      <c r="I36" s="18"/>
      <c r="J36" s="40"/>
    </row>
    <row r="37" spans="2:10" ht="30" customHeight="1" x14ac:dyDescent="0.3">
      <c r="B37" s="378"/>
      <c r="C37" s="380"/>
      <c r="F37" s="40"/>
      <c r="G37" s="18"/>
      <c r="H37" s="465"/>
      <c r="I37" s="18"/>
      <c r="J37" s="40"/>
    </row>
    <row r="38" spans="2:10" ht="3" customHeight="1" x14ac:dyDescent="0.3">
      <c r="C38" s="16"/>
      <c r="F38" s="17"/>
      <c r="G38" s="18"/>
      <c r="H38" s="17"/>
      <c r="I38" s="18"/>
      <c r="J38" s="17"/>
    </row>
    <row r="39" spans="2:10" ht="30" customHeight="1" x14ac:dyDescent="0.3">
      <c r="B39" s="378"/>
      <c r="C39" s="379"/>
      <c r="F39" s="40"/>
      <c r="G39" s="18"/>
      <c r="H39" s="416"/>
      <c r="I39" s="18"/>
      <c r="J39" s="40"/>
    </row>
    <row r="40" spans="2:10" ht="30" customHeight="1" x14ac:dyDescent="0.3">
      <c r="B40" s="378"/>
      <c r="C40" s="379"/>
      <c r="F40" s="40"/>
      <c r="G40" s="18"/>
      <c r="H40" s="417"/>
      <c r="I40" s="18"/>
      <c r="J40" s="40"/>
    </row>
    <row r="41" spans="2:10" ht="30" customHeight="1" x14ac:dyDescent="0.3">
      <c r="B41" s="378"/>
      <c r="C41" s="380"/>
      <c r="F41" s="40"/>
      <c r="G41" s="18"/>
      <c r="H41" s="418"/>
      <c r="I41" s="18"/>
      <c r="J41" s="40"/>
    </row>
    <row r="42" spans="2:10" ht="3" customHeight="1" x14ac:dyDescent="0.3">
      <c r="C42" s="16"/>
      <c r="F42" s="17"/>
      <c r="G42" s="18"/>
      <c r="H42" s="17"/>
      <c r="I42" s="18"/>
      <c r="J42" s="17"/>
    </row>
    <row r="43" spans="2:10" ht="30" customHeight="1" x14ac:dyDescent="0.3">
      <c r="B43" s="378"/>
      <c r="C43" s="379"/>
      <c r="F43" s="40"/>
      <c r="G43" s="18"/>
      <c r="H43" s="40"/>
      <c r="I43" s="18"/>
      <c r="J43" s="40"/>
    </row>
    <row r="44" spans="2:10" ht="30" customHeight="1" x14ac:dyDescent="0.3">
      <c r="B44" s="378"/>
      <c r="C44" s="379"/>
      <c r="F44" s="40"/>
      <c r="G44" s="18"/>
      <c r="H44" s="201"/>
      <c r="I44" s="18"/>
      <c r="J44" s="40"/>
    </row>
    <row r="45" spans="2:10" ht="30" customHeight="1" x14ac:dyDescent="0.3">
      <c r="B45" s="378"/>
      <c r="C45" s="380"/>
      <c r="F45" s="40"/>
      <c r="G45" s="18"/>
      <c r="H45" s="40"/>
      <c r="I45" s="18"/>
      <c r="J45" s="40"/>
    </row>
    <row r="46" spans="2:10" ht="3" customHeight="1" x14ac:dyDescent="0.3">
      <c r="C46" s="16"/>
      <c r="F46" s="17"/>
      <c r="G46" s="18"/>
      <c r="H46" s="17"/>
      <c r="I46" s="18"/>
      <c r="J46" s="17"/>
    </row>
  </sheetData>
  <sheetProtection formatCells="0" formatColumns="0" formatRows="0" selectLockedCells="1" sort="0" autoFilter="0" pivotTables="0"/>
  <mergeCells count="38">
    <mergeCell ref="F31:F33"/>
    <mergeCell ref="H39:H41"/>
    <mergeCell ref="J18:J20"/>
    <mergeCell ref="H35:H37"/>
    <mergeCell ref="H18:H20"/>
    <mergeCell ref="H22:H24"/>
    <mergeCell ref="H31:H33"/>
    <mergeCell ref="H27:H29"/>
    <mergeCell ref="F22:F24"/>
    <mergeCell ref="F27:F29"/>
    <mergeCell ref="B39:B41"/>
    <mergeCell ref="C39:C41"/>
    <mergeCell ref="B43:B45"/>
    <mergeCell ref="C43:C45"/>
    <mergeCell ref="B31:B33"/>
    <mergeCell ref="C31:C33"/>
    <mergeCell ref="B35:B37"/>
    <mergeCell ref="C35:C37"/>
    <mergeCell ref="B27:B29"/>
    <mergeCell ref="C27:C29"/>
    <mergeCell ref="B18:B20"/>
    <mergeCell ref="C18:C20"/>
    <mergeCell ref="B22:B24"/>
    <mergeCell ref="C22:C24"/>
    <mergeCell ref="B10:B12"/>
    <mergeCell ref="C10:C12"/>
    <mergeCell ref="H10:H12"/>
    <mergeCell ref="B14:B16"/>
    <mergeCell ref="C14:C16"/>
    <mergeCell ref="H14:H16"/>
    <mergeCell ref="F10:F12"/>
    <mergeCell ref="F14:F16"/>
    <mergeCell ref="B2:J2"/>
    <mergeCell ref="B4:J4"/>
    <mergeCell ref="C6:C8"/>
    <mergeCell ref="H6:H8"/>
    <mergeCell ref="J6:J8"/>
    <mergeCell ref="F6:F8"/>
  </mergeCells>
  <conditionalFormatting sqref="C1:C5 C9:C1048576">
    <cfRule type="cellIs" dxfId="0" priority="31" operator="equal">
      <formula>0</formula>
    </cfRule>
  </conditionalFormatting>
  <pageMargins left="0" right="0" top="0" bottom="0" header="0" footer="0"/>
  <pageSetup paperSize="9" scale="80" fitToHeight="2" orientation="landscape" r:id="rId1"/>
  <rowBreaks count="1" manualBreakCount="1">
    <brk id="25" min="1" max="10"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P42"/>
  <sheetViews>
    <sheetView zoomScale="70" zoomScaleNormal="70" workbookViewId="0">
      <selection activeCell="Q26" sqref="Q26"/>
    </sheetView>
  </sheetViews>
  <sheetFormatPr defaultRowHeight="14.4" x14ac:dyDescent="0.3"/>
  <cols>
    <col min="2" max="2" width="13.5546875" customWidth="1"/>
    <col min="3" max="3" width="20.88671875" customWidth="1"/>
    <col min="4" max="4" width="21.5546875" customWidth="1"/>
    <col min="5" max="5" width="2" customWidth="1"/>
    <col min="6" max="6" width="13.5546875" customWidth="1"/>
    <col min="7" max="7" width="20" customWidth="1"/>
    <col min="8" max="8" width="19.88671875" customWidth="1"/>
    <col min="9" max="9" width="1.6640625" customWidth="1"/>
    <col min="10" max="10" width="14.88671875" customWidth="1"/>
    <col min="11" max="11" width="21.88671875" customWidth="1"/>
    <col min="12" max="12" width="20.33203125" customWidth="1"/>
    <col min="13" max="13" width="1.88671875" customWidth="1"/>
    <col min="14" max="14" width="16.88671875" customWidth="1"/>
    <col min="15" max="15" width="20.109375" customWidth="1"/>
    <col min="16" max="16" width="19" customWidth="1"/>
  </cols>
  <sheetData>
    <row r="1" spans="2:16" ht="15" thickBot="1" x14ac:dyDescent="0.35"/>
    <row r="2" spans="2:16" x14ac:dyDescent="0.3">
      <c r="B2" s="179" t="s">
        <v>170</v>
      </c>
      <c r="C2" s="180" t="s">
        <v>74</v>
      </c>
      <c r="D2" s="181" t="s">
        <v>171</v>
      </c>
      <c r="F2" s="141" t="s">
        <v>170</v>
      </c>
      <c r="G2" s="141" t="s">
        <v>74</v>
      </c>
      <c r="H2" s="141" t="s">
        <v>171</v>
      </c>
      <c r="J2" s="141" t="s">
        <v>170</v>
      </c>
      <c r="K2" s="141" t="s">
        <v>74</v>
      </c>
      <c r="L2" s="141" t="s">
        <v>171</v>
      </c>
      <c r="N2" s="144" t="s">
        <v>170</v>
      </c>
      <c r="O2" s="141" t="s">
        <v>74</v>
      </c>
      <c r="P2" s="141" t="s">
        <v>171</v>
      </c>
    </row>
    <row r="3" spans="2:16" x14ac:dyDescent="0.3">
      <c r="B3" s="174">
        <v>1</v>
      </c>
      <c r="C3" s="140">
        <v>1</v>
      </c>
      <c r="D3" s="175" t="s">
        <v>20</v>
      </c>
      <c r="F3" s="140">
        <v>1</v>
      </c>
      <c r="G3" s="140">
        <v>11</v>
      </c>
      <c r="H3" s="143" t="s">
        <v>17</v>
      </c>
      <c r="J3" s="140">
        <v>1</v>
      </c>
      <c r="K3" s="140">
        <v>14</v>
      </c>
      <c r="L3" s="142" t="s">
        <v>18</v>
      </c>
      <c r="N3" s="140">
        <v>3</v>
      </c>
      <c r="O3" s="140">
        <v>14</v>
      </c>
      <c r="P3" s="145" t="s">
        <v>19</v>
      </c>
    </row>
    <row r="4" spans="2:16" x14ac:dyDescent="0.3">
      <c r="B4" s="174">
        <v>1</v>
      </c>
      <c r="C4" s="140">
        <v>2</v>
      </c>
      <c r="D4" s="175" t="s">
        <v>20</v>
      </c>
      <c r="F4" s="140">
        <v>1</v>
      </c>
      <c r="G4" s="140">
        <v>12</v>
      </c>
      <c r="H4" s="143" t="s">
        <v>17</v>
      </c>
      <c r="J4" s="140">
        <v>1</v>
      </c>
      <c r="K4" s="140">
        <v>15</v>
      </c>
      <c r="L4" s="142" t="s">
        <v>18</v>
      </c>
      <c r="N4" s="140">
        <v>3</v>
      </c>
      <c r="O4" s="140">
        <v>15</v>
      </c>
      <c r="P4" s="145" t="s">
        <v>19</v>
      </c>
    </row>
    <row r="5" spans="2:16" x14ac:dyDescent="0.3">
      <c r="B5" s="174">
        <v>1</v>
      </c>
      <c r="C5" s="140">
        <v>3</v>
      </c>
      <c r="D5" s="175" t="s">
        <v>20</v>
      </c>
      <c r="F5" s="140">
        <v>1</v>
      </c>
      <c r="G5" s="140">
        <v>13</v>
      </c>
      <c r="H5" s="143" t="s">
        <v>17</v>
      </c>
      <c r="J5" s="140">
        <v>1</v>
      </c>
      <c r="K5" s="140">
        <v>16</v>
      </c>
      <c r="L5" s="142" t="s">
        <v>18</v>
      </c>
      <c r="N5" s="140">
        <v>3</v>
      </c>
      <c r="O5" s="140">
        <v>16</v>
      </c>
      <c r="P5" s="145" t="s">
        <v>19</v>
      </c>
    </row>
    <row r="6" spans="2:16" x14ac:dyDescent="0.3">
      <c r="B6" s="174">
        <v>1</v>
      </c>
      <c r="C6" s="140">
        <v>4</v>
      </c>
      <c r="D6" s="175" t="s">
        <v>20</v>
      </c>
      <c r="F6" s="140">
        <v>2</v>
      </c>
      <c r="G6" s="140">
        <v>8</v>
      </c>
      <c r="H6" s="143" t="s">
        <v>17</v>
      </c>
      <c r="J6" s="140">
        <v>1</v>
      </c>
      <c r="K6" s="140">
        <v>17</v>
      </c>
      <c r="L6" s="142" t="s">
        <v>18</v>
      </c>
      <c r="N6" s="140">
        <v>3</v>
      </c>
      <c r="O6" s="140">
        <v>17</v>
      </c>
      <c r="P6" s="145" t="s">
        <v>19</v>
      </c>
    </row>
    <row r="7" spans="2:16" x14ac:dyDescent="0.3">
      <c r="B7" s="174">
        <v>1</v>
      </c>
      <c r="C7" s="140">
        <v>5</v>
      </c>
      <c r="D7" s="175" t="s">
        <v>20</v>
      </c>
      <c r="F7" s="140">
        <v>2</v>
      </c>
      <c r="G7" s="140">
        <v>9</v>
      </c>
      <c r="H7" s="143" t="s">
        <v>17</v>
      </c>
      <c r="J7" s="140">
        <v>2</v>
      </c>
      <c r="K7" s="140">
        <v>14</v>
      </c>
      <c r="L7" s="142" t="s">
        <v>18</v>
      </c>
      <c r="N7" s="140">
        <v>3</v>
      </c>
      <c r="O7" s="140">
        <v>18</v>
      </c>
      <c r="P7" s="145" t="s">
        <v>19</v>
      </c>
    </row>
    <row r="8" spans="2:16" x14ac:dyDescent="0.3">
      <c r="B8" s="174">
        <v>1</v>
      </c>
      <c r="C8" s="140">
        <v>6</v>
      </c>
      <c r="D8" s="175" t="s">
        <v>20</v>
      </c>
      <c r="F8" s="140">
        <v>2</v>
      </c>
      <c r="G8" s="140">
        <v>10</v>
      </c>
      <c r="H8" s="143" t="s">
        <v>17</v>
      </c>
      <c r="J8" s="140">
        <v>2</v>
      </c>
      <c r="K8" s="140">
        <v>15</v>
      </c>
      <c r="L8" s="142" t="s">
        <v>18</v>
      </c>
      <c r="N8" s="140">
        <v>3</v>
      </c>
      <c r="O8" s="140">
        <v>19</v>
      </c>
      <c r="P8" s="145" t="s">
        <v>19</v>
      </c>
    </row>
    <row r="9" spans="2:16" x14ac:dyDescent="0.3">
      <c r="B9" s="174">
        <v>1</v>
      </c>
      <c r="C9" s="140">
        <v>7</v>
      </c>
      <c r="D9" s="175" t="s">
        <v>20</v>
      </c>
      <c r="F9" s="140">
        <v>2</v>
      </c>
      <c r="G9" s="140">
        <v>11</v>
      </c>
      <c r="H9" s="143" t="s">
        <v>17</v>
      </c>
      <c r="J9" s="140">
        <v>2</v>
      </c>
      <c r="K9" s="140">
        <v>16</v>
      </c>
      <c r="L9" s="142" t="s">
        <v>18</v>
      </c>
      <c r="N9" s="140">
        <v>3</v>
      </c>
      <c r="O9" s="140">
        <v>20</v>
      </c>
      <c r="P9" s="145" t="s">
        <v>19</v>
      </c>
    </row>
    <row r="10" spans="2:16" x14ac:dyDescent="0.3">
      <c r="B10" s="174">
        <v>1</v>
      </c>
      <c r="C10" s="140">
        <v>8</v>
      </c>
      <c r="D10" s="175" t="s">
        <v>20</v>
      </c>
      <c r="F10" s="140">
        <v>2</v>
      </c>
      <c r="G10" s="140">
        <v>12</v>
      </c>
      <c r="H10" s="143" t="s">
        <v>17</v>
      </c>
      <c r="J10" s="140">
        <v>2</v>
      </c>
      <c r="K10" s="140">
        <v>17</v>
      </c>
      <c r="L10" s="142" t="s">
        <v>18</v>
      </c>
      <c r="N10" s="140">
        <v>4</v>
      </c>
      <c r="O10" s="140">
        <v>11</v>
      </c>
      <c r="P10" s="145" t="s">
        <v>19</v>
      </c>
    </row>
    <row r="11" spans="2:16" x14ac:dyDescent="0.3">
      <c r="B11" s="174">
        <v>1</v>
      </c>
      <c r="C11" s="140">
        <v>9</v>
      </c>
      <c r="D11" s="175" t="s">
        <v>20</v>
      </c>
      <c r="F11" s="140">
        <v>2</v>
      </c>
      <c r="G11" s="140">
        <v>13</v>
      </c>
      <c r="H11" s="143" t="s">
        <v>17</v>
      </c>
      <c r="J11" s="140">
        <v>3</v>
      </c>
      <c r="K11" s="140">
        <v>11</v>
      </c>
      <c r="L11" s="142" t="s">
        <v>18</v>
      </c>
      <c r="N11" s="140">
        <v>4</v>
      </c>
      <c r="O11" s="140">
        <v>12</v>
      </c>
      <c r="P11" s="145" t="s">
        <v>19</v>
      </c>
    </row>
    <row r="12" spans="2:16" x14ac:dyDescent="0.3">
      <c r="B12" s="174">
        <v>1</v>
      </c>
      <c r="C12" s="140">
        <v>10</v>
      </c>
      <c r="D12" s="175" t="s">
        <v>20</v>
      </c>
      <c r="F12" s="140">
        <v>3</v>
      </c>
      <c r="G12" s="140">
        <v>1</v>
      </c>
      <c r="H12" s="143" t="s">
        <v>17</v>
      </c>
      <c r="J12" s="140">
        <v>3</v>
      </c>
      <c r="K12" s="140">
        <v>12</v>
      </c>
      <c r="L12" s="142" t="s">
        <v>18</v>
      </c>
      <c r="N12" s="140">
        <v>4</v>
      </c>
      <c r="O12" s="140">
        <v>13</v>
      </c>
      <c r="P12" s="145" t="s">
        <v>19</v>
      </c>
    </row>
    <row r="13" spans="2:16" x14ac:dyDescent="0.3">
      <c r="B13" s="174">
        <v>2</v>
      </c>
      <c r="C13" s="140">
        <v>1</v>
      </c>
      <c r="D13" s="175" t="s">
        <v>20</v>
      </c>
      <c r="F13" s="140">
        <v>3</v>
      </c>
      <c r="G13" s="140">
        <v>2</v>
      </c>
      <c r="H13" s="143" t="s">
        <v>17</v>
      </c>
      <c r="J13" s="140">
        <v>3</v>
      </c>
      <c r="K13" s="140">
        <v>13</v>
      </c>
      <c r="L13" s="142" t="s">
        <v>18</v>
      </c>
      <c r="N13" s="140">
        <v>4</v>
      </c>
      <c r="O13" s="140">
        <v>14</v>
      </c>
      <c r="P13" s="145" t="s">
        <v>19</v>
      </c>
    </row>
    <row r="14" spans="2:16" x14ac:dyDescent="0.3">
      <c r="B14" s="174">
        <v>2</v>
      </c>
      <c r="C14" s="140">
        <v>2</v>
      </c>
      <c r="D14" s="175" t="s">
        <v>20</v>
      </c>
      <c r="F14" s="140">
        <v>3</v>
      </c>
      <c r="G14" s="140">
        <v>3</v>
      </c>
      <c r="H14" s="143" t="s">
        <v>17</v>
      </c>
      <c r="J14" s="140">
        <v>4</v>
      </c>
      <c r="K14" s="140">
        <v>1</v>
      </c>
      <c r="L14" s="142" t="s">
        <v>18</v>
      </c>
      <c r="N14" s="140">
        <v>4</v>
      </c>
      <c r="O14" s="140">
        <v>15</v>
      </c>
      <c r="P14" s="145" t="s">
        <v>19</v>
      </c>
    </row>
    <row r="15" spans="2:16" x14ac:dyDescent="0.3">
      <c r="B15" s="174">
        <v>2</v>
      </c>
      <c r="C15" s="140">
        <v>3</v>
      </c>
      <c r="D15" s="175" t="s">
        <v>20</v>
      </c>
      <c r="F15" s="140">
        <v>3</v>
      </c>
      <c r="G15" s="140">
        <v>4</v>
      </c>
      <c r="H15" s="143" t="s">
        <v>17</v>
      </c>
      <c r="J15" s="140">
        <v>4</v>
      </c>
      <c r="K15" s="140">
        <v>2</v>
      </c>
      <c r="L15" s="142" t="s">
        <v>18</v>
      </c>
      <c r="N15" s="140">
        <v>4</v>
      </c>
      <c r="O15" s="140">
        <v>16</v>
      </c>
      <c r="P15" s="145" t="s">
        <v>19</v>
      </c>
    </row>
    <row r="16" spans="2:16" x14ac:dyDescent="0.3">
      <c r="B16" s="174">
        <v>2</v>
      </c>
      <c r="C16" s="140">
        <v>4</v>
      </c>
      <c r="D16" s="175" t="s">
        <v>20</v>
      </c>
      <c r="F16" s="140">
        <v>3</v>
      </c>
      <c r="G16" s="140">
        <v>5</v>
      </c>
      <c r="H16" s="143" t="s">
        <v>17</v>
      </c>
      <c r="J16" s="140">
        <v>4</v>
      </c>
      <c r="K16" s="140">
        <v>3</v>
      </c>
      <c r="L16" s="142" t="s">
        <v>18</v>
      </c>
      <c r="N16" s="140">
        <v>4</v>
      </c>
      <c r="O16" s="140">
        <v>17</v>
      </c>
      <c r="P16" s="145" t="s">
        <v>19</v>
      </c>
    </row>
    <row r="17" spans="2:16" x14ac:dyDescent="0.3">
      <c r="B17" s="174">
        <v>2</v>
      </c>
      <c r="C17" s="140">
        <v>5</v>
      </c>
      <c r="D17" s="175" t="s">
        <v>20</v>
      </c>
      <c r="F17" s="140">
        <v>3</v>
      </c>
      <c r="G17" s="140">
        <v>6</v>
      </c>
      <c r="H17" s="143" t="s">
        <v>17</v>
      </c>
      <c r="J17" s="140">
        <v>4</v>
      </c>
      <c r="K17" s="140">
        <v>4</v>
      </c>
      <c r="L17" s="142" t="s">
        <v>18</v>
      </c>
      <c r="N17" s="140">
        <v>4</v>
      </c>
      <c r="O17" s="140">
        <v>18</v>
      </c>
      <c r="P17" s="145" t="s">
        <v>19</v>
      </c>
    </row>
    <row r="18" spans="2:16" x14ac:dyDescent="0.3">
      <c r="B18" s="174">
        <v>2</v>
      </c>
      <c r="C18" s="140">
        <v>6</v>
      </c>
      <c r="D18" s="175" t="s">
        <v>20</v>
      </c>
      <c r="F18" s="140">
        <v>3</v>
      </c>
      <c r="G18" s="140">
        <v>7</v>
      </c>
      <c r="H18" s="143" t="s">
        <v>17</v>
      </c>
      <c r="J18" s="140">
        <v>4</v>
      </c>
      <c r="K18" s="140">
        <v>5</v>
      </c>
      <c r="L18" s="142" t="s">
        <v>18</v>
      </c>
      <c r="N18" s="140">
        <v>4</v>
      </c>
      <c r="O18" s="140">
        <v>19</v>
      </c>
      <c r="P18" s="145" t="s">
        <v>19</v>
      </c>
    </row>
    <row r="19" spans="2:16" ht="15" thickBot="1" x14ac:dyDescent="0.35">
      <c r="B19" s="176">
        <v>2</v>
      </c>
      <c r="C19" s="177">
        <v>7</v>
      </c>
      <c r="D19" s="178" t="s">
        <v>20</v>
      </c>
      <c r="F19" s="140">
        <v>3</v>
      </c>
      <c r="G19" s="140">
        <v>8</v>
      </c>
      <c r="H19" s="143" t="s">
        <v>17</v>
      </c>
      <c r="J19" s="140">
        <v>4</v>
      </c>
      <c r="K19" s="140">
        <v>6</v>
      </c>
      <c r="L19" s="142" t="s">
        <v>18</v>
      </c>
      <c r="N19" s="140">
        <v>4</v>
      </c>
      <c r="O19" s="140">
        <v>20</v>
      </c>
      <c r="P19" s="145" t="s">
        <v>19</v>
      </c>
    </row>
    <row r="20" spans="2:16" x14ac:dyDescent="0.3">
      <c r="F20" s="140">
        <v>3</v>
      </c>
      <c r="G20" s="140">
        <v>9</v>
      </c>
      <c r="H20" s="143" t="s">
        <v>17</v>
      </c>
      <c r="J20" s="140">
        <v>4</v>
      </c>
      <c r="K20" s="140">
        <v>7</v>
      </c>
      <c r="L20" s="142" t="s">
        <v>18</v>
      </c>
      <c r="N20" s="140">
        <v>5</v>
      </c>
      <c r="O20" s="140">
        <v>11</v>
      </c>
      <c r="P20" s="145" t="s">
        <v>19</v>
      </c>
    </row>
    <row r="21" spans="2:16" x14ac:dyDescent="0.3">
      <c r="F21" s="140">
        <v>3</v>
      </c>
      <c r="G21" s="140">
        <v>10</v>
      </c>
      <c r="H21" s="143" t="s">
        <v>17</v>
      </c>
      <c r="J21" s="140">
        <v>4</v>
      </c>
      <c r="K21" s="140">
        <v>8</v>
      </c>
      <c r="L21" s="142" t="s">
        <v>18</v>
      </c>
      <c r="N21" s="140">
        <v>5</v>
      </c>
      <c r="O21" s="140">
        <v>12</v>
      </c>
      <c r="P21" s="145" t="s">
        <v>19</v>
      </c>
    </row>
    <row r="22" spans="2:16" x14ac:dyDescent="0.3">
      <c r="J22" s="140">
        <v>4</v>
      </c>
      <c r="K22" s="140">
        <v>9</v>
      </c>
      <c r="L22" s="142" t="s">
        <v>18</v>
      </c>
      <c r="N22" s="140">
        <v>5</v>
      </c>
      <c r="O22" s="140">
        <v>13</v>
      </c>
      <c r="P22" s="145" t="s">
        <v>19</v>
      </c>
    </row>
    <row r="23" spans="2:16" x14ac:dyDescent="0.3">
      <c r="J23" s="140">
        <v>4</v>
      </c>
      <c r="K23" s="140">
        <v>10</v>
      </c>
      <c r="L23" s="142" t="s">
        <v>18</v>
      </c>
      <c r="N23" s="140">
        <v>5</v>
      </c>
      <c r="O23" s="140">
        <v>14</v>
      </c>
      <c r="P23" s="145" t="s">
        <v>19</v>
      </c>
    </row>
    <row r="24" spans="2:16" x14ac:dyDescent="0.3">
      <c r="J24" s="140">
        <v>5</v>
      </c>
      <c r="K24" s="140">
        <v>1</v>
      </c>
      <c r="L24" s="142" t="s">
        <v>18</v>
      </c>
      <c r="N24" s="140">
        <v>5</v>
      </c>
      <c r="O24" s="140">
        <v>15</v>
      </c>
      <c r="P24" s="145" t="s">
        <v>19</v>
      </c>
    </row>
    <row r="25" spans="2:16" x14ac:dyDescent="0.3">
      <c r="J25" s="140">
        <v>5</v>
      </c>
      <c r="K25" s="140">
        <v>2</v>
      </c>
      <c r="L25" s="142" t="s">
        <v>18</v>
      </c>
      <c r="N25" s="140">
        <v>5</v>
      </c>
      <c r="O25" s="140">
        <v>16</v>
      </c>
      <c r="P25" s="145" t="s">
        <v>19</v>
      </c>
    </row>
    <row r="26" spans="2:16" x14ac:dyDescent="0.3">
      <c r="J26" s="140">
        <v>5</v>
      </c>
      <c r="K26" s="140">
        <v>3</v>
      </c>
      <c r="L26" s="142" t="s">
        <v>18</v>
      </c>
      <c r="N26" s="140">
        <v>5</v>
      </c>
      <c r="O26" s="140">
        <v>17</v>
      </c>
      <c r="P26" s="145" t="s">
        <v>19</v>
      </c>
    </row>
    <row r="27" spans="2:16" x14ac:dyDescent="0.3">
      <c r="J27" s="140">
        <v>5</v>
      </c>
      <c r="K27" s="140">
        <v>4</v>
      </c>
      <c r="L27" s="142" t="s">
        <v>18</v>
      </c>
      <c r="N27" s="140">
        <v>5</v>
      </c>
      <c r="O27" s="140">
        <v>18</v>
      </c>
      <c r="P27" s="145" t="s">
        <v>19</v>
      </c>
    </row>
    <row r="28" spans="2:16" x14ac:dyDescent="0.3">
      <c r="J28" s="140">
        <v>5</v>
      </c>
      <c r="K28" s="140">
        <v>5</v>
      </c>
      <c r="L28" s="142" t="s">
        <v>18</v>
      </c>
      <c r="N28" s="140">
        <v>5</v>
      </c>
      <c r="O28" s="140">
        <v>19</v>
      </c>
      <c r="P28" s="145" t="s">
        <v>19</v>
      </c>
    </row>
    <row r="29" spans="2:16" x14ac:dyDescent="0.3">
      <c r="J29" s="140">
        <v>5</v>
      </c>
      <c r="K29" s="140">
        <v>6</v>
      </c>
      <c r="L29" s="142" t="s">
        <v>18</v>
      </c>
      <c r="N29" s="140">
        <v>5</v>
      </c>
      <c r="O29" s="140">
        <v>20</v>
      </c>
      <c r="P29" s="145" t="s">
        <v>19</v>
      </c>
    </row>
    <row r="30" spans="2:16" x14ac:dyDescent="0.3">
      <c r="J30" s="140">
        <v>5</v>
      </c>
      <c r="K30" s="140">
        <v>7</v>
      </c>
      <c r="L30" s="142" t="s">
        <v>18</v>
      </c>
      <c r="N30" s="140">
        <v>6</v>
      </c>
      <c r="O30" s="140">
        <v>8</v>
      </c>
      <c r="P30" s="145" t="s">
        <v>19</v>
      </c>
    </row>
    <row r="31" spans="2:16" x14ac:dyDescent="0.3">
      <c r="J31" s="140">
        <v>5</v>
      </c>
      <c r="K31" s="140">
        <v>8</v>
      </c>
      <c r="L31" s="142" t="s">
        <v>18</v>
      </c>
      <c r="N31" s="140">
        <v>6</v>
      </c>
      <c r="O31" s="140">
        <v>9</v>
      </c>
      <c r="P31" s="145" t="s">
        <v>19</v>
      </c>
    </row>
    <row r="32" spans="2:16" x14ac:dyDescent="0.3">
      <c r="J32" s="140">
        <v>5</v>
      </c>
      <c r="K32" s="140">
        <v>9</v>
      </c>
      <c r="L32" s="142" t="s">
        <v>18</v>
      </c>
      <c r="N32" s="140">
        <v>6</v>
      </c>
      <c r="O32" s="140">
        <v>10</v>
      </c>
      <c r="P32" s="145" t="s">
        <v>19</v>
      </c>
    </row>
    <row r="33" spans="7:16" x14ac:dyDescent="0.3">
      <c r="J33" s="140">
        <v>5</v>
      </c>
      <c r="K33" s="140">
        <v>10</v>
      </c>
      <c r="L33" s="142" t="s">
        <v>18</v>
      </c>
      <c r="N33" s="140">
        <v>6</v>
      </c>
      <c r="O33" s="140">
        <v>11</v>
      </c>
      <c r="P33" s="145" t="s">
        <v>19</v>
      </c>
    </row>
    <row r="34" spans="7:16" x14ac:dyDescent="0.3">
      <c r="G34" s="467"/>
      <c r="J34" s="140">
        <v>6</v>
      </c>
      <c r="K34" s="140">
        <v>1</v>
      </c>
      <c r="L34" s="142" t="s">
        <v>18</v>
      </c>
      <c r="N34" s="140">
        <v>6</v>
      </c>
      <c r="O34" s="140">
        <v>12</v>
      </c>
      <c r="P34" s="145" t="s">
        <v>19</v>
      </c>
    </row>
    <row r="35" spans="7:16" x14ac:dyDescent="0.3">
      <c r="G35" s="467"/>
      <c r="J35" s="140">
        <v>6</v>
      </c>
      <c r="K35" s="140">
        <v>2</v>
      </c>
      <c r="L35" s="142" t="s">
        <v>18</v>
      </c>
      <c r="N35" s="140">
        <v>6</v>
      </c>
      <c r="O35" s="140">
        <v>13</v>
      </c>
      <c r="P35" s="145" t="s">
        <v>19</v>
      </c>
    </row>
    <row r="36" spans="7:16" x14ac:dyDescent="0.3">
      <c r="G36" s="467"/>
      <c r="J36" s="140">
        <v>6</v>
      </c>
      <c r="K36" s="140">
        <v>3</v>
      </c>
      <c r="L36" s="142" t="s">
        <v>18</v>
      </c>
      <c r="N36" s="140">
        <v>6</v>
      </c>
      <c r="O36" s="140">
        <v>14</v>
      </c>
      <c r="P36" s="145" t="s">
        <v>19</v>
      </c>
    </row>
    <row r="37" spans="7:16" x14ac:dyDescent="0.3">
      <c r="G37" s="467"/>
      <c r="J37" s="140">
        <v>6</v>
      </c>
      <c r="K37" s="140">
        <v>4</v>
      </c>
      <c r="L37" s="142" t="s">
        <v>18</v>
      </c>
      <c r="N37" s="140">
        <v>6</v>
      </c>
      <c r="O37" s="140">
        <v>15</v>
      </c>
      <c r="P37" s="145" t="s">
        <v>19</v>
      </c>
    </row>
    <row r="38" spans="7:16" x14ac:dyDescent="0.3">
      <c r="G38" s="467"/>
      <c r="J38" s="140">
        <v>6</v>
      </c>
      <c r="K38" s="140">
        <v>5</v>
      </c>
      <c r="L38" s="142" t="s">
        <v>18</v>
      </c>
      <c r="N38" s="140">
        <v>6</v>
      </c>
      <c r="O38" s="140">
        <v>16</v>
      </c>
      <c r="P38" s="145" t="s">
        <v>19</v>
      </c>
    </row>
    <row r="39" spans="7:16" x14ac:dyDescent="0.3">
      <c r="G39" s="467"/>
      <c r="J39" s="140">
        <v>6</v>
      </c>
      <c r="K39" s="140">
        <v>6</v>
      </c>
      <c r="L39" s="142" t="s">
        <v>18</v>
      </c>
      <c r="N39" s="140">
        <v>6</v>
      </c>
      <c r="O39" s="140">
        <v>17</v>
      </c>
      <c r="P39" s="145" t="s">
        <v>19</v>
      </c>
    </row>
    <row r="40" spans="7:16" x14ac:dyDescent="0.3">
      <c r="G40" s="467"/>
      <c r="J40" s="140">
        <v>6</v>
      </c>
      <c r="K40" s="140">
        <v>7</v>
      </c>
      <c r="L40" s="142" t="s">
        <v>18</v>
      </c>
      <c r="N40" s="140">
        <v>6</v>
      </c>
      <c r="O40" s="140">
        <v>18</v>
      </c>
      <c r="P40" s="145" t="s">
        <v>19</v>
      </c>
    </row>
    <row r="41" spans="7:16" x14ac:dyDescent="0.3">
      <c r="G41" s="467"/>
      <c r="N41" s="140">
        <v>6</v>
      </c>
      <c r="O41" s="140">
        <v>19</v>
      </c>
      <c r="P41" s="145" t="s">
        <v>19</v>
      </c>
    </row>
    <row r="42" spans="7:16" x14ac:dyDescent="0.3">
      <c r="N42" s="140">
        <v>6</v>
      </c>
      <c r="O42" s="140">
        <v>20</v>
      </c>
      <c r="P42" s="145" t="s">
        <v>19</v>
      </c>
    </row>
  </sheetData>
  <mergeCells count="1">
    <mergeCell ref="G34:G41"/>
  </mergeCells>
  <pageMargins left="0.511811024" right="0.511811024" top="0.78740157499999996" bottom="0.78740157499999996" header="0.31496062000000002" footer="0.31496062000000002"/>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Plan4">
    <pageSetUpPr fitToPage="1"/>
  </sheetPr>
  <dimension ref="R5:U14"/>
  <sheetViews>
    <sheetView showGridLines="0" zoomScale="71" zoomScaleNormal="71" workbookViewId="0">
      <selection activeCell="W20" sqref="W20"/>
    </sheetView>
  </sheetViews>
  <sheetFormatPr defaultRowHeight="14.4" x14ac:dyDescent="0.3"/>
  <cols>
    <col min="18" max="18" width="3.5546875" customWidth="1"/>
    <col min="19" max="19" width="5.6640625" customWidth="1"/>
    <col min="21" max="21" width="9.44140625" customWidth="1"/>
  </cols>
  <sheetData>
    <row r="5" spans="18:21" ht="15" thickBot="1" x14ac:dyDescent="0.35"/>
    <row r="6" spans="18:21" x14ac:dyDescent="0.3">
      <c r="R6" s="22"/>
      <c r="S6" s="23"/>
      <c r="T6" s="23"/>
      <c r="U6" s="24"/>
    </row>
    <row r="7" spans="18:21" ht="15.6" x14ac:dyDescent="0.3">
      <c r="R7" s="25"/>
      <c r="S7" s="26"/>
      <c r="T7" s="27" t="s">
        <v>20</v>
      </c>
      <c r="U7" s="28"/>
    </row>
    <row r="8" spans="18:21" ht="15.6" x14ac:dyDescent="0.3">
      <c r="R8" s="25"/>
      <c r="T8" s="27"/>
      <c r="U8" s="28"/>
    </row>
    <row r="9" spans="18:21" ht="15.6" x14ac:dyDescent="0.3">
      <c r="R9" s="25"/>
      <c r="S9" s="29"/>
      <c r="T9" s="27" t="s">
        <v>17</v>
      </c>
      <c r="U9" s="28"/>
    </row>
    <row r="10" spans="18:21" ht="15.6" x14ac:dyDescent="0.3">
      <c r="R10" s="25"/>
      <c r="T10" s="27"/>
      <c r="U10" s="28"/>
    </row>
    <row r="11" spans="18:21" ht="15.6" x14ac:dyDescent="0.3">
      <c r="R11" s="25"/>
      <c r="S11" s="30"/>
      <c r="T11" s="27" t="s">
        <v>18</v>
      </c>
      <c r="U11" s="28"/>
    </row>
    <row r="12" spans="18:21" ht="15.6" x14ac:dyDescent="0.3">
      <c r="R12" s="25"/>
      <c r="T12" s="27"/>
      <c r="U12" s="28"/>
    </row>
    <row r="13" spans="18:21" ht="15.6" x14ac:dyDescent="0.3">
      <c r="R13" s="25"/>
      <c r="S13" s="31"/>
      <c r="T13" s="27" t="s">
        <v>19</v>
      </c>
      <c r="U13" s="28"/>
    </row>
    <row r="14" spans="18:21" ht="15" thickBot="1" x14ac:dyDescent="0.35">
      <c r="R14" s="32"/>
      <c r="S14" s="33"/>
      <c r="T14" s="33"/>
      <c r="U14" s="34"/>
    </row>
  </sheetData>
  <sheetProtection selectLockedCells="1" selectUnlockedCells="1"/>
  <printOptions horizontalCentered="1" verticalCentered="1"/>
  <pageMargins left="0" right="0" top="0" bottom="0" header="0" footer="0"/>
  <pageSetup paperSize="9" orientation="landscape" r:id="rId1"/>
  <headerFooter>
    <oddFooter>&amp;R&amp;F</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18</vt:i4>
      </vt:variant>
      <vt:variant>
        <vt:lpstr>Intervalos Nomeados</vt:lpstr>
      </vt:variant>
      <vt:variant>
        <vt:i4>14</vt:i4>
      </vt:variant>
    </vt:vector>
  </HeadingPairs>
  <TitlesOfParts>
    <vt:vector size="32" baseType="lpstr">
      <vt:lpstr>Riscos-CANTU</vt:lpstr>
      <vt:lpstr>Ações-Riscos-CANTU</vt:lpstr>
      <vt:lpstr>Oportunidades-CANTU</vt:lpstr>
      <vt:lpstr>Ações - Oportunidades-CANTU</vt:lpstr>
      <vt:lpstr>SWOT</vt:lpstr>
      <vt:lpstr>Riscos-PIEMONTE</vt:lpstr>
      <vt:lpstr>Viabilidade NOVA</vt:lpstr>
      <vt:lpstr>Viabilidade NOVA_34%</vt:lpstr>
      <vt:lpstr>Viabilidade NOVA_23%</vt:lpstr>
      <vt:lpstr>Ações-Riscos-PIEMONTE</vt:lpstr>
      <vt:lpstr>Probabilidade (legenda)</vt:lpstr>
      <vt:lpstr>Condiç Exequibilidade (legenda)</vt:lpstr>
      <vt:lpstr>Impacto (legenda)</vt:lpstr>
      <vt:lpstr>Estratégias (legenda)</vt:lpstr>
      <vt:lpstr>Oportunidades-PIEMONTE</vt:lpstr>
      <vt:lpstr>Ações-Oportunidades-PIEMONTE</vt:lpstr>
      <vt:lpstr>Classificação</vt:lpstr>
      <vt:lpstr>Gráfico</vt:lpstr>
      <vt:lpstr>'Ações - Oportunidades-CANTU'!Area_de_impressao</vt:lpstr>
      <vt:lpstr>'Ações-Oportunidades-PIEMONTE'!Area_de_impressao</vt:lpstr>
      <vt:lpstr>'Ações-Riscos-CANTU'!Area_de_impressao</vt:lpstr>
      <vt:lpstr>'Ações-Riscos-PIEMONTE'!Area_de_impressao</vt:lpstr>
      <vt:lpstr>'Condiç Exequibilidade (legenda)'!Area_de_impressao</vt:lpstr>
      <vt:lpstr>Gráfico!Area_de_impressao</vt:lpstr>
      <vt:lpstr>'Impacto (legenda)'!Area_de_impressao</vt:lpstr>
      <vt:lpstr>'Oportunidades-CANTU'!Area_de_impressao</vt:lpstr>
      <vt:lpstr>'Oportunidades-PIEMONTE'!Area_de_impressao</vt:lpstr>
      <vt:lpstr>'Probabilidade (legenda)'!Area_de_impressao</vt:lpstr>
      <vt:lpstr>'Riscos-CANTU'!Area_de_impressao</vt:lpstr>
      <vt:lpstr>'Riscos-PIEMONTE'!Area_de_impressao</vt:lpstr>
      <vt:lpstr>Estratégias</vt:lpstr>
      <vt:lpstr>EstrategiasOport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2006-09-25T12:47:36Z</dcterms:created>
  <dcterms:modified xsi:type="dcterms:W3CDTF">2026-07-24T02:17:05Z</dcterms:modified>
</cp:coreProperties>
</file>