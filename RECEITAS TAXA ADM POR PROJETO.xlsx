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5 - Suprimentos e Controle\04_Coordenação Suprimentos\03_Cobrança de TAXA e MO ADM\"/>
    </mc:Choice>
  </mc:AlternateContent>
  <xr:revisionPtr revIDLastSave="0" documentId="13_ncr:1_{27F737C0-E952-4A33-9CAE-EA7A68BB394D}" xr6:coauthVersionLast="47" xr6:coauthVersionMax="47" xr10:uidLastSave="{00000000-0000-0000-0000-000000000000}"/>
  <bookViews>
    <workbookView xWindow="28680" yWindow="-120" windowWidth="29040" windowHeight="15720" tabRatio="814" firstSheet="1" activeTab="22" xr2:uid="{F693BD3E-AC77-41E8-9C1E-F2014E43D3CA}"/>
  </bookViews>
  <sheets>
    <sheet name="INCC - DI" sheetId="14" r:id="rId1"/>
    <sheet name="INCC - M" sheetId="1" r:id="rId2"/>
    <sheet name="Croma R02" sheetId="25" state="hidden" r:id="rId3"/>
    <sheet name="Unna R02" sheetId="26" state="hidden" r:id="rId4"/>
    <sheet name="Unna R02 - Reorç" sheetId="38" r:id="rId5"/>
    <sheet name="Qoya R01" sheetId="21" r:id="rId6"/>
    <sheet name="Nizza" sheetId="24" r:id="rId7"/>
    <sheet name="Lior" sheetId="19" r:id="rId8"/>
    <sheet name="Amíz" sheetId="27" r:id="rId9"/>
    <sheet name="Poty" sheetId="23" r:id="rId10"/>
    <sheet name="Qoya" sheetId="17" state="hidden" r:id="rId11"/>
    <sheet name="Unna" sheetId="2" state="hidden" r:id="rId12"/>
    <sheet name="Unna R01" sheetId="20" state="hidden" r:id="rId13"/>
    <sheet name="Vivere" sheetId="18" state="hidden" r:id="rId14"/>
    <sheet name="Croma" sheetId="6" state="hidden" r:id="rId15"/>
    <sheet name="Croma R01" sheetId="22" state="hidden" r:id="rId16"/>
    <sheet name="Reserva Amati" sheetId="34" r:id="rId17"/>
    <sheet name="PDV Alberi" sheetId="35" state="hidden" r:id="rId18"/>
    <sheet name="Alberi" sheetId="40" r:id="rId19"/>
    <sheet name="Hall Design" sheetId="11" state="hidden" r:id="rId20"/>
    <sheet name="Varanda PMG" sheetId="7" state="hidden" r:id="rId21"/>
    <sheet name="Ristreto" sheetId="41" r:id="rId22"/>
    <sheet name="Pace" sheetId="16" r:id="rId23"/>
    <sheet name="Ícaro" sheetId="39" r:id="rId24"/>
    <sheet name="Aretha" sheetId="12" state="hidden" r:id="rId25"/>
    <sheet name="Varanda ADM" sheetId="36" state="hidden" r:id="rId26"/>
    <sheet name="Posto Campo Largo" sheetId="30" state="hidden" r:id="rId27"/>
    <sheet name="Solenne" sheetId="4" state="hidden" r:id="rId28"/>
    <sheet name="Origens" sheetId="10" state="hidden" r:id="rId29"/>
    <sheet name="Comporta Demolição" sheetId="15" state="hidden" r:id="rId30"/>
    <sheet name="Shopping" sheetId="8" state="hidden" r:id="rId31"/>
    <sheet name="Vizione" sheetId="3" state="hidden" r:id="rId32"/>
    <sheet name="PDV Buenos Aires" sheetId="9" state="hidden" r:id="rId33"/>
    <sheet name="Manacás" sheetId="5" state="hidden" r:id="rId34"/>
    <sheet name="Reforma Nova Frota" sheetId="32" state="hidden" r:id="rId35"/>
    <sheet name="GLB" sheetId="42" r:id="rId36"/>
    <sheet name="Platea" sheetId="37" r:id="rId37"/>
    <sheet name="Centro de Eventos Unna" sheetId="44" r:id="rId38"/>
    <sheet name="Shopping Reforma" sheetId="29" state="hidden" r:id="rId39"/>
    <sheet name="Assistência" sheetId="13" state="hidden" r:id="rId40"/>
  </sheets>
  <definedNames>
    <definedName name="_xlnm._FilterDatabase" localSheetId="24" hidden="1">Aretha!$B$16:$B$25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37" l="1"/>
  <c r="E30" i="37"/>
  <c r="E29" i="37"/>
  <c r="E28" i="37"/>
  <c r="E27" i="37"/>
  <c r="E26" i="37"/>
  <c r="E25" i="37"/>
  <c r="E24" i="37"/>
  <c r="E23" i="37"/>
  <c r="E22" i="37"/>
  <c r="E21" i="37"/>
  <c r="E20" i="37"/>
  <c r="E19" i="37"/>
  <c r="E18" i="37"/>
  <c r="E17" i="37"/>
  <c r="E16" i="37"/>
  <c r="E15" i="37"/>
  <c r="E14" i="37"/>
  <c r="E13" i="37"/>
  <c r="E12" i="37"/>
  <c r="E11" i="37"/>
  <c r="E10" i="37"/>
  <c r="E9" i="37"/>
  <c r="E8" i="37"/>
  <c r="E7" i="37"/>
  <c r="E6" i="37"/>
  <c r="E5" i="37"/>
  <c r="L3" i="37" l="1"/>
  <c r="M3" i="37" s="1"/>
  <c r="G18" i="39" l="1"/>
  <c r="G17" i="39"/>
  <c r="G16" i="39"/>
  <c r="G15" i="39"/>
  <c r="K51" i="16" l="1"/>
  <c r="K50" i="16"/>
  <c r="K49" i="16"/>
  <c r="K48" i="16"/>
  <c r="K47" i="16"/>
  <c r="K46" i="16"/>
  <c r="K45" i="16"/>
  <c r="K44" i="16"/>
  <c r="K43" i="16"/>
  <c r="K42" i="16"/>
  <c r="K41" i="16"/>
  <c r="K40" i="16"/>
  <c r="K39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K38" i="16"/>
  <c r="I38" i="16"/>
  <c r="P3" i="42" l="1"/>
  <c r="O3" i="42"/>
  <c r="M3" i="42"/>
  <c r="L3" i="42"/>
  <c r="R4" i="42"/>
  <c r="D5" i="44" l="1"/>
  <c r="C5" i="44"/>
  <c r="D3" i="44" l="1"/>
  <c r="M6" i="16"/>
  <c r="H19" i="41" l="1"/>
  <c r="H18" i="41"/>
  <c r="H17" i="41"/>
  <c r="H16" i="41"/>
  <c r="H15" i="41"/>
  <c r="H14" i="41"/>
  <c r="H13" i="41"/>
  <c r="H12" i="41"/>
  <c r="H11" i="41"/>
  <c r="H10" i="41"/>
  <c r="H9" i="41"/>
  <c r="H8" i="41"/>
  <c r="H49" i="40"/>
  <c r="H48" i="40"/>
  <c r="H47" i="40"/>
  <c r="H46" i="40"/>
  <c r="H45" i="40"/>
  <c r="H44" i="40"/>
  <c r="H43" i="40"/>
  <c r="H42" i="40"/>
  <c r="H41" i="40"/>
  <c r="H40" i="40"/>
  <c r="H39" i="40"/>
  <c r="H38" i="40"/>
  <c r="H37" i="40"/>
  <c r="H36" i="40"/>
  <c r="H35" i="40"/>
  <c r="H34" i="40"/>
  <c r="H33" i="40"/>
  <c r="H32" i="40"/>
  <c r="H31" i="40"/>
  <c r="H30" i="40"/>
  <c r="H29" i="40"/>
  <c r="H28" i="40"/>
  <c r="H27" i="40"/>
  <c r="H26" i="40"/>
  <c r="H25" i="40"/>
  <c r="H24" i="40"/>
  <c r="H23" i="40"/>
  <c r="H22" i="40"/>
  <c r="H21" i="40"/>
  <c r="H20" i="40"/>
  <c r="H19" i="40"/>
  <c r="H18" i="40"/>
  <c r="H17" i="40"/>
  <c r="H16" i="40"/>
  <c r="H15" i="40"/>
  <c r="H14" i="40"/>
  <c r="H13" i="40"/>
  <c r="H12" i="40"/>
  <c r="H11" i="40"/>
  <c r="H10" i="40"/>
  <c r="H9" i="40"/>
  <c r="H26" i="34"/>
  <c r="H25" i="34"/>
  <c r="H24" i="34"/>
  <c r="H23" i="34"/>
  <c r="H22" i="34"/>
  <c r="H21" i="34"/>
  <c r="H20" i="34"/>
  <c r="H19" i="34"/>
  <c r="H18" i="34"/>
  <c r="H17" i="34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48" i="27"/>
  <c r="H47" i="27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34" i="19"/>
  <c r="H33" i="19"/>
  <c r="H32" i="19"/>
  <c r="H31" i="19"/>
  <c r="H30" i="19"/>
  <c r="H34" i="24"/>
  <c r="H33" i="24"/>
  <c r="H32" i="24"/>
  <c r="H31" i="24"/>
  <c r="H30" i="24"/>
  <c r="H29" i="24"/>
  <c r="H28" i="24"/>
  <c r="H27" i="24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48" i="38"/>
  <c r="H47" i="38"/>
  <c r="H46" i="38"/>
  <c r="H45" i="38"/>
  <c r="H44" i="38"/>
  <c r="H43" i="38"/>
  <c r="C3" i="44"/>
  <c r="A6" i="44" l="1"/>
  <c r="A7" i="44" s="1"/>
  <c r="B5" i="44"/>
  <c r="B5" i="42"/>
  <c r="I5" i="42" s="1"/>
  <c r="A6" i="42"/>
  <c r="A7" i="42" s="1"/>
  <c r="A8" i="42" s="1"/>
  <c r="A9" i="42" s="1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31" i="42" s="1"/>
  <c r="A32" i="42" s="1"/>
  <c r="A33" i="42" s="1"/>
  <c r="A34" i="42" s="1"/>
  <c r="B3" i="42"/>
  <c r="F5" i="44" l="1"/>
  <c r="E5" i="44"/>
  <c r="B7" i="44"/>
  <c r="A8" i="44"/>
  <c r="B6" i="44"/>
  <c r="C35" i="42"/>
  <c r="C37" i="42" s="1"/>
  <c r="K3" i="42"/>
  <c r="C9" i="39"/>
  <c r="C8" i="39"/>
  <c r="F382" i="14"/>
  <c r="F383" i="14"/>
  <c r="E6" i="44" l="1"/>
  <c r="F6" i="44"/>
  <c r="E7" i="44"/>
  <c r="F7" i="44"/>
  <c r="A9" i="44"/>
  <c r="B8" i="44"/>
  <c r="D5" i="42"/>
  <c r="C20" i="41"/>
  <c r="C22" i="41" s="1"/>
  <c r="E5" i="42" l="1"/>
  <c r="F8" i="44"/>
  <c r="E8" i="44"/>
  <c r="A10" i="44"/>
  <c r="B9" i="44"/>
  <c r="C12" i="39"/>
  <c r="E16" i="29"/>
  <c r="K22" i="24"/>
  <c r="C3" i="24" s="1"/>
  <c r="F5" i="42" l="1"/>
  <c r="F9" i="44"/>
  <c r="E9" i="44"/>
  <c r="B10" i="44"/>
  <c r="A11" i="44"/>
  <c r="C3" i="27"/>
  <c r="K22" i="27"/>
  <c r="E10" i="44" l="1"/>
  <c r="F10" i="44"/>
  <c r="A12" i="44"/>
  <c r="B11" i="44"/>
  <c r="K5" i="19"/>
  <c r="K22" i="19"/>
  <c r="C3" i="19"/>
  <c r="K4" i="19"/>
  <c r="K22" i="38"/>
  <c r="C3" i="38" s="1"/>
  <c r="C3" i="34"/>
  <c r="K22" i="34"/>
  <c r="C50" i="40"/>
  <c r="C52" i="40" s="1"/>
  <c r="I3" i="23"/>
  <c r="I3" i="25"/>
  <c r="A6" i="41"/>
  <c r="A7" i="41" s="1"/>
  <c r="B5" i="41"/>
  <c r="G5" i="41" s="1"/>
  <c r="I3" i="41"/>
  <c r="F11" i="44" l="1"/>
  <c r="E11" i="44"/>
  <c r="B12" i="44"/>
  <c r="A13" i="44"/>
  <c r="A8" i="41"/>
  <c r="D5" i="41"/>
  <c r="A6" i="40"/>
  <c r="B5" i="40"/>
  <c r="I3" i="40"/>
  <c r="F6" i="29"/>
  <c r="E12" i="44" l="1"/>
  <c r="F12" i="44"/>
  <c r="B13" i="44"/>
  <c r="A14" i="44"/>
  <c r="D5" i="40"/>
  <c r="G5" i="40"/>
  <c r="A9" i="41"/>
  <c r="A7" i="40"/>
  <c r="P46" i="16"/>
  <c r="F13" i="44" l="1"/>
  <c r="E13" i="44"/>
  <c r="B14" i="44"/>
  <c r="A10" i="41"/>
  <c r="A8" i="40"/>
  <c r="P48" i="16"/>
  <c r="O7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8" i="16"/>
  <c r="K2" i="11"/>
  <c r="E14" i="44" l="1"/>
  <c r="E3" i="44" s="1"/>
  <c r="F14" i="44"/>
  <c r="A11" i="41"/>
  <c r="A9" i="40"/>
  <c r="C28" i="34"/>
  <c r="A12" i="41" l="1"/>
  <c r="A10" i="40"/>
  <c r="C30" i="34"/>
  <c r="C35" i="19"/>
  <c r="C37" i="19" s="1"/>
  <c r="A13" i="41" l="1"/>
  <c r="A11" i="40"/>
  <c r="F3" i="29"/>
  <c r="F18" i="39"/>
  <c r="F17" i="39"/>
  <c r="F16" i="39"/>
  <c r="F15" i="39"/>
  <c r="F14" i="39"/>
  <c r="F13" i="39"/>
  <c r="F12" i="39"/>
  <c r="F11" i="39"/>
  <c r="F10" i="39"/>
  <c r="F9" i="39"/>
  <c r="A9" i="39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H6" i="39"/>
  <c r="B6" i="39"/>
  <c r="A14" i="41" l="1"/>
  <c r="A12" i="40"/>
  <c r="C18" i="39"/>
  <c r="C23" i="39"/>
  <c r="C48" i="39"/>
  <c r="C44" i="39"/>
  <c r="C40" i="39"/>
  <c r="C36" i="39"/>
  <c r="C32" i="39"/>
  <c r="C30" i="39"/>
  <c r="C28" i="39"/>
  <c r="C26" i="39"/>
  <c r="C19" i="39"/>
  <c r="C17" i="39"/>
  <c r="C15" i="39"/>
  <c r="C13" i="39"/>
  <c r="C11" i="39"/>
  <c r="C46" i="39"/>
  <c r="C42" i="39"/>
  <c r="C27" i="39"/>
  <c r="C20" i="39"/>
  <c r="C10" i="39"/>
  <c r="C35" i="39"/>
  <c r="C29" i="39"/>
  <c r="C25" i="39"/>
  <c r="C49" i="39"/>
  <c r="C45" i="39"/>
  <c r="C41" i="39"/>
  <c r="C37" i="39"/>
  <c r="C33" i="39"/>
  <c r="C24" i="39"/>
  <c r="C22" i="39"/>
  <c r="C50" i="39"/>
  <c r="C38" i="39"/>
  <c r="C34" i="39"/>
  <c r="C16" i="39"/>
  <c r="C31" i="39"/>
  <c r="C14" i="39"/>
  <c r="C21" i="39"/>
  <c r="C51" i="39"/>
  <c r="C47" i="39"/>
  <c r="C43" i="39"/>
  <c r="C39" i="39"/>
  <c r="F3" i="44" l="1"/>
  <c r="A15" i="41"/>
  <c r="A13" i="40"/>
  <c r="C6" i="39"/>
  <c r="F6" i="39" s="1"/>
  <c r="A16" i="41" l="1"/>
  <c r="A14" i="40"/>
  <c r="I6" i="39"/>
  <c r="A17" i="41" l="1"/>
  <c r="A15" i="40"/>
  <c r="A18" i="41" l="1"/>
  <c r="A16" i="40"/>
  <c r="C49" i="27"/>
  <c r="C51" i="27" s="1"/>
  <c r="C46" i="23"/>
  <c r="C48" i="23" s="1"/>
  <c r="C35" i="24"/>
  <c r="C37" i="24" s="1"/>
  <c r="C46" i="21"/>
  <c r="C48" i="21" s="1"/>
  <c r="C49" i="38"/>
  <c r="C51" i="38" s="1"/>
  <c r="A19" i="41" l="1"/>
  <c r="A17" i="40"/>
  <c r="D57" i="16"/>
  <c r="E57" i="16" s="1"/>
  <c r="A18" i="40" l="1"/>
  <c r="I3" i="38"/>
  <c r="A19" i="40" l="1"/>
  <c r="B32" i="12"/>
  <c r="A20" i="40" l="1"/>
  <c r="A21" i="40" l="1"/>
  <c r="B31" i="12"/>
  <c r="B30" i="12"/>
  <c r="A22" i="40" l="1"/>
  <c r="I24" i="12"/>
  <c r="A23" i="40" l="1"/>
  <c r="A42" i="38"/>
  <c r="A43" i="38" s="1"/>
  <c r="A44" i="38" s="1"/>
  <c r="B35" i="38"/>
  <c r="B34" i="38"/>
  <c r="B33" i="38"/>
  <c r="B32" i="38"/>
  <c r="B31" i="38"/>
  <c r="B30" i="38"/>
  <c r="B29" i="38"/>
  <c r="B28" i="38"/>
  <c r="B27" i="38"/>
  <c r="B26" i="38"/>
  <c r="B25" i="38"/>
  <c r="B24" i="38"/>
  <c r="B23" i="38"/>
  <c r="B22" i="38"/>
  <c r="B21" i="38"/>
  <c r="B20" i="38"/>
  <c r="B19" i="38"/>
  <c r="B18" i="38"/>
  <c r="B17" i="38"/>
  <c r="B16" i="38"/>
  <c r="B15" i="38"/>
  <c r="B14" i="38"/>
  <c r="B13" i="38"/>
  <c r="B12" i="38"/>
  <c r="B11" i="38"/>
  <c r="G11" i="38" s="1"/>
  <c r="B10" i="38"/>
  <c r="G10" i="38" s="1"/>
  <c r="B9" i="38"/>
  <c r="B8" i="38"/>
  <c r="B7" i="38"/>
  <c r="B6" i="38"/>
  <c r="B5" i="38"/>
  <c r="B3" i="38"/>
  <c r="G20" i="38" s="1"/>
  <c r="D29" i="11"/>
  <c r="D30" i="11"/>
  <c r="D14" i="38" l="1"/>
  <c r="D6" i="38"/>
  <c r="D31" i="38"/>
  <c r="A24" i="40"/>
  <c r="D27" i="38"/>
  <c r="D17" i="38"/>
  <c r="D18" i="38"/>
  <c r="D26" i="38"/>
  <c r="D32" i="38"/>
  <c r="D33" i="38"/>
  <c r="D12" i="38"/>
  <c r="G5" i="38"/>
  <c r="D21" i="38"/>
  <c r="D7" i="38"/>
  <c r="D28" i="38"/>
  <c r="D15" i="38"/>
  <c r="G15" i="38"/>
  <c r="D23" i="38"/>
  <c r="G16" i="38"/>
  <c r="D22" i="38"/>
  <c r="G31" i="38"/>
  <c r="G12" i="38"/>
  <c r="G13" i="38"/>
  <c r="G23" i="38"/>
  <c r="G28" i="38"/>
  <c r="G34" i="38"/>
  <c r="D19" i="38"/>
  <c r="D24" i="38"/>
  <c r="D29" i="38"/>
  <c r="D35" i="38"/>
  <c r="G7" i="38"/>
  <c r="G8" i="38"/>
  <c r="D20" i="38"/>
  <c r="G24" i="38"/>
  <c r="D30" i="38"/>
  <c r="D9" i="38"/>
  <c r="D25" i="38"/>
  <c r="D10" i="38"/>
  <c r="D13" i="38"/>
  <c r="G18" i="38"/>
  <c r="G26" i="38"/>
  <c r="D5" i="38"/>
  <c r="D8" i="38"/>
  <c r="D16" i="38"/>
  <c r="G21" i="38"/>
  <c r="G29" i="38"/>
  <c r="G32" i="38"/>
  <c r="G19" i="38"/>
  <c r="D11" i="38"/>
  <c r="G27" i="38"/>
  <c r="G6" i="38"/>
  <c r="G14" i="38"/>
  <c r="G22" i="38"/>
  <c r="G30" i="38"/>
  <c r="G9" i="38"/>
  <c r="G17" i="38"/>
  <c r="G25" i="38"/>
  <c r="G33" i="38"/>
  <c r="G35" i="38"/>
  <c r="D34" i="38"/>
  <c r="A45" i="38"/>
  <c r="A25" i="40" l="1"/>
  <c r="A46" i="38"/>
  <c r="D31" i="37"/>
  <c r="D3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7" i="37"/>
  <c r="D6" i="37"/>
  <c r="A6" i="37"/>
  <c r="D5" i="37"/>
  <c r="B5" i="37"/>
  <c r="C3" i="37"/>
  <c r="B3" i="37"/>
  <c r="A26" i="40" l="1"/>
  <c r="A47" i="38"/>
  <c r="H2" i="37"/>
  <c r="A7" i="37"/>
  <c r="D3" i="37"/>
  <c r="A27" i="40" l="1"/>
  <c r="A48" i="38"/>
  <c r="E3" i="37"/>
  <c r="I2" i="37" s="1"/>
  <c r="A8" i="37"/>
  <c r="A43" i="26"/>
  <c r="A44" i="26" s="1"/>
  <c r="A42" i="26"/>
  <c r="A28" i="40" l="1"/>
  <c r="A9" i="37"/>
  <c r="A45" i="26"/>
  <c r="A29" i="40" l="1"/>
  <c r="A10" i="37"/>
  <c r="A46" i="26"/>
  <c r="A30" i="40" l="1"/>
  <c r="A11" i="37"/>
  <c r="A47" i="26"/>
  <c r="A31" i="40" l="1"/>
  <c r="A12" i="37"/>
  <c r="B12" i="37" s="1"/>
  <c r="A48" i="26"/>
  <c r="A32" i="40" l="1"/>
  <c r="A13" i="37"/>
  <c r="I3" i="12"/>
  <c r="B29" i="12"/>
  <c r="D28" i="11"/>
  <c r="A33" i="40" l="1"/>
  <c r="A14" i="37"/>
  <c r="A34" i="40" l="1"/>
  <c r="A15" i="37"/>
  <c r="A35" i="40" l="1"/>
  <c r="A16" i="37"/>
  <c r="A36" i="40" l="1"/>
  <c r="A17" i="37"/>
  <c r="C11" i="36"/>
  <c r="C10" i="36"/>
  <c r="C9" i="36"/>
  <c r="C8" i="36"/>
  <c r="C5" i="36"/>
  <c r="C3" i="36" s="1"/>
  <c r="C7" i="36"/>
  <c r="C6" i="36"/>
  <c r="B3" i="36"/>
  <c r="A37" i="40" l="1"/>
  <c r="A18" i="37"/>
  <c r="C7" i="35"/>
  <c r="C6" i="35"/>
  <c r="C5" i="35"/>
  <c r="A38" i="40" l="1"/>
  <c r="A19" i="37"/>
  <c r="C3" i="35"/>
  <c r="D5" i="35"/>
  <c r="B3" i="35"/>
  <c r="A39" i="40" l="1"/>
  <c r="A20" i="37"/>
  <c r="D6" i="35"/>
  <c r="D7" i="35"/>
  <c r="A40" i="40" l="1"/>
  <c r="A21" i="37"/>
  <c r="F3" i="1"/>
  <c r="F2" i="1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B7" i="25"/>
  <c r="B6" i="25"/>
  <c r="B5" i="25"/>
  <c r="A41" i="40" l="1"/>
  <c r="A22" i="37"/>
  <c r="A6" i="34"/>
  <c r="I3" i="34"/>
  <c r="A42" i="40" l="1"/>
  <c r="A23" i="37"/>
  <c r="A7" i="34"/>
  <c r="A8" i="34" s="1"/>
  <c r="A43" i="40" l="1"/>
  <c r="A24" i="37"/>
  <c r="A9" i="34"/>
  <c r="A44" i="40" l="1"/>
  <c r="A25" i="37"/>
  <c r="A10" i="34"/>
  <c r="A45" i="40" l="1"/>
  <c r="A26" i="37"/>
  <c r="A11" i="34"/>
  <c r="A46" i="40" l="1"/>
  <c r="A27" i="37"/>
  <c r="A12" i="34"/>
  <c r="A47" i="40" l="1"/>
  <c r="A28" i="37"/>
  <c r="A13" i="34"/>
  <c r="A48" i="40" l="1"/>
  <c r="A49" i="40" s="1"/>
  <c r="A29" i="37"/>
  <c r="A14" i="34"/>
  <c r="A30" i="37" l="1"/>
  <c r="A15" i="34"/>
  <c r="A31" i="37" l="1"/>
  <c r="A16" i="34"/>
  <c r="A17" i="34" l="1"/>
  <c r="A18" i="34" l="1"/>
  <c r="A19" i="34" l="1"/>
  <c r="A20" i="34" l="1"/>
  <c r="A21" i="34" l="1"/>
  <c r="A22" i="34" l="1"/>
  <c r="A23" i="34" l="1"/>
  <c r="A24" i="34" l="1"/>
  <c r="A25" i="34" l="1"/>
  <c r="A26" i="34" s="1"/>
  <c r="A6" i="32" l="1"/>
  <c r="A7" i="32" s="1"/>
  <c r="I3" i="32"/>
  <c r="F6" i="30"/>
  <c r="F7" i="30"/>
  <c r="F8" i="30"/>
  <c r="F9" i="30"/>
  <c r="F10" i="30"/>
  <c r="F11" i="30"/>
  <c r="F12" i="30"/>
  <c r="F13" i="30"/>
  <c r="F14" i="30"/>
  <c r="F15" i="30"/>
  <c r="F5" i="30"/>
  <c r="C15" i="30"/>
  <c r="C14" i="30"/>
  <c r="C13" i="30"/>
  <c r="C12" i="30"/>
  <c r="C11" i="30"/>
  <c r="C10" i="30"/>
  <c r="C9" i="30"/>
  <c r="C8" i="30"/>
  <c r="C7" i="30"/>
  <c r="C6" i="30"/>
  <c r="C5" i="30"/>
  <c r="A8" i="32" l="1"/>
  <c r="A6" i="30"/>
  <c r="A7" i="30" s="1"/>
  <c r="A8" i="30" s="1"/>
  <c r="H3" i="30"/>
  <c r="J3" i="29"/>
  <c r="I3" i="29"/>
  <c r="C10" i="29"/>
  <c r="C9" i="29"/>
  <c r="D34" i="29"/>
  <c r="C34" i="29"/>
  <c r="D33" i="29"/>
  <c r="C33" i="29"/>
  <c r="D32" i="29"/>
  <c r="C32" i="29"/>
  <c r="D31" i="29"/>
  <c r="C31" i="29"/>
  <c r="D30" i="29"/>
  <c r="C30" i="29"/>
  <c r="D29" i="29"/>
  <c r="C29" i="29"/>
  <c r="D28" i="29"/>
  <c r="C28" i="29"/>
  <c r="D27" i="29"/>
  <c r="C27" i="29"/>
  <c r="D26" i="29"/>
  <c r="C26" i="29"/>
  <c r="D25" i="29"/>
  <c r="C25" i="29"/>
  <c r="D24" i="29"/>
  <c r="C24" i="29"/>
  <c r="D23" i="29"/>
  <c r="C23" i="29"/>
  <c r="D22" i="29"/>
  <c r="C22" i="29"/>
  <c r="D21" i="29"/>
  <c r="C21" i="29"/>
  <c r="D20" i="29"/>
  <c r="C20" i="29"/>
  <c r="D19" i="29"/>
  <c r="C19" i="29"/>
  <c r="D18" i="29"/>
  <c r="C18" i="29"/>
  <c r="D17" i="29"/>
  <c r="C17" i="29"/>
  <c r="D15" i="29"/>
  <c r="C15" i="29"/>
  <c r="D14" i="29"/>
  <c r="C14" i="29"/>
  <c r="D13" i="29"/>
  <c r="C13" i="29"/>
  <c r="D12" i="29"/>
  <c r="C12" i="29"/>
  <c r="D11" i="29"/>
  <c r="C11" i="29"/>
  <c r="D10" i="29"/>
  <c r="D9" i="29"/>
  <c r="D8" i="29"/>
  <c r="C8" i="29"/>
  <c r="D7" i="29"/>
  <c r="C7" i="29"/>
  <c r="D6" i="29"/>
  <c r="C6" i="29"/>
  <c r="D5" i="29"/>
  <c r="C5" i="29"/>
  <c r="E13" i="29" l="1"/>
  <c r="E17" i="29"/>
  <c r="E21" i="29"/>
  <c r="E25" i="29"/>
  <c r="E29" i="29"/>
  <c r="E33" i="29"/>
  <c r="E11" i="29"/>
  <c r="E14" i="29"/>
  <c r="E30" i="29"/>
  <c r="E22" i="29"/>
  <c r="E19" i="29"/>
  <c r="E23" i="29"/>
  <c r="E27" i="29"/>
  <c r="E9" i="29"/>
  <c r="E8" i="29"/>
  <c r="E5" i="29"/>
  <c r="A9" i="32"/>
  <c r="E31" i="29"/>
  <c r="E10" i="29"/>
  <c r="E7" i="29"/>
  <c r="E12" i="29"/>
  <c r="E20" i="29"/>
  <c r="E24" i="29"/>
  <c r="E28" i="29"/>
  <c r="E32" i="29"/>
  <c r="E15" i="29"/>
  <c r="E18" i="29"/>
  <c r="E26" i="29"/>
  <c r="E34" i="29"/>
  <c r="A9" i="30"/>
  <c r="E6" i="29"/>
  <c r="C3" i="29"/>
  <c r="K3" i="29" s="1"/>
  <c r="D3" i="29"/>
  <c r="L3" i="29" s="1"/>
  <c r="E3" i="29" l="1"/>
  <c r="G3" i="29" s="1"/>
  <c r="A10" i="32"/>
  <c r="A10" i="30"/>
  <c r="A11" i="32" l="1"/>
  <c r="A11" i="30"/>
  <c r="A12" i="32" l="1"/>
  <c r="A12" i="30"/>
  <c r="A13" i="32" l="1"/>
  <c r="A13" i="30"/>
  <c r="A14" i="32" l="1"/>
  <c r="A14" i="30"/>
  <c r="A15" i="32" l="1"/>
  <c r="A15" i="30"/>
  <c r="I3" i="18" l="1"/>
  <c r="I3" i="24" l="1"/>
  <c r="I3" i="26" l="1"/>
  <c r="I3" i="21"/>
  <c r="I3" i="27"/>
  <c r="I3" i="19"/>
  <c r="D56" i="16" l="1"/>
  <c r="E56" i="16" s="1"/>
  <c r="F56" i="16" s="1"/>
  <c r="F57" i="16" s="1"/>
  <c r="H2" i="16" s="1"/>
  <c r="A6" i="29" l="1"/>
  <c r="A7" i="29" l="1"/>
  <c r="BQ7" i="7"/>
  <c r="A8" i="29" l="1"/>
  <c r="F58" i="16"/>
  <c r="F59" i="16" s="1"/>
  <c r="F60" i="16" s="1"/>
  <c r="A9" i="29" l="1"/>
  <c r="F61" i="16"/>
  <c r="D4" i="16" s="1"/>
  <c r="J51" i="16" l="1"/>
  <c r="E51" i="16"/>
  <c r="A10" i="29"/>
  <c r="B4" i="16"/>
  <c r="C31" i="16" l="1"/>
  <c r="C51" i="16"/>
  <c r="H51" i="16"/>
  <c r="C30" i="16"/>
  <c r="C29" i="16"/>
  <c r="C18" i="16"/>
  <c r="C22" i="16"/>
  <c r="C20" i="16"/>
  <c r="A11" i="29"/>
  <c r="E20" i="16"/>
  <c r="E19" i="16"/>
  <c r="E18" i="16"/>
  <c r="E17" i="16"/>
  <c r="C19" i="16"/>
  <c r="C17" i="16"/>
  <c r="A12" i="29" l="1"/>
  <c r="H50" i="16"/>
  <c r="J50" i="16"/>
  <c r="A13" i="29" l="1"/>
  <c r="BO7" i="7"/>
  <c r="A14" i="29" l="1"/>
  <c r="BM7" i="7"/>
  <c r="BK7" i="7"/>
  <c r="A15" i="29" l="1"/>
  <c r="A6" i="27"/>
  <c r="A7" i="27" s="1"/>
  <c r="B5" i="27"/>
  <c r="B3" i="27"/>
  <c r="A16" i="29" l="1"/>
  <c r="D5" i="27"/>
  <c r="A8" i="27"/>
  <c r="G5" i="27"/>
  <c r="A17" i="29" l="1"/>
  <c r="A9" i="27"/>
  <c r="I363" i="14"/>
  <c r="I364" i="14"/>
  <c r="I365" i="14"/>
  <c r="I366" i="14"/>
  <c r="I362" i="14"/>
  <c r="F363" i="14"/>
  <c r="F364" i="14"/>
  <c r="F365" i="14"/>
  <c r="B6" i="27" s="1"/>
  <c r="F362" i="14"/>
  <c r="C3" i="30" l="1"/>
  <c r="A18" i="29"/>
  <c r="D6" i="27"/>
  <c r="G6" i="27"/>
  <c r="A10" i="27"/>
  <c r="I3" i="30" l="1"/>
  <c r="A19" i="29"/>
  <c r="A11" i="27"/>
  <c r="A20" i="29" l="1"/>
  <c r="A12" i="27"/>
  <c r="B19" i="11"/>
  <c r="B18" i="11"/>
  <c r="B17" i="11"/>
  <c r="A21" i="29" l="1"/>
  <c r="A13" i="27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8" i="16"/>
  <c r="A22" i="29" l="1"/>
  <c r="A14" i="27"/>
  <c r="C16" i="16"/>
  <c r="A23" i="29" l="1"/>
  <c r="A15" i="27"/>
  <c r="A24" i="29" l="1"/>
  <c r="A16" i="27"/>
  <c r="D17" i="11"/>
  <c r="A25" i="29" l="1"/>
  <c r="A17" i="27"/>
  <c r="E17" i="11"/>
  <c r="F17" i="11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3" i="12"/>
  <c r="G29" i="12" l="1"/>
  <c r="G30" i="12"/>
  <c r="D32" i="12"/>
  <c r="G32" i="12"/>
  <c r="G31" i="12"/>
  <c r="D29" i="12"/>
  <c r="D31" i="12"/>
  <c r="D30" i="12"/>
  <c r="A26" i="29"/>
  <c r="A18" i="27"/>
  <c r="G17" i="11"/>
  <c r="G5" i="12"/>
  <c r="D16" i="12"/>
  <c r="D18" i="12"/>
  <c r="G11" i="12"/>
  <c r="G18" i="12"/>
  <c r="G10" i="12"/>
  <c r="G17" i="12"/>
  <c r="G9" i="12"/>
  <c r="G16" i="12"/>
  <c r="G8" i="12"/>
  <c r="G15" i="12"/>
  <c r="G7" i="12"/>
  <c r="G14" i="12"/>
  <c r="G6" i="12"/>
  <c r="G13" i="12"/>
  <c r="G12" i="12"/>
  <c r="D12" i="12"/>
  <c r="D13" i="12"/>
  <c r="D6" i="12"/>
  <c r="D14" i="12"/>
  <c r="D15" i="12"/>
  <c r="D17" i="12"/>
  <c r="D11" i="12"/>
  <c r="D7" i="12"/>
  <c r="D5" i="12"/>
  <c r="D8" i="12"/>
  <c r="D9" i="12"/>
  <c r="D10" i="12"/>
  <c r="A27" i="29" l="1"/>
  <c r="A19" i="27"/>
  <c r="C3" i="11"/>
  <c r="J6" i="11" s="1"/>
  <c r="F38" i="11"/>
  <c r="E38" i="11"/>
  <c r="D38" i="11"/>
  <c r="G38" i="11" s="1"/>
  <c r="E37" i="11"/>
  <c r="D37" i="11"/>
  <c r="F36" i="11"/>
  <c r="E36" i="11"/>
  <c r="D36" i="11"/>
  <c r="G36" i="11" s="1"/>
  <c r="D35" i="11"/>
  <c r="E35" i="11" s="1"/>
  <c r="D34" i="11"/>
  <c r="D33" i="11"/>
  <c r="D32" i="11"/>
  <c r="D31" i="11"/>
  <c r="E31" i="11" s="1"/>
  <c r="F30" i="11"/>
  <c r="E30" i="11"/>
  <c r="E29" i="11"/>
  <c r="F28" i="11"/>
  <c r="D27" i="11"/>
  <c r="E27" i="11" s="1"/>
  <c r="D26" i="11"/>
  <c r="F26" i="11" s="1"/>
  <c r="D25" i="11"/>
  <c r="E25" i="11" s="1"/>
  <c r="D24" i="11"/>
  <c r="D23" i="11"/>
  <c r="D22" i="11"/>
  <c r="D21" i="11"/>
  <c r="E21" i="11" s="1"/>
  <c r="D20" i="11"/>
  <c r="D19" i="11"/>
  <c r="E19" i="11" s="1"/>
  <c r="D18" i="11"/>
  <c r="E18" i="11" s="1"/>
  <c r="B16" i="11"/>
  <c r="B15" i="11"/>
  <c r="B14" i="11"/>
  <c r="B13" i="11"/>
  <c r="B12" i="11"/>
  <c r="B11" i="11"/>
  <c r="B10" i="11"/>
  <c r="B9" i="11"/>
  <c r="B8" i="11"/>
  <c r="B7" i="11"/>
  <c r="B6" i="11"/>
  <c r="B5" i="11"/>
  <c r="B3" i="11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B20" i="11"/>
  <c r="I3" i="14"/>
  <c r="E33" i="11" l="1"/>
  <c r="F33" i="11"/>
  <c r="E34" i="11"/>
  <c r="E32" i="11"/>
  <c r="F32" i="11"/>
  <c r="G30" i="11"/>
  <c r="E28" i="11"/>
  <c r="G28" i="11" s="1"/>
  <c r="E26" i="11"/>
  <c r="G26" i="11" s="1"/>
  <c r="F23" i="11"/>
  <c r="E23" i="11"/>
  <c r="G23" i="11"/>
  <c r="E24" i="11"/>
  <c r="G24" i="11" s="1"/>
  <c r="F24" i="11"/>
  <c r="A28" i="29"/>
  <c r="E22" i="11"/>
  <c r="F22" i="11"/>
  <c r="G22" i="11" s="1"/>
  <c r="F20" i="11"/>
  <c r="E20" i="11"/>
  <c r="G20" i="11" s="1"/>
  <c r="A20" i="27"/>
  <c r="F18" i="11"/>
  <c r="G33" i="11"/>
  <c r="F19" i="11"/>
  <c r="G19" i="11" s="1"/>
  <c r="F21" i="11"/>
  <c r="G21" i="11" s="1"/>
  <c r="F25" i="11"/>
  <c r="G25" i="11" s="1"/>
  <c r="F27" i="11"/>
  <c r="G27" i="11" s="1"/>
  <c r="F29" i="11"/>
  <c r="G29" i="11" s="1"/>
  <c r="F31" i="11"/>
  <c r="G31" i="11" s="1"/>
  <c r="G35" i="11"/>
  <c r="F37" i="11"/>
  <c r="G37" i="11" s="1"/>
  <c r="G34" i="11" l="1"/>
  <c r="G32" i="11"/>
  <c r="A29" i="29"/>
  <c r="G18" i="11"/>
  <c r="A21" i="27"/>
  <c r="D5" i="11"/>
  <c r="A30" i="29" l="1"/>
  <c r="A22" i="27"/>
  <c r="E5" i="11"/>
  <c r="F5" i="11"/>
  <c r="B8" i="18"/>
  <c r="B7" i="18"/>
  <c r="B6" i="18"/>
  <c r="B5" i="18"/>
  <c r="B3" i="18"/>
  <c r="F3" i="30" l="1"/>
  <c r="F1" i="30" s="1"/>
  <c r="A31" i="29"/>
  <c r="D5" i="18"/>
  <c r="D6" i="18"/>
  <c r="A23" i="27"/>
  <c r="G5" i="18"/>
  <c r="G6" i="18"/>
  <c r="G8" i="18"/>
  <c r="G7" i="18"/>
  <c r="D7" i="18"/>
  <c r="D8" i="18"/>
  <c r="G5" i="11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5" i="26"/>
  <c r="B3" i="26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B19" i="12" s="1"/>
  <c r="D19" i="12" s="1"/>
  <c r="G1" i="30" l="1"/>
  <c r="A32" i="29"/>
  <c r="G18" i="26"/>
  <c r="D5" i="26"/>
  <c r="D22" i="26"/>
  <c r="A24" i="27"/>
  <c r="D7" i="26"/>
  <c r="G19" i="12"/>
  <c r="A33" i="29" l="1"/>
  <c r="A25" i="27"/>
  <c r="B9" i="21"/>
  <c r="B8" i="21"/>
  <c r="B7" i="21"/>
  <c r="B6" i="21"/>
  <c r="B5" i="21"/>
  <c r="B3" i="21"/>
  <c r="G5" i="21" l="1"/>
  <c r="A34" i="29"/>
  <c r="A26" i="27"/>
  <c r="G6" i="21"/>
  <c r="G7" i="21"/>
  <c r="G8" i="21"/>
  <c r="G9" i="21"/>
  <c r="D6" i="21"/>
  <c r="D7" i="21"/>
  <c r="D9" i="21"/>
  <c r="D8" i="21"/>
  <c r="D5" i="21"/>
  <c r="A27" i="27" l="1"/>
  <c r="B5" i="24"/>
  <c r="B3" i="24"/>
  <c r="A28" i="27" l="1"/>
  <c r="G5" i="24"/>
  <c r="D5" i="24"/>
  <c r="B7" i="23"/>
  <c r="B6" i="23"/>
  <c r="A29" i="27" l="1"/>
  <c r="B5" i="23"/>
  <c r="A30" i="27" l="1"/>
  <c r="B3" i="23"/>
  <c r="A31" i="27" l="1"/>
  <c r="G7" i="23"/>
  <c r="G5" i="23"/>
  <c r="G6" i="23"/>
  <c r="D6" i="23"/>
  <c r="D7" i="23"/>
  <c r="D5" i="23"/>
  <c r="B3" i="19"/>
  <c r="A32" i="27" l="1"/>
  <c r="B6" i="19"/>
  <c r="B7" i="19"/>
  <c r="B8" i="19"/>
  <c r="B5" i="19"/>
  <c r="G5" i="19" s="1"/>
  <c r="F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A33" i="27" l="1"/>
  <c r="D21" i="26"/>
  <c r="A34" i="27" l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G11" i="26"/>
  <c r="G19" i="26"/>
  <c r="G10" i="26"/>
  <c r="G12" i="26"/>
  <c r="G20" i="26"/>
  <c r="G5" i="26"/>
  <c r="G13" i="26"/>
  <c r="G21" i="26"/>
  <c r="G8" i="26"/>
  <c r="G14" i="26"/>
  <c r="G22" i="26"/>
  <c r="G15" i="26"/>
  <c r="G23" i="26"/>
  <c r="G6" i="26"/>
  <c r="G9" i="26"/>
  <c r="G16" i="26"/>
  <c r="G7" i="26"/>
  <c r="G17" i="26"/>
  <c r="D23" i="26"/>
  <c r="D11" i="26"/>
  <c r="D19" i="26"/>
  <c r="D12" i="26"/>
  <c r="D6" i="26"/>
  <c r="D13" i="26"/>
  <c r="D20" i="26"/>
  <c r="D14" i="26"/>
  <c r="D15" i="26"/>
  <c r="D8" i="26"/>
  <c r="D16" i="26"/>
  <c r="D9" i="26"/>
  <c r="D17" i="26"/>
  <c r="D10" i="26"/>
  <c r="D18" i="26"/>
  <c r="B3" i="25" l="1"/>
  <c r="D5" i="25" l="1"/>
  <c r="D30" i="25"/>
  <c r="D9" i="25"/>
  <c r="G8" i="25"/>
  <c r="G16" i="25"/>
  <c r="G24" i="25"/>
  <c r="G9" i="25"/>
  <c r="G17" i="25"/>
  <c r="G25" i="25"/>
  <c r="G10" i="25"/>
  <c r="G18" i="25"/>
  <c r="G26" i="25"/>
  <c r="G11" i="25"/>
  <c r="G19" i="25"/>
  <c r="G27" i="25"/>
  <c r="G12" i="25"/>
  <c r="G20" i="25"/>
  <c r="G28" i="25"/>
  <c r="G30" i="25"/>
  <c r="G13" i="25"/>
  <c r="G21" i="25"/>
  <c r="G29" i="25"/>
  <c r="G5" i="25"/>
  <c r="G7" i="25"/>
  <c r="G14" i="25"/>
  <c r="G22" i="25"/>
  <c r="G6" i="25"/>
  <c r="G15" i="25"/>
  <c r="G23" i="25"/>
  <c r="D13" i="25"/>
  <c r="D21" i="25"/>
  <c r="D29" i="25"/>
  <c r="D8" i="25"/>
  <c r="D10" i="25"/>
  <c r="D18" i="25"/>
  <c r="D26" i="25"/>
  <c r="D16" i="25"/>
  <c r="D24" i="25"/>
  <c r="D17" i="25"/>
  <c r="D25" i="25"/>
  <c r="D12" i="25"/>
  <c r="D20" i="25"/>
  <c r="D28" i="25"/>
  <c r="D6" i="25"/>
  <c r="D14" i="25"/>
  <c r="D22" i="25"/>
  <c r="D7" i="25"/>
  <c r="D15" i="25"/>
  <c r="D23" i="25"/>
  <c r="D11" i="25"/>
  <c r="D19" i="25"/>
  <c r="D27" i="25"/>
  <c r="BI7" i="7" l="1"/>
  <c r="D3" i="22" l="1"/>
  <c r="D3" i="5"/>
  <c r="A6" i="24" l="1"/>
  <c r="A7" i="24" l="1"/>
  <c r="A8" i="24" l="1"/>
  <c r="P4" i="22"/>
  <c r="E9" i="22"/>
  <c r="A9" i="24" l="1"/>
  <c r="D16" i="11"/>
  <c r="E16" i="11" s="1"/>
  <c r="BG7" i="7"/>
  <c r="A10" i="24" l="1"/>
  <c r="F16" i="11"/>
  <c r="G16" i="11" s="1"/>
  <c r="D14" i="11"/>
  <c r="D15" i="11"/>
  <c r="A11" i="24" l="1"/>
  <c r="D12" i="11"/>
  <c r="D13" i="11"/>
  <c r="A12" i="24" l="1"/>
  <c r="BE7" i="7"/>
  <c r="D3" i="6"/>
  <c r="A13" i="24" l="1"/>
  <c r="M8" i="20"/>
  <c r="A14" i="24" l="1"/>
  <c r="C13" i="16"/>
  <c r="A15" i="24" l="1"/>
  <c r="BC7" i="7"/>
  <c r="BA7" i="7"/>
  <c r="A16" i="24" l="1"/>
  <c r="F14" i="11"/>
  <c r="F15" i="11"/>
  <c r="E14" i="11"/>
  <c r="E15" i="11"/>
  <c r="G15" i="11" s="1"/>
  <c r="E13" i="11"/>
  <c r="A17" i="24" l="1"/>
  <c r="F13" i="11"/>
  <c r="G13" i="11" s="1"/>
  <c r="G14" i="11"/>
  <c r="A18" i="24" l="1"/>
  <c r="A19" i="24" l="1"/>
  <c r="E10" i="6"/>
  <c r="E9" i="6"/>
  <c r="E8" i="6"/>
  <c r="E5" i="6"/>
  <c r="A20" i="24" l="1"/>
  <c r="A21" i="24" l="1"/>
  <c r="N20" i="20"/>
  <c r="A22" i="24" l="1"/>
  <c r="A23" i="24" l="1"/>
  <c r="B21" i="11"/>
  <c r="B26" i="22"/>
  <c r="C27" i="22" s="1"/>
  <c r="B25" i="22"/>
  <c r="C26" i="22" s="1"/>
  <c r="B24" i="22"/>
  <c r="C25" i="22" s="1"/>
  <c r="B23" i="22"/>
  <c r="C24" i="22" s="1"/>
  <c r="B22" i="22"/>
  <c r="C23" i="22" s="1"/>
  <c r="B21" i="22"/>
  <c r="C22" i="22" s="1"/>
  <c r="B20" i="22"/>
  <c r="C21" i="22" s="1"/>
  <c r="B19" i="22"/>
  <c r="C20" i="22" s="1"/>
  <c r="B18" i="22"/>
  <c r="C19" i="22" s="1"/>
  <c r="B17" i="22"/>
  <c r="C18" i="22" s="1"/>
  <c r="B16" i="22"/>
  <c r="C17" i="22" s="1"/>
  <c r="B15" i="22"/>
  <c r="C16" i="22" s="1"/>
  <c r="B14" i="22"/>
  <c r="C15" i="22" s="1"/>
  <c r="B13" i="22"/>
  <c r="C14" i="22" s="1"/>
  <c r="F12" i="22"/>
  <c r="B12" i="22"/>
  <c r="C12" i="22" s="1"/>
  <c r="E11" i="22"/>
  <c r="F11" i="22" s="1"/>
  <c r="B11" i="22"/>
  <c r="C11" i="22" s="1"/>
  <c r="E10" i="22"/>
  <c r="F10" i="22" s="1"/>
  <c r="B10" i="22"/>
  <c r="C10" i="22" s="1"/>
  <c r="F9" i="22"/>
  <c r="B9" i="22"/>
  <c r="C9" i="22" s="1"/>
  <c r="E8" i="22"/>
  <c r="F8" i="22" s="1"/>
  <c r="B8" i="22"/>
  <c r="C8" i="22" s="1"/>
  <c r="E7" i="22"/>
  <c r="F7" i="22" s="1"/>
  <c r="B7" i="22"/>
  <c r="E6" i="22"/>
  <c r="F6" i="22" s="1"/>
  <c r="B6" i="22"/>
  <c r="E5" i="22"/>
  <c r="B5" i="22"/>
  <c r="B3" i="22"/>
  <c r="A24" i="24" l="1"/>
  <c r="N7" i="22"/>
  <c r="N15" i="22"/>
  <c r="N23" i="22"/>
  <c r="N8" i="22"/>
  <c r="N16" i="22"/>
  <c r="N24" i="22"/>
  <c r="N9" i="22"/>
  <c r="N17" i="22"/>
  <c r="N25" i="22"/>
  <c r="N10" i="22"/>
  <c r="N18" i="22"/>
  <c r="N26" i="22"/>
  <c r="N11" i="22"/>
  <c r="N19" i="22"/>
  <c r="N5" i="22"/>
  <c r="N12" i="22"/>
  <c r="N20" i="22"/>
  <c r="N6" i="22"/>
  <c r="N22" i="22"/>
  <c r="N13" i="22"/>
  <c r="N21" i="22"/>
  <c r="N14" i="22"/>
  <c r="L6" i="22"/>
  <c r="L14" i="22"/>
  <c r="L22" i="22"/>
  <c r="L7" i="22"/>
  <c r="L15" i="22"/>
  <c r="L23" i="22"/>
  <c r="L9" i="22"/>
  <c r="L25" i="22"/>
  <c r="L26" i="22"/>
  <c r="L20" i="22"/>
  <c r="L21" i="22"/>
  <c r="L10" i="22"/>
  <c r="L8" i="22"/>
  <c r="L16" i="22"/>
  <c r="L24" i="22"/>
  <c r="L17" i="22"/>
  <c r="L18" i="22"/>
  <c r="L12" i="22"/>
  <c r="L13" i="22"/>
  <c r="L11" i="22"/>
  <c r="L19" i="22"/>
  <c r="L5" i="22"/>
  <c r="E21" i="22"/>
  <c r="F21" i="22" s="1"/>
  <c r="E22" i="22"/>
  <c r="F22" i="22" s="1"/>
  <c r="E15" i="22"/>
  <c r="F15" i="22" s="1"/>
  <c r="E16" i="22"/>
  <c r="F16" i="22" s="1"/>
  <c r="E18" i="22"/>
  <c r="F18" i="22" s="1"/>
  <c r="E19" i="22"/>
  <c r="F19" i="22" s="1"/>
  <c r="E20" i="22"/>
  <c r="F20" i="22" s="1"/>
  <c r="E23" i="22"/>
  <c r="F23" i="22" s="1"/>
  <c r="E24" i="22"/>
  <c r="F24" i="22" s="1"/>
  <c r="E25" i="22"/>
  <c r="F25" i="22" s="1"/>
  <c r="E26" i="22"/>
  <c r="F26" i="22" s="1"/>
  <c r="E27" i="22"/>
  <c r="F27" i="22" s="1"/>
  <c r="E17" i="22"/>
  <c r="F17" i="22" s="1"/>
  <c r="C13" i="22"/>
  <c r="E13" i="22" s="1"/>
  <c r="E14" i="22"/>
  <c r="F14" i="22" s="1"/>
  <c r="F366" i="14" l="1"/>
  <c r="B7" i="27" s="1"/>
  <c r="I367" i="14"/>
  <c r="B22" i="11" s="1"/>
  <c r="A25" i="24"/>
  <c r="F13" i="22"/>
  <c r="D7" i="27" l="1"/>
  <c r="G7" i="27"/>
  <c r="I368" i="14"/>
  <c r="B23" i="11" s="1"/>
  <c r="F367" i="14"/>
  <c r="B8" i="27" s="1"/>
  <c r="A26" i="24"/>
  <c r="D8" i="27" l="1"/>
  <c r="G8" i="27"/>
  <c r="F368" i="14"/>
  <c r="B9" i="27" s="1"/>
  <c r="I369" i="14"/>
  <c r="B24" i="11" s="1"/>
  <c r="A27" i="24"/>
  <c r="D8" i="19"/>
  <c r="G6" i="19"/>
  <c r="G7" i="19"/>
  <c r="G8" i="19"/>
  <c r="D6" i="19"/>
  <c r="D5" i="19"/>
  <c r="D7" i="19"/>
  <c r="D9" i="27" l="1"/>
  <c r="G9" i="27"/>
  <c r="I370" i="14"/>
  <c r="B25" i="11" s="1"/>
  <c r="F369" i="14"/>
  <c r="B10" i="27" s="1"/>
  <c r="A28" i="24"/>
  <c r="D10" i="27" l="1"/>
  <c r="G10" i="27"/>
  <c r="F370" i="14"/>
  <c r="B11" i="27" s="1"/>
  <c r="I371" i="14"/>
  <c r="B26" i="11" s="1"/>
  <c r="A29" i="24"/>
  <c r="D11" i="27" l="1"/>
  <c r="G11" i="27"/>
  <c r="I372" i="14"/>
  <c r="B27" i="11" s="1"/>
  <c r="F371" i="14"/>
  <c r="B12" i="27" s="1"/>
  <c r="A30" i="24"/>
  <c r="D12" i="27" l="1"/>
  <c r="G12" i="27"/>
  <c r="F372" i="14"/>
  <c r="I373" i="14"/>
  <c r="B28" i="11" s="1"/>
  <c r="A31" i="24"/>
  <c r="B19" i="20"/>
  <c r="C20" i="20" s="1"/>
  <c r="B18" i="20"/>
  <c r="C19" i="20" s="1"/>
  <c r="B17" i="20"/>
  <c r="C18" i="20" s="1"/>
  <c r="B16" i="20"/>
  <c r="C17" i="20" s="1"/>
  <c r="B15" i="20"/>
  <c r="C16" i="20" s="1"/>
  <c r="B14" i="20"/>
  <c r="C15" i="20" s="1"/>
  <c r="B13" i="20"/>
  <c r="C14" i="20" s="1"/>
  <c r="B12" i="20"/>
  <c r="C13" i="20" s="1"/>
  <c r="B11" i="20"/>
  <c r="C12" i="20" s="1"/>
  <c r="B10" i="20"/>
  <c r="C11" i="20" s="1"/>
  <c r="B9" i="20"/>
  <c r="C10" i="20" s="1"/>
  <c r="B8" i="20"/>
  <c r="C9" i="20" s="1"/>
  <c r="B7" i="20"/>
  <c r="C8" i="20" s="1"/>
  <c r="B6" i="20"/>
  <c r="C7" i="20" s="1"/>
  <c r="B5" i="20"/>
  <c r="C6" i="20" s="1"/>
  <c r="D3" i="20"/>
  <c r="B3" i="20"/>
  <c r="B13" i="27" l="1"/>
  <c r="G13" i="27" s="1"/>
  <c r="B5" i="34"/>
  <c r="I374" i="14"/>
  <c r="B29" i="11" s="1"/>
  <c r="F373" i="14"/>
  <c r="K20" i="20"/>
  <c r="A32" i="24"/>
  <c r="K17" i="20"/>
  <c r="K19" i="20"/>
  <c r="K14" i="20"/>
  <c r="K13" i="20"/>
  <c r="K12" i="20"/>
  <c r="K11" i="20"/>
  <c r="K10" i="20"/>
  <c r="K9" i="20"/>
  <c r="K8" i="20"/>
  <c r="K7" i="20"/>
  <c r="K6" i="20"/>
  <c r="K18" i="20"/>
  <c r="K16" i="20"/>
  <c r="K15" i="20"/>
  <c r="E9" i="20"/>
  <c r="F9" i="20" s="1"/>
  <c r="E17" i="20"/>
  <c r="F17" i="20" s="1"/>
  <c r="E10" i="20"/>
  <c r="F10" i="20" s="1"/>
  <c r="E18" i="20"/>
  <c r="F18" i="20" s="1"/>
  <c r="E11" i="20"/>
  <c r="F11" i="20" s="1"/>
  <c r="E19" i="20"/>
  <c r="F19" i="20" s="1"/>
  <c r="E12" i="20"/>
  <c r="F12" i="20" s="1"/>
  <c r="E20" i="20"/>
  <c r="F20" i="20" s="1"/>
  <c r="E13" i="20"/>
  <c r="F13" i="20" s="1"/>
  <c r="E6" i="20"/>
  <c r="E14" i="20"/>
  <c r="F14" i="20" s="1"/>
  <c r="E7" i="20"/>
  <c r="F7" i="20" s="1"/>
  <c r="E15" i="20"/>
  <c r="F15" i="20" s="1"/>
  <c r="E8" i="20"/>
  <c r="F8" i="20" s="1"/>
  <c r="E16" i="20"/>
  <c r="F16" i="20" s="1"/>
  <c r="D13" i="27" l="1"/>
  <c r="G5" i="34"/>
  <c r="D5" i="34"/>
  <c r="B14" i="27"/>
  <c r="D14" i="27" s="1"/>
  <c r="B6" i="34"/>
  <c r="B30" i="11"/>
  <c r="I375" i="14"/>
  <c r="F374" i="14"/>
  <c r="A33" i="24"/>
  <c r="F6" i="20"/>
  <c r="G14" i="27" l="1"/>
  <c r="B15" i="27"/>
  <c r="D15" i="27" s="1"/>
  <c r="B7" i="34"/>
  <c r="G6" i="34"/>
  <c r="D6" i="34"/>
  <c r="B31" i="11"/>
  <c r="I376" i="14"/>
  <c r="F375" i="14"/>
  <c r="A34" i="24"/>
  <c r="D3" i="2"/>
  <c r="G15" i="27" l="1"/>
  <c r="B16" i="27"/>
  <c r="D16" i="27" s="1"/>
  <c r="B8" i="34"/>
  <c r="D7" i="34"/>
  <c r="G7" i="34"/>
  <c r="I377" i="14"/>
  <c r="B32" i="11" s="1"/>
  <c r="F376" i="14"/>
  <c r="B6" i="37" s="1"/>
  <c r="E7" i="17"/>
  <c r="G16" i="27" l="1"/>
  <c r="B17" i="27"/>
  <c r="G17" i="27" s="1"/>
  <c r="B9" i="34"/>
  <c r="D8" i="34"/>
  <c r="G8" i="34"/>
  <c r="I378" i="14"/>
  <c r="B33" i="11" s="1"/>
  <c r="F377" i="14"/>
  <c r="B7" i="37" s="1"/>
  <c r="D3" i="17"/>
  <c r="B6" i="17"/>
  <c r="C7" i="17" s="1"/>
  <c r="B7" i="17"/>
  <c r="C8" i="17" s="1"/>
  <c r="B8" i="17"/>
  <c r="C9" i="17" s="1"/>
  <c r="B5" i="17"/>
  <c r="D17" i="27" l="1"/>
  <c r="D9" i="34"/>
  <c r="G9" i="34"/>
  <c r="B18" i="27"/>
  <c r="G18" i="27" s="1"/>
  <c r="B10" i="34"/>
  <c r="F378" i="14"/>
  <c r="B8" i="37" s="1"/>
  <c r="I379" i="14"/>
  <c r="B34" i="11" s="1"/>
  <c r="E9" i="17"/>
  <c r="F9" i="17" s="1"/>
  <c r="E8" i="17"/>
  <c r="F8" i="17" s="1"/>
  <c r="F7" i="17"/>
  <c r="D18" i="27" l="1"/>
  <c r="B19" i="27"/>
  <c r="G19" i="27" s="1"/>
  <c r="B11" i="34"/>
  <c r="G10" i="34"/>
  <c r="D10" i="34"/>
  <c r="I380" i="14"/>
  <c r="B35" i="11" s="1"/>
  <c r="F379" i="14"/>
  <c r="B9" i="37" s="1"/>
  <c r="B25" i="6"/>
  <c r="C26" i="6" s="1"/>
  <c r="D9" i="15"/>
  <c r="D19" i="27" l="1"/>
  <c r="B20" i="27"/>
  <c r="D20" i="27" s="1"/>
  <c r="B12" i="34"/>
  <c r="G11" i="34"/>
  <c r="D11" i="34"/>
  <c r="B36" i="11"/>
  <c r="I381" i="14"/>
  <c r="F380" i="14"/>
  <c r="B10" i="37" s="1"/>
  <c r="C10" i="16"/>
  <c r="G12" i="34" l="1"/>
  <c r="D12" i="34"/>
  <c r="B21" i="27"/>
  <c r="D21" i="27" s="1"/>
  <c r="B13" i="34"/>
  <c r="G20" i="27"/>
  <c r="B37" i="11"/>
  <c r="I382" i="14"/>
  <c r="F381" i="14"/>
  <c r="C11" i="16"/>
  <c r="C12" i="16"/>
  <c r="B11" i="37" l="1"/>
  <c r="B6" i="41"/>
  <c r="B6" i="40"/>
  <c r="G21" i="27"/>
  <c r="D13" i="34"/>
  <c r="G13" i="34"/>
  <c r="B22" i="27"/>
  <c r="D22" i="27" s="1"/>
  <c r="B14" i="34"/>
  <c r="I383" i="14"/>
  <c r="B38" i="11" s="1"/>
  <c r="D11" i="11"/>
  <c r="D6" i="40" l="1"/>
  <c r="G6" i="40"/>
  <c r="G6" i="41"/>
  <c r="D6" i="41"/>
  <c r="B7" i="41"/>
  <c r="B7" i="40"/>
  <c r="B23" i="27"/>
  <c r="D23" i="27" s="1"/>
  <c r="B15" i="34"/>
  <c r="G22" i="27"/>
  <c r="D14" i="34"/>
  <c r="G14" i="34"/>
  <c r="I384" i="14"/>
  <c r="B383" i="14"/>
  <c r="F384" i="14" s="1"/>
  <c r="F11" i="11"/>
  <c r="E11" i="11"/>
  <c r="AY7" i="7"/>
  <c r="D7" i="40" l="1"/>
  <c r="G7" i="40"/>
  <c r="G7" i="41"/>
  <c r="D7" i="41"/>
  <c r="B13" i="37"/>
  <c r="B8" i="41"/>
  <c r="B8" i="40"/>
  <c r="G11" i="11"/>
  <c r="G23" i="27"/>
  <c r="B24" i="27"/>
  <c r="D24" i="27" s="1"/>
  <c r="B16" i="34"/>
  <c r="D15" i="34"/>
  <c r="G15" i="34"/>
  <c r="I385" i="14"/>
  <c r="B384" i="14"/>
  <c r="D3" i="8"/>
  <c r="D3" i="10"/>
  <c r="D3" i="3"/>
  <c r="D3" i="4"/>
  <c r="D7" i="15"/>
  <c r="B7" i="15" s="1"/>
  <c r="C3" i="15" s="1"/>
  <c r="B8" i="15"/>
  <c r="D8" i="15"/>
  <c r="I8" i="15"/>
  <c r="G8" i="40" l="1"/>
  <c r="D8" i="40"/>
  <c r="B14" i="37"/>
  <c r="B9" i="40"/>
  <c r="G8" i="41"/>
  <c r="D8" i="41"/>
  <c r="G16" i="34"/>
  <c r="D16" i="34"/>
  <c r="G24" i="27"/>
  <c r="B25" i="27"/>
  <c r="G25" i="27" s="1"/>
  <c r="B17" i="34"/>
  <c r="I386" i="14"/>
  <c r="F385" i="14"/>
  <c r="B9" i="41" s="1"/>
  <c r="B385" i="14"/>
  <c r="AW7" i="7"/>
  <c r="E17" i="8"/>
  <c r="F17" i="8" s="1"/>
  <c r="E18" i="8"/>
  <c r="F18" i="8" s="1"/>
  <c r="E19" i="8"/>
  <c r="F19" i="8" s="1"/>
  <c r="E20" i="8"/>
  <c r="F20" i="8" s="1"/>
  <c r="E21" i="8"/>
  <c r="F21" i="8" s="1"/>
  <c r="E16" i="8"/>
  <c r="F16" i="8" s="1"/>
  <c r="E9" i="16"/>
  <c r="E10" i="16"/>
  <c r="E11" i="16"/>
  <c r="E12" i="16"/>
  <c r="E13" i="16"/>
  <c r="E14" i="16"/>
  <c r="E15" i="16"/>
  <c r="E16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8" i="16"/>
  <c r="D6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28" i="16"/>
  <c r="C27" i="16"/>
  <c r="C26" i="16"/>
  <c r="C25" i="16"/>
  <c r="C24" i="16"/>
  <c r="C23" i="16"/>
  <c r="C21" i="16"/>
  <c r="C15" i="16"/>
  <c r="C9" i="16"/>
  <c r="C8" i="16"/>
  <c r="B15" i="37" l="1"/>
  <c r="B10" i="40"/>
  <c r="D9" i="40"/>
  <c r="G9" i="40"/>
  <c r="D9" i="41"/>
  <c r="G9" i="41"/>
  <c r="N6" i="16"/>
  <c r="Y25" i="16"/>
  <c r="Y20" i="16"/>
  <c r="U25" i="16"/>
  <c r="U20" i="16"/>
  <c r="D25" i="27"/>
  <c r="G17" i="34"/>
  <c r="D17" i="34"/>
  <c r="B26" i="27"/>
  <c r="G26" i="27" s="1"/>
  <c r="B18" i="34"/>
  <c r="F386" i="14"/>
  <c r="B10" i="41" s="1"/>
  <c r="I387" i="14"/>
  <c r="B386" i="14"/>
  <c r="E6" i="16"/>
  <c r="B16" i="37" l="1"/>
  <c r="B11" i="40"/>
  <c r="D10" i="40"/>
  <c r="G10" i="40"/>
  <c r="D10" i="41"/>
  <c r="G10" i="41"/>
  <c r="P6" i="16"/>
  <c r="J6" i="16"/>
  <c r="D26" i="27"/>
  <c r="B27" i="27"/>
  <c r="D27" i="27" s="1"/>
  <c r="B19" i="34"/>
  <c r="G18" i="34"/>
  <c r="D18" i="34"/>
  <c r="I388" i="14"/>
  <c r="F387" i="14"/>
  <c r="B11" i="41" s="1"/>
  <c r="B387" i="14"/>
  <c r="D10" i="11"/>
  <c r="D11" i="40" l="1"/>
  <c r="G11" i="40"/>
  <c r="G11" i="41"/>
  <c r="D11" i="41"/>
  <c r="B17" i="37"/>
  <c r="B12" i="41"/>
  <c r="B12" i="40"/>
  <c r="B28" i="27"/>
  <c r="D28" i="27" s="1"/>
  <c r="B20" i="34"/>
  <c r="G19" i="34"/>
  <c r="D19" i="34"/>
  <c r="G27" i="27"/>
  <c r="F388" i="14"/>
  <c r="I389" i="14"/>
  <c r="B388" i="14"/>
  <c r="F10" i="11"/>
  <c r="G5" i="7"/>
  <c r="AU7" i="7"/>
  <c r="D12" i="41" l="1"/>
  <c r="G12" i="41"/>
  <c r="D12" i="40"/>
  <c r="G12" i="40"/>
  <c r="B18" i="37"/>
  <c r="B13" i="41"/>
  <c r="B13" i="40"/>
  <c r="D20" i="34"/>
  <c r="G20" i="34"/>
  <c r="B29" i="27"/>
  <c r="G29" i="27" s="1"/>
  <c r="B21" i="34"/>
  <c r="G28" i="27"/>
  <c r="I390" i="14"/>
  <c r="F389" i="14"/>
  <c r="B389" i="14"/>
  <c r="D13" i="40" l="1"/>
  <c r="G13" i="40"/>
  <c r="B19" i="37"/>
  <c r="B14" i="40"/>
  <c r="G13" i="41"/>
  <c r="D13" i="41"/>
  <c r="B30" i="27"/>
  <c r="G30" i="27" s="1"/>
  <c r="B22" i="34"/>
  <c r="D29" i="27"/>
  <c r="G21" i="34"/>
  <c r="D21" i="34"/>
  <c r="I391" i="14"/>
  <c r="F390" i="14"/>
  <c r="B14" i="41" s="1"/>
  <c r="B390" i="14"/>
  <c r="F12" i="11"/>
  <c r="E12" i="11"/>
  <c r="D14" i="40" l="1"/>
  <c r="G14" i="40"/>
  <c r="G14" i="41"/>
  <c r="D14" i="41"/>
  <c r="B20" i="37"/>
  <c r="B15" i="41"/>
  <c r="B15" i="40"/>
  <c r="G12" i="11"/>
  <c r="D30" i="27"/>
  <c r="B31" i="27"/>
  <c r="G31" i="27" s="1"/>
  <c r="B23" i="34"/>
  <c r="D22" i="34"/>
  <c r="G22" i="34"/>
  <c r="I392" i="14"/>
  <c r="F391" i="14"/>
  <c r="B391" i="14"/>
  <c r="H4" i="7"/>
  <c r="F4" i="7" s="1"/>
  <c r="B21" i="37" l="1"/>
  <c r="B16" i="41"/>
  <c r="B16" i="40"/>
  <c r="G15" i="41"/>
  <c r="D15" i="41"/>
  <c r="D15" i="40"/>
  <c r="G15" i="40"/>
  <c r="D31" i="27"/>
  <c r="B32" i="27"/>
  <c r="G32" i="27" s="1"/>
  <c r="B24" i="34"/>
  <c r="D23" i="34"/>
  <c r="G23" i="34"/>
  <c r="F392" i="14"/>
  <c r="I393" i="14"/>
  <c r="B392" i="14"/>
  <c r="D9" i="11"/>
  <c r="B28" i="4"/>
  <c r="C29" i="4" s="1"/>
  <c r="AS7" i="7"/>
  <c r="B26" i="5"/>
  <c r="C27" i="5" s="1"/>
  <c r="E15" i="8"/>
  <c r="F15" i="8" s="1"/>
  <c r="B22" i="37" l="1"/>
  <c r="B17" i="40"/>
  <c r="D16" i="40"/>
  <c r="G16" i="40"/>
  <c r="G16" i="41"/>
  <c r="D16" i="41"/>
  <c r="D32" i="27"/>
  <c r="G24" i="34"/>
  <c r="D24" i="34"/>
  <c r="B33" i="27"/>
  <c r="G33" i="27" s="1"/>
  <c r="B25" i="34"/>
  <c r="I394" i="14"/>
  <c r="F393" i="14"/>
  <c r="B17" i="41" s="1"/>
  <c r="B393" i="14"/>
  <c r="B18" i="41" l="1"/>
  <c r="B18" i="40"/>
  <c r="G17" i="40"/>
  <c r="D17" i="40"/>
  <c r="G17" i="41"/>
  <c r="D17" i="41"/>
  <c r="B23" i="37"/>
  <c r="B26" i="34"/>
  <c r="D33" i="27"/>
  <c r="B34" i="27"/>
  <c r="G34" i="27" s="1"/>
  <c r="D25" i="34"/>
  <c r="G25" i="34"/>
  <c r="F394" i="14"/>
  <c r="I395" i="14"/>
  <c r="B394" i="14"/>
  <c r="B24" i="37" l="1"/>
  <c r="B19" i="40"/>
  <c r="D18" i="40"/>
  <c r="G18" i="40"/>
  <c r="D18" i="41"/>
  <c r="G18" i="41"/>
  <c r="D26" i="34"/>
  <c r="G26" i="34"/>
  <c r="D34" i="27"/>
  <c r="B35" i="27"/>
  <c r="G35" i="27" s="1"/>
  <c r="I396" i="14"/>
  <c r="F395" i="14"/>
  <c r="B19" i="41" s="1"/>
  <c r="B395" i="14"/>
  <c r="AQ7" i="7"/>
  <c r="B25" i="37" l="1"/>
  <c r="B20" i="40"/>
  <c r="D19" i="40"/>
  <c r="G19" i="40"/>
  <c r="G19" i="41"/>
  <c r="D19" i="41"/>
  <c r="D35" i="27"/>
  <c r="B36" i="27"/>
  <c r="D36" i="27" s="1"/>
  <c r="I397" i="14"/>
  <c r="F396" i="14"/>
  <c r="B396" i="14"/>
  <c r="D7" i="11"/>
  <c r="D20" i="40" l="1"/>
  <c r="G20" i="40"/>
  <c r="B26" i="37"/>
  <c r="B21" i="40"/>
  <c r="G36" i="27"/>
  <c r="B37" i="27"/>
  <c r="G37" i="27" s="1"/>
  <c r="I398" i="14"/>
  <c r="F397" i="14"/>
  <c r="B397" i="14"/>
  <c r="F7" i="11"/>
  <c r="E7" i="11"/>
  <c r="G7" i="11" s="1"/>
  <c r="AO7" i="7"/>
  <c r="D21" i="40" l="1"/>
  <c r="G21" i="40"/>
  <c r="B27" i="37"/>
  <c r="B22" i="40"/>
  <c r="D37" i="27"/>
  <c r="B38" i="27"/>
  <c r="D38" i="27" s="1"/>
  <c r="I399" i="14"/>
  <c r="F398" i="14"/>
  <c r="B398" i="14"/>
  <c r="F9" i="11"/>
  <c r="D8" i="11"/>
  <c r="D6" i="11"/>
  <c r="D3" i="11" s="1"/>
  <c r="G22" i="40" l="1"/>
  <c r="D22" i="40"/>
  <c r="B28" i="37"/>
  <c r="B23" i="40"/>
  <c r="M2" i="11"/>
  <c r="L2" i="11"/>
  <c r="K3" i="11"/>
  <c r="B39" i="27"/>
  <c r="D39" i="27" s="1"/>
  <c r="G38" i="27"/>
  <c r="I400" i="14"/>
  <c r="F399" i="14"/>
  <c r="B399" i="14"/>
  <c r="F8" i="11"/>
  <c r="F6" i="11"/>
  <c r="F3" i="11" s="1"/>
  <c r="D23" i="40" l="1"/>
  <c r="G23" i="40"/>
  <c r="B29" i="37"/>
  <c r="B24" i="40"/>
  <c r="G39" i="27"/>
  <c r="B40" i="27"/>
  <c r="D40" i="27" s="1"/>
  <c r="I401" i="14"/>
  <c r="F400" i="14"/>
  <c r="B400" i="14"/>
  <c r="B17" i="6"/>
  <c r="B18" i="6"/>
  <c r="B8" i="10"/>
  <c r="C9" i="10" s="1"/>
  <c r="D24" i="40" l="1"/>
  <c r="G24" i="40"/>
  <c r="B30" i="37"/>
  <c r="B25" i="40"/>
  <c r="G40" i="27"/>
  <c r="B41" i="27"/>
  <c r="D41" i="27" s="1"/>
  <c r="I402" i="14"/>
  <c r="F401" i="14"/>
  <c r="B401" i="14"/>
  <c r="AM7" i="7"/>
  <c r="B29" i="3"/>
  <c r="C30" i="3" s="1"/>
  <c r="D25" i="40" l="1"/>
  <c r="G25" i="40"/>
  <c r="B31" i="37"/>
  <c r="B26" i="40"/>
  <c r="G41" i="27"/>
  <c r="B42" i="27"/>
  <c r="D42" i="27" s="1"/>
  <c r="F402" i="14"/>
  <c r="I403" i="14"/>
  <c r="B402" i="14"/>
  <c r="B9" i="17"/>
  <c r="C10" i="17" s="1"/>
  <c r="E10" i="17" s="1"/>
  <c r="B27" i="40" l="1"/>
  <c r="D26" i="40"/>
  <c r="G26" i="40"/>
  <c r="G42" i="27"/>
  <c r="B43" i="27"/>
  <c r="D43" i="27" s="1"/>
  <c r="I404" i="14"/>
  <c r="F403" i="14"/>
  <c r="B403" i="14"/>
  <c r="F10" i="17"/>
  <c r="B10" i="17"/>
  <c r="C11" i="17" s="1"/>
  <c r="D27" i="40" l="1"/>
  <c r="G27" i="40"/>
  <c r="B28" i="40"/>
  <c r="G43" i="27"/>
  <c r="B44" i="27"/>
  <c r="G44" i="27" s="1"/>
  <c r="F404" i="14"/>
  <c r="I405" i="14"/>
  <c r="B404" i="14"/>
  <c r="B11" i="17"/>
  <c r="C12" i="17" s="1"/>
  <c r="E12" i="17" s="1"/>
  <c r="F12" i="17" s="1"/>
  <c r="E11" i="17"/>
  <c r="AK7" i="7"/>
  <c r="E6" i="7"/>
  <c r="E5" i="7"/>
  <c r="E4" i="7"/>
  <c r="AI7" i="7"/>
  <c r="AG7" i="7"/>
  <c r="AE7" i="7"/>
  <c r="AC7" i="7"/>
  <c r="AA7" i="7"/>
  <c r="Y7" i="7"/>
  <c r="W7" i="7"/>
  <c r="U7" i="7"/>
  <c r="S7" i="7"/>
  <c r="Q7" i="7"/>
  <c r="O7" i="7"/>
  <c r="M7" i="7"/>
  <c r="G6" i="7"/>
  <c r="F6" i="7"/>
  <c r="F5" i="7"/>
  <c r="K4" i="7"/>
  <c r="I4" i="7" s="1"/>
  <c r="G4" i="7" s="1"/>
  <c r="D28" i="40" l="1"/>
  <c r="G28" i="40"/>
  <c r="B29" i="40"/>
  <c r="D44" i="27"/>
  <c r="B45" i="27"/>
  <c r="D45" i="27" s="1"/>
  <c r="I406" i="14"/>
  <c r="F405" i="14"/>
  <c r="B405" i="14"/>
  <c r="F11" i="17"/>
  <c r="B12" i="17"/>
  <c r="C13" i="17" s="1"/>
  <c r="E13" i="17" s="1"/>
  <c r="F13" i="17" s="1"/>
  <c r="K7" i="7"/>
  <c r="G7" i="7"/>
  <c r="E7" i="7"/>
  <c r="D29" i="40" l="1"/>
  <c r="G29" i="40"/>
  <c r="B30" i="40"/>
  <c r="G45" i="27"/>
  <c r="B46" i="27"/>
  <c r="G46" i="27" s="1"/>
  <c r="F406" i="14"/>
  <c r="I407" i="14"/>
  <c r="B9" i="18"/>
  <c r="D9" i="18" s="1"/>
  <c r="B10" i="21"/>
  <c r="B8" i="23"/>
  <c r="B9" i="19"/>
  <c r="B6" i="24"/>
  <c r="B406" i="14"/>
  <c r="B13" i="17"/>
  <c r="C14" i="17" s="1"/>
  <c r="E14" i="17" s="1"/>
  <c r="F14" i="17" s="1"/>
  <c r="I7" i="7"/>
  <c r="D30" i="40" l="1"/>
  <c r="G30" i="40"/>
  <c r="B31" i="40"/>
  <c r="D46" i="27"/>
  <c r="B47" i="27"/>
  <c r="D47" i="27" s="1"/>
  <c r="I408" i="14"/>
  <c r="F407" i="14"/>
  <c r="D6" i="24"/>
  <c r="G6" i="24"/>
  <c r="B10" i="18"/>
  <c r="B11" i="21"/>
  <c r="D11" i="21" s="1"/>
  <c r="B9" i="23"/>
  <c r="B10" i="19"/>
  <c r="B7" i="24"/>
  <c r="D9" i="19"/>
  <c r="G9" i="19"/>
  <c r="D8" i="23"/>
  <c r="G8" i="23"/>
  <c r="B407" i="14"/>
  <c r="D10" i="21"/>
  <c r="G10" i="21"/>
  <c r="G9" i="18"/>
  <c r="B14" i="17"/>
  <c r="C15" i="17" s="1"/>
  <c r="E15" i="17" s="1"/>
  <c r="F15" i="17" s="1"/>
  <c r="E9" i="9"/>
  <c r="E11" i="8"/>
  <c r="D31" i="40" l="1"/>
  <c r="G31" i="40"/>
  <c r="B32" i="40"/>
  <c r="G47" i="27"/>
  <c r="B48" i="27"/>
  <c r="D48" i="27" s="1"/>
  <c r="D3" i="27" s="1"/>
  <c r="J3" i="27" s="1"/>
  <c r="I409" i="14"/>
  <c r="F408" i="14"/>
  <c r="B408" i="14"/>
  <c r="B11" i="18"/>
  <c r="B12" i="21"/>
  <c r="D12" i="21" s="1"/>
  <c r="B10" i="23"/>
  <c r="B11" i="19"/>
  <c r="B8" i="24"/>
  <c r="D9" i="23"/>
  <c r="G9" i="23"/>
  <c r="D10" i="19"/>
  <c r="G10" i="19"/>
  <c r="G11" i="21"/>
  <c r="D7" i="24"/>
  <c r="G7" i="24"/>
  <c r="D10" i="18"/>
  <c r="G10" i="18"/>
  <c r="B15" i="17"/>
  <c r="C16" i="17" s="1"/>
  <c r="E16" i="17" s="1"/>
  <c r="F16" i="17" s="1"/>
  <c r="D32" i="40" l="1"/>
  <c r="G32" i="40"/>
  <c r="B33" i="40"/>
  <c r="G48" i="27"/>
  <c r="G3" i="27" s="1"/>
  <c r="G1" i="27" s="1"/>
  <c r="I410" i="14"/>
  <c r="F409" i="14"/>
  <c r="G11" i="19"/>
  <c r="D11" i="19"/>
  <c r="G12" i="21"/>
  <c r="B12" i="18"/>
  <c r="B13" i="21"/>
  <c r="B11" i="23"/>
  <c r="B12" i="19"/>
  <c r="B9" i="24"/>
  <c r="D10" i="23"/>
  <c r="G10" i="23"/>
  <c r="D11" i="18"/>
  <c r="G11" i="18"/>
  <c r="D8" i="24"/>
  <c r="G8" i="24"/>
  <c r="B409" i="14"/>
  <c r="B16" i="17"/>
  <c r="C17" i="17" s="1"/>
  <c r="E17" i="17" s="1"/>
  <c r="F17" i="17" s="1"/>
  <c r="D33" i="40" l="1"/>
  <c r="G33" i="40"/>
  <c r="B34" i="40"/>
  <c r="H1" i="27"/>
  <c r="I411" i="14"/>
  <c r="F410" i="14"/>
  <c r="B410" i="14"/>
  <c r="D9" i="24"/>
  <c r="G9" i="24"/>
  <c r="D12" i="19"/>
  <c r="G12" i="19"/>
  <c r="B13" i="18"/>
  <c r="B14" i="21"/>
  <c r="B12" i="23"/>
  <c r="B13" i="19"/>
  <c r="B10" i="24"/>
  <c r="D11" i="23"/>
  <c r="G11" i="23"/>
  <c r="D13" i="21"/>
  <c r="G13" i="21"/>
  <c r="D12" i="18"/>
  <c r="G12" i="18"/>
  <c r="B17" i="17"/>
  <c r="C18" i="17" s="1"/>
  <c r="E18" i="17" s="1"/>
  <c r="F18" i="17" s="1"/>
  <c r="D3" i="9"/>
  <c r="E7" i="9"/>
  <c r="E8" i="9"/>
  <c r="D34" i="40" l="1"/>
  <c r="G34" i="40"/>
  <c r="B35" i="40"/>
  <c r="I412" i="14"/>
  <c r="F411" i="14"/>
  <c r="G14" i="21"/>
  <c r="D14" i="21"/>
  <c r="B14" i="18"/>
  <c r="B15" i="21"/>
  <c r="B13" i="23"/>
  <c r="B14" i="19"/>
  <c r="B11" i="24"/>
  <c r="B411" i="14"/>
  <c r="D13" i="18"/>
  <c r="G13" i="18"/>
  <c r="D10" i="24"/>
  <c r="G10" i="24"/>
  <c r="D13" i="19"/>
  <c r="G13" i="19"/>
  <c r="D12" i="23"/>
  <c r="G12" i="23"/>
  <c r="B18" i="17"/>
  <c r="C19" i="17" s="1"/>
  <c r="E19" i="17" s="1"/>
  <c r="F19" i="17" s="1"/>
  <c r="E6" i="11"/>
  <c r="B7" i="10"/>
  <c r="C8" i="10" s="1"/>
  <c r="B6" i="10"/>
  <c r="C7" i="10" s="1"/>
  <c r="B5" i="10"/>
  <c r="C6" i="10" s="1"/>
  <c r="B3" i="10"/>
  <c r="E6" i="9"/>
  <c r="E5" i="9"/>
  <c r="C8" i="9"/>
  <c r="C7" i="9"/>
  <c r="C6" i="9"/>
  <c r="B36" i="40" l="1"/>
  <c r="D35" i="40"/>
  <c r="G35" i="40"/>
  <c r="G6" i="11"/>
  <c r="I413" i="14"/>
  <c r="F412" i="14"/>
  <c r="B412" i="14"/>
  <c r="D15" i="21"/>
  <c r="G15" i="21"/>
  <c r="D13" i="23"/>
  <c r="G13" i="23"/>
  <c r="D11" i="24"/>
  <c r="G11" i="24"/>
  <c r="B15" i="18"/>
  <c r="B16" i="21"/>
  <c r="B14" i="23"/>
  <c r="B15" i="19"/>
  <c r="B12" i="24"/>
  <c r="G14" i="19"/>
  <c r="D14" i="19"/>
  <c r="D14" i="18"/>
  <c r="G14" i="18"/>
  <c r="B19" i="17"/>
  <c r="C20" i="17" s="1"/>
  <c r="E20" i="17" s="1"/>
  <c r="F20" i="17" s="1"/>
  <c r="E8" i="10"/>
  <c r="F8" i="10" s="1"/>
  <c r="E7" i="10"/>
  <c r="F7" i="10" s="1"/>
  <c r="E6" i="10"/>
  <c r="E9" i="10"/>
  <c r="D36" i="40" l="1"/>
  <c r="G36" i="40"/>
  <c r="B37" i="40"/>
  <c r="I414" i="14"/>
  <c r="F413" i="14"/>
  <c r="D16" i="21"/>
  <c r="G16" i="21"/>
  <c r="B17" i="21"/>
  <c r="B15" i="23"/>
  <c r="B16" i="19"/>
  <c r="B13" i="24"/>
  <c r="D3" i="18"/>
  <c r="G15" i="18"/>
  <c r="G3" i="18" s="1"/>
  <c r="B413" i="14"/>
  <c r="D14" i="23"/>
  <c r="G14" i="23"/>
  <c r="D12" i="24"/>
  <c r="G12" i="24"/>
  <c r="G15" i="19"/>
  <c r="D15" i="19"/>
  <c r="B20" i="17"/>
  <c r="C21" i="17" s="1"/>
  <c r="E21" i="17" s="1"/>
  <c r="F21" i="17" s="1"/>
  <c r="F6" i="10"/>
  <c r="F9" i="10"/>
  <c r="B38" i="40" l="1"/>
  <c r="D37" i="40"/>
  <c r="G37" i="40"/>
  <c r="J3" i="18"/>
  <c r="I415" i="14"/>
  <c r="F414" i="14"/>
  <c r="B414" i="14"/>
  <c r="D15" i="23"/>
  <c r="G15" i="23"/>
  <c r="G16" i="19"/>
  <c r="D16" i="19"/>
  <c r="B18" i="21"/>
  <c r="B16" i="23"/>
  <c r="B17" i="19"/>
  <c r="B14" i="24"/>
  <c r="D13" i="24"/>
  <c r="G13" i="24"/>
  <c r="D17" i="21"/>
  <c r="G17" i="21"/>
  <c r="H1" i="18"/>
  <c r="B21" i="17"/>
  <c r="C22" i="17" s="1"/>
  <c r="E22" i="17" s="1"/>
  <c r="F22" i="17" s="1"/>
  <c r="E3" i="9"/>
  <c r="E14" i="8"/>
  <c r="F14" i="8" s="1"/>
  <c r="C14" i="8"/>
  <c r="E13" i="8"/>
  <c r="F13" i="8" s="1"/>
  <c r="C13" i="8"/>
  <c r="E12" i="8"/>
  <c r="F12" i="8" s="1"/>
  <c r="C12" i="8"/>
  <c r="F11" i="8"/>
  <c r="C11" i="8"/>
  <c r="E10" i="8"/>
  <c r="F10" i="8" s="1"/>
  <c r="C10" i="8"/>
  <c r="E9" i="8"/>
  <c r="F9" i="8" s="1"/>
  <c r="C9" i="8"/>
  <c r="E8" i="8"/>
  <c r="F8" i="8" s="1"/>
  <c r="C8" i="8"/>
  <c r="E7" i="8"/>
  <c r="F7" i="8" s="1"/>
  <c r="C7" i="8"/>
  <c r="E6" i="8"/>
  <c r="F6" i="8" s="1"/>
  <c r="C6" i="8"/>
  <c r="E5" i="8"/>
  <c r="C5" i="8"/>
  <c r="G38" i="40" l="1"/>
  <c r="D38" i="40"/>
  <c r="B39" i="40"/>
  <c r="G1" i="18"/>
  <c r="F415" i="14"/>
  <c r="I416" i="14"/>
  <c r="D16" i="23"/>
  <c r="G16" i="23"/>
  <c r="D14" i="24"/>
  <c r="G14" i="24"/>
  <c r="G17" i="19"/>
  <c r="D17" i="19"/>
  <c r="G18" i="21"/>
  <c r="D18" i="21"/>
  <c r="B19" i="21"/>
  <c r="B17" i="23"/>
  <c r="B18" i="19"/>
  <c r="B15" i="24"/>
  <c r="B415" i="14"/>
  <c r="E3" i="8"/>
  <c r="B22" i="17"/>
  <c r="C23" i="17" s="1"/>
  <c r="E23" i="17" s="1"/>
  <c r="F23" i="17" s="1"/>
  <c r="F5" i="8"/>
  <c r="F3" i="8" s="1"/>
  <c r="B40" i="40" l="1"/>
  <c r="D39" i="40"/>
  <c r="G39" i="40"/>
  <c r="D3" i="34"/>
  <c r="J3" i="34" s="1"/>
  <c r="G3" i="34"/>
  <c r="I417" i="14"/>
  <c r="F416" i="14"/>
  <c r="D15" i="24"/>
  <c r="G15" i="24"/>
  <c r="B20" i="21"/>
  <c r="B18" i="23"/>
  <c r="B19" i="19"/>
  <c r="B16" i="24"/>
  <c r="G19" i="21"/>
  <c r="D19" i="21"/>
  <c r="D18" i="19"/>
  <c r="G18" i="19"/>
  <c r="D17" i="23"/>
  <c r="G17" i="23"/>
  <c r="B416" i="14"/>
  <c r="B23" i="17"/>
  <c r="C24" i="17" s="1"/>
  <c r="E24" i="17" s="1"/>
  <c r="F24" i="17" s="1"/>
  <c r="F12" i="6"/>
  <c r="E6" i="6"/>
  <c r="E7" i="6"/>
  <c r="F7" i="6" s="1"/>
  <c r="F8" i="6"/>
  <c r="F9" i="6"/>
  <c r="F10" i="6"/>
  <c r="E11" i="6"/>
  <c r="F11" i="6" s="1"/>
  <c r="B6" i="6"/>
  <c r="B7" i="6"/>
  <c r="B8" i="6"/>
  <c r="C8" i="6" s="1"/>
  <c r="B9" i="6"/>
  <c r="C9" i="6" s="1"/>
  <c r="B10" i="6"/>
  <c r="C10" i="6" s="1"/>
  <c r="B11" i="6"/>
  <c r="C11" i="6" s="1"/>
  <c r="B12" i="6"/>
  <c r="C13" i="6" s="1"/>
  <c r="B13" i="6"/>
  <c r="C14" i="6" s="1"/>
  <c r="B14" i="6"/>
  <c r="C15" i="6" s="1"/>
  <c r="B15" i="6"/>
  <c r="C16" i="6" s="1"/>
  <c r="B16" i="6"/>
  <c r="C17" i="6" s="1"/>
  <c r="C18" i="6"/>
  <c r="C19" i="6"/>
  <c r="F6" i="6"/>
  <c r="B5" i="6"/>
  <c r="B3" i="6"/>
  <c r="B41" i="40" l="1"/>
  <c r="D40" i="40"/>
  <c r="G40" i="40"/>
  <c r="G1" i="34"/>
  <c r="H1" i="34"/>
  <c r="I418" i="14"/>
  <c r="F417" i="14"/>
  <c r="B21" i="21"/>
  <c r="B19" i="23"/>
  <c r="B20" i="19"/>
  <c r="B17" i="24"/>
  <c r="G19" i="19"/>
  <c r="D19" i="19"/>
  <c r="D16" i="24"/>
  <c r="G16" i="24"/>
  <c r="D18" i="23"/>
  <c r="G18" i="23"/>
  <c r="G20" i="21"/>
  <c r="D20" i="21"/>
  <c r="B417" i="14"/>
  <c r="B24" i="17"/>
  <c r="C25" i="17" s="1"/>
  <c r="E25" i="17" s="1"/>
  <c r="F25" i="17" s="1"/>
  <c r="E17" i="6"/>
  <c r="F17" i="6" s="1"/>
  <c r="E13" i="6"/>
  <c r="E16" i="6"/>
  <c r="F16" i="6" s="1"/>
  <c r="E15" i="6"/>
  <c r="F15" i="6" s="1"/>
  <c r="E19" i="6"/>
  <c r="F19" i="6" s="1"/>
  <c r="E18" i="6"/>
  <c r="F18" i="6" s="1"/>
  <c r="E14" i="6"/>
  <c r="F14" i="6" s="1"/>
  <c r="C12" i="6"/>
  <c r="B42" i="40" l="1"/>
  <c r="D41" i="40"/>
  <c r="G41" i="40"/>
  <c r="F418" i="14"/>
  <c r="I419" i="14"/>
  <c r="B22" i="21"/>
  <c r="B20" i="23"/>
  <c r="B21" i="19"/>
  <c r="B18" i="24"/>
  <c r="D19" i="23"/>
  <c r="G19" i="23"/>
  <c r="D17" i="24"/>
  <c r="G17" i="24"/>
  <c r="G20" i="19"/>
  <c r="D20" i="19"/>
  <c r="B418" i="14"/>
  <c r="D21" i="21"/>
  <c r="G21" i="21"/>
  <c r="F13" i="6"/>
  <c r="B25" i="17"/>
  <c r="C26" i="17" s="1"/>
  <c r="E26" i="17" s="1"/>
  <c r="F26" i="17" s="1"/>
  <c r="E15" i="5"/>
  <c r="B43" i="40" l="1"/>
  <c r="D42" i="40"/>
  <c r="G42" i="40"/>
  <c r="I420" i="14"/>
  <c r="F419" i="14"/>
  <c r="B23" i="21"/>
  <c r="B21" i="23"/>
  <c r="B22" i="19"/>
  <c r="B19" i="24"/>
  <c r="G21" i="19"/>
  <c r="D21" i="19"/>
  <c r="B419" i="14"/>
  <c r="D18" i="24"/>
  <c r="G18" i="24"/>
  <c r="D20" i="23"/>
  <c r="G20" i="23"/>
  <c r="G22" i="21"/>
  <c r="D22" i="21"/>
  <c r="B26" i="17"/>
  <c r="C27" i="17" s="1"/>
  <c r="E27" i="17" s="1"/>
  <c r="F27" i="17" s="1"/>
  <c r="B22" i="5"/>
  <c r="C23" i="5" s="1"/>
  <c r="B21" i="5"/>
  <c r="C22" i="5" s="1"/>
  <c r="B20" i="5"/>
  <c r="C21" i="5" s="1"/>
  <c r="B19" i="5"/>
  <c r="C20" i="5" s="1"/>
  <c r="B18" i="5"/>
  <c r="C19" i="5" s="1"/>
  <c r="B17" i="5"/>
  <c r="C18" i="5" s="1"/>
  <c r="F16" i="5"/>
  <c r="B16" i="5"/>
  <c r="C17" i="5" s="1"/>
  <c r="F15" i="5"/>
  <c r="B15" i="5"/>
  <c r="E14" i="5"/>
  <c r="F14" i="5" s="1"/>
  <c r="B14" i="5"/>
  <c r="C14" i="5" s="1"/>
  <c r="E13" i="5"/>
  <c r="F13" i="5" s="1"/>
  <c r="B13" i="5"/>
  <c r="C13" i="5" s="1"/>
  <c r="F12" i="5"/>
  <c r="B12" i="5"/>
  <c r="C12" i="5" s="1"/>
  <c r="E27" i="5" s="1"/>
  <c r="F11" i="5"/>
  <c r="B11" i="5"/>
  <c r="F10" i="5"/>
  <c r="B10" i="5"/>
  <c r="F9" i="5"/>
  <c r="B9" i="5"/>
  <c r="F8" i="5"/>
  <c r="B8" i="5"/>
  <c r="F7" i="5"/>
  <c r="B7" i="5"/>
  <c r="F6" i="5"/>
  <c r="B6" i="5"/>
  <c r="B5" i="5"/>
  <c r="B3" i="5"/>
  <c r="F15" i="4"/>
  <c r="E20" i="3"/>
  <c r="E19" i="3"/>
  <c r="E14" i="4"/>
  <c r="F14" i="4" s="1"/>
  <c r="B24" i="4"/>
  <c r="C25" i="4" s="1"/>
  <c r="B23" i="4"/>
  <c r="C24" i="4" s="1"/>
  <c r="B22" i="4"/>
  <c r="C23" i="4" s="1"/>
  <c r="B21" i="4"/>
  <c r="C22" i="4" s="1"/>
  <c r="B20" i="4"/>
  <c r="C21" i="4" s="1"/>
  <c r="B19" i="4"/>
  <c r="C20" i="4" s="1"/>
  <c r="B18" i="4"/>
  <c r="C19" i="4" s="1"/>
  <c r="F17" i="4"/>
  <c r="B17" i="4"/>
  <c r="C18" i="4" s="1"/>
  <c r="F16" i="4"/>
  <c r="B16" i="4"/>
  <c r="C16" i="4" s="1"/>
  <c r="B15" i="4"/>
  <c r="C15" i="4" s="1"/>
  <c r="B14" i="4"/>
  <c r="C14" i="4" s="1"/>
  <c r="E29" i="4" s="1"/>
  <c r="E13" i="4"/>
  <c r="F13" i="4" s="1"/>
  <c r="B13" i="4"/>
  <c r="E12" i="4"/>
  <c r="F12" i="4" s="1"/>
  <c r="B12" i="4"/>
  <c r="E11" i="4"/>
  <c r="F11" i="4" s="1"/>
  <c r="B11" i="4"/>
  <c r="E10" i="4"/>
  <c r="F10" i="4" s="1"/>
  <c r="B10" i="4"/>
  <c r="E9" i="4"/>
  <c r="F9" i="4" s="1"/>
  <c r="B9" i="4"/>
  <c r="E8" i="4"/>
  <c r="F8" i="4" s="1"/>
  <c r="B8" i="4"/>
  <c r="E7" i="4"/>
  <c r="F7" i="4" s="1"/>
  <c r="B7" i="4"/>
  <c r="E6" i="4"/>
  <c r="F6" i="4" s="1"/>
  <c r="B6" i="4"/>
  <c r="E5" i="4"/>
  <c r="B5" i="4"/>
  <c r="B3" i="4"/>
  <c r="E30" i="3"/>
  <c r="E27" i="3"/>
  <c r="E22" i="3"/>
  <c r="E21" i="3"/>
  <c r="B44" i="40" l="1"/>
  <c r="D43" i="40"/>
  <c r="G43" i="40"/>
  <c r="F420" i="14"/>
  <c r="I421" i="14"/>
  <c r="B420" i="14"/>
  <c r="D19" i="24"/>
  <c r="G19" i="24"/>
  <c r="D22" i="19"/>
  <c r="G22" i="19"/>
  <c r="D21" i="23"/>
  <c r="G21" i="23"/>
  <c r="B24" i="21"/>
  <c r="B22" i="23"/>
  <c r="B23" i="19"/>
  <c r="B20" i="24"/>
  <c r="D23" i="21"/>
  <c r="G23" i="21"/>
  <c r="E21" i="4"/>
  <c r="F21" i="4" s="1"/>
  <c r="B27" i="17"/>
  <c r="C28" i="17" s="1"/>
  <c r="E28" i="17" s="1"/>
  <c r="F28" i="17" s="1"/>
  <c r="E22" i="4"/>
  <c r="F22" i="4" s="1"/>
  <c r="E20" i="4"/>
  <c r="F20" i="4" s="1"/>
  <c r="E19" i="4"/>
  <c r="C17" i="4"/>
  <c r="E21" i="5"/>
  <c r="F21" i="5" s="1"/>
  <c r="E24" i="4"/>
  <c r="F24" i="4" s="1"/>
  <c r="E25" i="4"/>
  <c r="F25" i="4" s="1"/>
  <c r="E23" i="4"/>
  <c r="F23" i="4" s="1"/>
  <c r="C16" i="5"/>
  <c r="C15" i="5"/>
  <c r="E18" i="5"/>
  <c r="F18" i="5" s="1"/>
  <c r="E20" i="5"/>
  <c r="F20" i="5" s="1"/>
  <c r="E17" i="5"/>
  <c r="E19" i="5"/>
  <c r="F19" i="5" s="1"/>
  <c r="E22" i="5"/>
  <c r="F22" i="5" s="1"/>
  <c r="E23" i="5"/>
  <c r="F23" i="5" s="1"/>
  <c r="B45" i="40" l="1"/>
  <c r="G44" i="40"/>
  <c r="D44" i="40"/>
  <c r="F421" i="14"/>
  <c r="I422" i="14"/>
  <c r="B25" i="21"/>
  <c r="B23" i="23"/>
  <c r="B24" i="19"/>
  <c r="B21" i="24"/>
  <c r="D20" i="24"/>
  <c r="G20" i="24"/>
  <c r="G23" i="19"/>
  <c r="D23" i="19"/>
  <c r="D24" i="21"/>
  <c r="G24" i="21"/>
  <c r="D22" i="23"/>
  <c r="G22" i="23"/>
  <c r="B421" i="14"/>
  <c r="B28" i="17"/>
  <c r="C29" i="17" s="1"/>
  <c r="E29" i="17" s="1"/>
  <c r="F29" i="17" s="1"/>
  <c r="F19" i="4"/>
  <c r="F17" i="5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B46" i="40" l="1"/>
  <c r="D45" i="40"/>
  <c r="G45" i="40"/>
  <c r="F422" i="14"/>
  <c r="I423" i="14"/>
  <c r="D21" i="24"/>
  <c r="G21" i="24"/>
  <c r="D23" i="23"/>
  <c r="G23" i="23"/>
  <c r="B26" i="21"/>
  <c r="B24" i="23"/>
  <c r="B25" i="19"/>
  <c r="B22" i="24"/>
  <c r="D24" i="19"/>
  <c r="G24" i="19"/>
  <c r="B422" i="14"/>
  <c r="D25" i="21"/>
  <c r="G25" i="21"/>
  <c r="B29" i="17"/>
  <c r="C30" i="17" s="1"/>
  <c r="E30" i="17" s="1"/>
  <c r="F30" i="17" s="1"/>
  <c r="B28" i="3"/>
  <c r="C29" i="3" s="1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3" i="3"/>
  <c r="B11" i="2"/>
  <c r="C12" i="2" s="1"/>
  <c r="B10" i="2"/>
  <c r="C11" i="2" s="1"/>
  <c r="B6" i="2"/>
  <c r="C7" i="2" s="1"/>
  <c r="B7" i="2"/>
  <c r="C8" i="2" s="1"/>
  <c r="B8" i="2"/>
  <c r="C9" i="2" s="1"/>
  <c r="B9" i="2"/>
  <c r="C10" i="2" s="1"/>
  <c r="B5" i="2"/>
  <c r="C6" i="2" s="1"/>
  <c r="B3" i="2"/>
  <c r="F1" i="1"/>
  <c r="B47" i="40" l="1"/>
  <c r="G46" i="40"/>
  <c r="D46" i="40"/>
  <c r="I424" i="14"/>
  <c r="F423" i="14"/>
  <c r="B423" i="14"/>
  <c r="G26" i="21"/>
  <c r="D26" i="21"/>
  <c r="D22" i="24"/>
  <c r="G22" i="24"/>
  <c r="D24" i="23"/>
  <c r="G24" i="23"/>
  <c r="B27" i="21"/>
  <c r="B25" i="23"/>
  <c r="B26" i="19"/>
  <c r="B23" i="24"/>
  <c r="D25" i="19"/>
  <c r="G25" i="19"/>
  <c r="C24" i="3"/>
  <c r="E24" i="3" s="1"/>
  <c r="F24" i="3" s="1"/>
  <c r="C25" i="3"/>
  <c r="E25" i="3" s="1"/>
  <c r="F25" i="3" s="1"/>
  <c r="C26" i="3"/>
  <c r="E26" i="3" s="1"/>
  <c r="F26" i="3" s="1"/>
  <c r="C28" i="3"/>
  <c r="E28" i="3" s="1"/>
  <c r="F28" i="3" s="1"/>
  <c r="C23" i="3"/>
  <c r="E23" i="3" s="1"/>
  <c r="B30" i="17"/>
  <c r="C31" i="17" s="1"/>
  <c r="E31" i="17" s="1"/>
  <c r="F31" i="17" s="1"/>
  <c r="E29" i="3"/>
  <c r="F7" i="3"/>
  <c r="F11" i="3"/>
  <c r="F15" i="3"/>
  <c r="F19" i="3"/>
  <c r="F27" i="3"/>
  <c r="F8" i="3"/>
  <c r="F12" i="3"/>
  <c r="F16" i="3"/>
  <c r="F20" i="3"/>
  <c r="F9" i="3"/>
  <c r="F13" i="3"/>
  <c r="F17" i="3"/>
  <c r="F21" i="3"/>
  <c r="F6" i="3"/>
  <c r="F10" i="3"/>
  <c r="F14" i="3"/>
  <c r="F18" i="3"/>
  <c r="F22" i="3"/>
  <c r="F30" i="3"/>
  <c r="E10" i="2"/>
  <c r="F10" i="2" s="1"/>
  <c r="E11" i="2"/>
  <c r="F11" i="2" s="1"/>
  <c r="E9" i="2"/>
  <c r="F9" i="2" s="1"/>
  <c r="E7" i="2"/>
  <c r="F7" i="2" s="1"/>
  <c r="E6" i="2"/>
  <c r="E12" i="2"/>
  <c r="F12" i="2" s="1"/>
  <c r="E8" i="2"/>
  <c r="F8" i="2" s="1"/>
  <c r="B48" i="40" l="1"/>
  <c r="D47" i="40"/>
  <c r="G47" i="40"/>
  <c r="I425" i="14"/>
  <c r="F424" i="14"/>
  <c r="B49" i="40" s="1"/>
  <c r="F23" i="3"/>
  <c r="E3" i="3"/>
  <c r="D25" i="23"/>
  <c r="G25" i="23"/>
  <c r="B28" i="21"/>
  <c r="B26" i="23"/>
  <c r="B27" i="19"/>
  <c r="B24" i="24"/>
  <c r="D23" i="24"/>
  <c r="G23" i="24"/>
  <c r="G26" i="19"/>
  <c r="D26" i="19"/>
  <c r="G27" i="21"/>
  <c r="D27" i="21"/>
  <c r="B424" i="14"/>
  <c r="B31" i="17"/>
  <c r="C32" i="17" s="1"/>
  <c r="E32" i="17" s="1"/>
  <c r="F32" i="17" s="1"/>
  <c r="B9" i="10"/>
  <c r="C10" i="10" s="1"/>
  <c r="E10" i="10" s="1"/>
  <c r="B19" i="6"/>
  <c r="F29" i="3"/>
  <c r="F3" i="3" s="1"/>
  <c r="B25" i="4"/>
  <c r="B23" i="5"/>
  <c r="C24" i="5" s="1"/>
  <c r="E24" i="5" s="1"/>
  <c r="B12" i="2"/>
  <c r="C13" i="2" s="1"/>
  <c r="E13" i="2" s="1"/>
  <c r="F13" i="2" s="1"/>
  <c r="B30" i="3"/>
  <c r="F6" i="2"/>
  <c r="D49" i="40" l="1"/>
  <c r="G49" i="40"/>
  <c r="D48" i="40"/>
  <c r="D3" i="40" s="1"/>
  <c r="J3" i="40" s="1"/>
  <c r="G48" i="40"/>
  <c r="G3" i="40" s="1"/>
  <c r="D3" i="41"/>
  <c r="J3" i="41" s="1"/>
  <c r="G3" i="41"/>
  <c r="I426" i="14"/>
  <c r="F425" i="14"/>
  <c r="G27" i="19"/>
  <c r="D27" i="19"/>
  <c r="D24" i="24"/>
  <c r="G24" i="24"/>
  <c r="B29" i="21"/>
  <c r="B27" i="23"/>
  <c r="B28" i="19"/>
  <c r="B25" i="24"/>
  <c r="D26" i="23"/>
  <c r="G26" i="23"/>
  <c r="G28" i="21"/>
  <c r="D28" i="21"/>
  <c r="B425" i="14"/>
  <c r="B32" i="17"/>
  <c r="C33" i="17" s="1"/>
  <c r="E33" i="17" s="1"/>
  <c r="F33" i="17" s="1"/>
  <c r="B10" i="10"/>
  <c r="C11" i="10" s="1"/>
  <c r="E11" i="10" s="1"/>
  <c r="B20" i="6"/>
  <c r="C21" i="6" s="1"/>
  <c r="E21" i="6" s="1"/>
  <c r="F21" i="6" s="1"/>
  <c r="C20" i="6"/>
  <c r="E20" i="6" s="1"/>
  <c r="C26" i="4"/>
  <c r="E26" i="4" s="1"/>
  <c r="B24" i="5"/>
  <c r="C25" i="5" s="1"/>
  <c r="E25" i="5" s="1"/>
  <c r="F25" i="5" s="1"/>
  <c r="B26" i="4"/>
  <c r="C27" i="4" s="1"/>
  <c r="B13" i="2"/>
  <c r="C14" i="2" s="1"/>
  <c r="E14" i="2" s="1"/>
  <c r="F10" i="10"/>
  <c r="F24" i="5"/>
  <c r="H1" i="41" l="1"/>
  <c r="G1" i="41"/>
  <c r="H1" i="40"/>
  <c r="G1" i="40"/>
  <c r="I427" i="14"/>
  <c r="F426" i="14"/>
  <c r="D29" i="21"/>
  <c r="G29" i="21"/>
  <c r="D28" i="19"/>
  <c r="G28" i="19"/>
  <c r="B30" i="21"/>
  <c r="B28" i="23"/>
  <c r="B29" i="19"/>
  <c r="B26" i="24"/>
  <c r="D25" i="24"/>
  <c r="G25" i="24"/>
  <c r="D27" i="23"/>
  <c r="G27" i="23"/>
  <c r="B426" i="14"/>
  <c r="F20" i="6"/>
  <c r="B33" i="17"/>
  <c r="C34" i="17" s="1"/>
  <c r="E34" i="17" s="1"/>
  <c r="F34" i="17" s="1"/>
  <c r="E27" i="4"/>
  <c r="F27" i="4" s="1"/>
  <c r="B11" i="10"/>
  <c r="B21" i="6"/>
  <c r="F11" i="10"/>
  <c r="E8" i="11"/>
  <c r="E9" i="11"/>
  <c r="G9" i="11" s="1"/>
  <c r="B25" i="5"/>
  <c r="C26" i="5" s="1"/>
  <c r="B27" i="4"/>
  <c r="C28" i="4" s="1"/>
  <c r="E28" i="4" s="1"/>
  <c r="F28" i="4" s="1"/>
  <c r="B14" i="2"/>
  <c r="F14" i="2"/>
  <c r="F26" i="4"/>
  <c r="G8" i="11" l="1"/>
  <c r="I428" i="14"/>
  <c r="F427" i="14"/>
  <c r="D28" i="23"/>
  <c r="G28" i="23"/>
  <c r="D26" i="24"/>
  <c r="G26" i="24"/>
  <c r="B31" i="21"/>
  <c r="B29" i="23"/>
  <c r="B30" i="19"/>
  <c r="B27" i="24"/>
  <c r="G30" i="21"/>
  <c r="D30" i="21"/>
  <c r="D29" i="19"/>
  <c r="G29" i="19"/>
  <c r="B427" i="14"/>
  <c r="B34" i="17"/>
  <c r="C35" i="17" s="1"/>
  <c r="E35" i="17" s="1"/>
  <c r="F35" i="17" s="1"/>
  <c r="E26" i="5"/>
  <c r="F26" i="5" s="1"/>
  <c r="C15" i="2"/>
  <c r="E15" i="2" s="1"/>
  <c r="F15" i="2" s="1"/>
  <c r="C12" i="10"/>
  <c r="E12" i="10" s="1"/>
  <c r="F12" i="10" s="1"/>
  <c r="C22" i="6"/>
  <c r="E22" i="6" s="1"/>
  <c r="B12" i="10"/>
  <c r="C13" i="10" s="1"/>
  <c r="E13" i="10" s="1"/>
  <c r="F13" i="10" s="1"/>
  <c r="B22" i="6"/>
  <c r="C23" i="6" s="1"/>
  <c r="E23" i="6" s="1"/>
  <c r="B15" i="2"/>
  <c r="C16" i="2" s="1"/>
  <c r="E16" i="2" s="1"/>
  <c r="F16" i="2" s="1"/>
  <c r="I429" i="14" l="1"/>
  <c r="F428" i="14"/>
  <c r="D31" i="21"/>
  <c r="G31" i="21"/>
  <c r="B32" i="21"/>
  <c r="B30" i="23"/>
  <c r="B31" i="19"/>
  <c r="B28" i="24"/>
  <c r="D29" i="23"/>
  <c r="G29" i="23"/>
  <c r="D27" i="24"/>
  <c r="G27" i="24"/>
  <c r="D30" i="19"/>
  <c r="G30" i="19"/>
  <c r="B428" i="14"/>
  <c r="F22" i="6"/>
  <c r="B35" i="17"/>
  <c r="C36" i="17" s="1"/>
  <c r="E36" i="17" s="1"/>
  <c r="F36" i="17" s="1"/>
  <c r="F23" i="6"/>
  <c r="B13" i="10"/>
  <c r="C14" i="10" s="1"/>
  <c r="E14" i="10" s="1"/>
  <c r="F14" i="10" s="1"/>
  <c r="B23" i="6"/>
  <c r="C24" i="6" s="1"/>
  <c r="E24" i="6" s="1"/>
  <c r="F24" i="6" s="1"/>
  <c r="E10" i="11"/>
  <c r="E3" i="11" s="1"/>
  <c r="B29" i="4"/>
  <c r="C30" i="4" s="1"/>
  <c r="E30" i="4" s="1"/>
  <c r="B27" i="5"/>
  <c r="C28" i="5" s="1"/>
  <c r="E28" i="5" s="1"/>
  <c r="F28" i="5" s="1"/>
  <c r="B16" i="2"/>
  <c r="C17" i="2" s="1"/>
  <c r="E17" i="2" s="1"/>
  <c r="F17" i="2" s="1"/>
  <c r="F27" i="5"/>
  <c r="I430" i="14" l="1"/>
  <c r="F429" i="14"/>
  <c r="G31" i="19"/>
  <c r="D31" i="19"/>
  <c r="B33" i="21"/>
  <c r="B31" i="23"/>
  <c r="B32" i="19"/>
  <c r="B29" i="24"/>
  <c r="D28" i="24"/>
  <c r="G28" i="24"/>
  <c r="D30" i="23"/>
  <c r="G30" i="23"/>
  <c r="G32" i="21"/>
  <c r="D32" i="21"/>
  <c r="B429" i="14"/>
  <c r="G10" i="11"/>
  <c r="G3" i="11" s="1"/>
  <c r="J3" i="11" s="1"/>
  <c r="L3" i="11" s="1"/>
  <c r="B36" i="17"/>
  <c r="C37" i="17" s="1"/>
  <c r="E37" i="17" s="1"/>
  <c r="F37" i="17" s="1"/>
  <c r="F30" i="4"/>
  <c r="E3" i="4"/>
  <c r="B14" i="10"/>
  <c r="C15" i="10" s="1"/>
  <c r="E15" i="10" s="1"/>
  <c r="B24" i="6"/>
  <c r="C25" i="6" s="1"/>
  <c r="F29" i="4"/>
  <c r="B30" i="4"/>
  <c r="B28" i="5"/>
  <c r="C29" i="5" s="1"/>
  <c r="E29" i="5" s="1"/>
  <c r="B17" i="2"/>
  <c r="C18" i="2" s="1"/>
  <c r="E18" i="2" s="1"/>
  <c r="F18" i="2" s="1"/>
  <c r="L14" i="11" l="1"/>
  <c r="L7" i="11"/>
  <c r="O15" i="11"/>
  <c r="N15" i="11"/>
  <c r="M15" i="11"/>
  <c r="U15" i="11"/>
  <c r="P15" i="11"/>
  <c r="Q15" i="11"/>
  <c r="R15" i="11"/>
  <c r="S15" i="11"/>
  <c r="T15" i="11"/>
  <c r="F430" i="14"/>
  <c r="I431" i="14"/>
  <c r="D32" i="19"/>
  <c r="G32" i="19"/>
  <c r="D29" i="24"/>
  <c r="G29" i="24"/>
  <c r="D31" i="23"/>
  <c r="G31" i="23"/>
  <c r="B34" i="21"/>
  <c r="B32" i="23"/>
  <c r="B33" i="19"/>
  <c r="B30" i="24"/>
  <c r="D33" i="21"/>
  <c r="G33" i="21"/>
  <c r="B430" i="14"/>
  <c r="E25" i="6"/>
  <c r="B37" i="17"/>
  <c r="C38" i="17" s="1"/>
  <c r="E38" i="17" s="1"/>
  <c r="F38" i="17" s="1"/>
  <c r="B15" i="10"/>
  <c r="C16" i="10" s="1"/>
  <c r="E16" i="10" s="1"/>
  <c r="F16" i="10" s="1"/>
  <c r="E26" i="6"/>
  <c r="F26" i="6" s="1"/>
  <c r="F29" i="5"/>
  <c r="F15" i="10"/>
  <c r="B29" i="5"/>
  <c r="C30" i="5" s="1"/>
  <c r="B18" i="2"/>
  <c r="C19" i="2" s="1"/>
  <c r="E19" i="2" s="1"/>
  <c r="F19" i="2" s="1"/>
  <c r="F431" i="14" l="1"/>
  <c r="I432" i="14"/>
  <c r="B35" i="21"/>
  <c r="B33" i="23"/>
  <c r="B34" i="19"/>
  <c r="B31" i="24"/>
  <c r="D30" i="24"/>
  <c r="G30" i="24"/>
  <c r="G34" i="21"/>
  <c r="D34" i="21"/>
  <c r="D33" i="19"/>
  <c r="G33" i="19"/>
  <c r="D32" i="23"/>
  <c r="G32" i="23"/>
  <c r="B431" i="14"/>
  <c r="F25" i="6"/>
  <c r="B38" i="17"/>
  <c r="C39" i="17" s="1"/>
  <c r="E39" i="17" s="1"/>
  <c r="F39" i="17" s="1"/>
  <c r="E30" i="5"/>
  <c r="F30" i="5" s="1"/>
  <c r="B16" i="10"/>
  <c r="C17" i="10" s="1"/>
  <c r="E17" i="10" s="1"/>
  <c r="E3" i="10" s="1"/>
  <c r="B26" i="6"/>
  <c r="C27" i="6" s="1"/>
  <c r="E27" i="6" s="1"/>
  <c r="F27" i="6" s="1"/>
  <c r="B30" i="5"/>
  <c r="C31" i="5" s="1"/>
  <c r="B19" i="2"/>
  <c r="C20" i="2" s="1"/>
  <c r="E20" i="2" s="1"/>
  <c r="F20" i="2" s="1"/>
  <c r="F432" i="14" l="1"/>
  <c r="I433" i="14"/>
  <c r="B36" i="21"/>
  <c r="B34" i="23"/>
  <c r="B32" i="24"/>
  <c r="D31" i="24"/>
  <c r="G31" i="24"/>
  <c r="D33" i="23"/>
  <c r="G33" i="23"/>
  <c r="D34" i="19"/>
  <c r="D3" i="19" s="1"/>
  <c r="G34" i="19"/>
  <c r="G3" i="19" s="1"/>
  <c r="H1" i="19" s="1"/>
  <c r="B432" i="14"/>
  <c r="G35" i="21"/>
  <c r="D35" i="21"/>
  <c r="B27" i="22"/>
  <c r="B20" i="20"/>
  <c r="C21" i="20" s="1"/>
  <c r="K21" i="20" s="1"/>
  <c r="B39" i="17"/>
  <c r="C40" i="17" s="1"/>
  <c r="E40" i="17" s="1"/>
  <c r="F40" i="17" s="1"/>
  <c r="E31" i="5"/>
  <c r="F31" i="5" s="1"/>
  <c r="B27" i="6"/>
  <c r="C28" i="6" s="1"/>
  <c r="E28" i="6" s="1"/>
  <c r="F28" i="6" s="1"/>
  <c r="B31" i="5"/>
  <c r="C32" i="5" s="1"/>
  <c r="E32" i="5" s="1"/>
  <c r="F32" i="5" s="1"/>
  <c r="B17" i="10"/>
  <c r="B20" i="2"/>
  <c r="C21" i="2" s="1"/>
  <c r="E21" i="2" s="1"/>
  <c r="F21" i="2" s="1"/>
  <c r="F17" i="10"/>
  <c r="F3" i="10" s="1"/>
  <c r="J3" i="19" l="1"/>
  <c r="G1" i="19"/>
  <c r="I434" i="14"/>
  <c r="F433" i="14"/>
  <c r="B37" i="21"/>
  <c r="B35" i="23"/>
  <c r="B33" i="24"/>
  <c r="D34" i="23"/>
  <c r="G34" i="23"/>
  <c r="B433" i="14"/>
  <c r="D32" i="24"/>
  <c r="G32" i="24"/>
  <c r="D36" i="21"/>
  <c r="G36" i="21"/>
  <c r="C28" i="22"/>
  <c r="E28" i="22" s="1"/>
  <c r="F28" i="22" s="1"/>
  <c r="L27" i="22"/>
  <c r="N27" i="22"/>
  <c r="E21" i="20"/>
  <c r="F21" i="20" s="1"/>
  <c r="B32" i="5"/>
  <c r="B28" i="22"/>
  <c r="B21" i="20"/>
  <c r="C22" i="20" s="1"/>
  <c r="K22" i="20" s="1"/>
  <c r="B40" i="17"/>
  <c r="C41" i="17" s="1"/>
  <c r="B28" i="6"/>
  <c r="C29" i="6" s="1"/>
  <c r="E29" i="6" s="1"/>
  <c r="F29" i="6" s="1"/>
  <c r="B21" i="2"/>
  <c r="C22" i="2" s="1"/>
  <c r="E22" i="2" s="1"/>
  <c r="F22" i="2" s="1"/>
  <c r="F434" i="14" l="1"/>
  <c r="I435" i="14"/>
  <c r="B38" i="21"/>
  <c r="B36" i="23"/>
  <c r="B34" i="24"/>
  <c r="D33" i="24"/>
  <c r="G33" i="24"/>
  <c r="B434" i="14"/>
  <c r="D35" i="23"/>
  <c r="G35" i="23"/>
  <c r="D37" i="21"/>
  <c r="G37" i="21"/>
  <c r="C33" i="5"/>
  <c r="E33" i="5" s="1"/>
  <c r="F33" i="5" s="1"/>
  <c r="C29" i="22"/>
  <c r="E29" i="22" s="1"/>
  <c r="F29" i="22" s="1"/>
  <c r="N28" i="22"/>
  <c r="L28" i="22"/>
  <c r="E22" i="20"/>
  <c r="F22" i="20" s="1"/>
  <c r="B33" i="5"/>
  <c r="C34" i="5" s="1"/>
  <c r="E34" i="5" s="1"/>
  <c r="B29" i="22"/>
  <c r="B22" i="20"/>
  <c r="C23" i="20" s="1"/>
  <c r="E41" i="17"/>
  <c r="F41" i="17" s="1"/>
  <c r="B41" i="17"/>
  <c r="C42" i="17" s="1"/>
  <c r="B29" i="6"/>
  <c r="C30" i="6" s="1"/>
  <c r="E30" i="6" s="1"/>
  <c r="F30" i="6" s="1"/>
  <c r="B22" i="2"/>
  <c r="C23" i="2" s="1"/>
  <c r="E23" i="2" s="1"/>
  <c r="F23" i="2" s="1"/>
  <c r="E3" i="5" l="1"/>
  <c r="I436" i="14"/>
  <c r="F435" i="14"/>
  <c r="B39" i="21"/>
  <c r="B37" i="23"/>
  <c r="D34" i="24"/>
  <c r="D3" i="24" s="1"/>
  <c r="J3" i="24" s="1"/>
  <c r="G34" i="24"/>
  <c r="G3" i="24" s="1"/>
  <c r="D36" i="23"/>
  <c r="G36" i="23"/>
  <c r="B435" i="14"/>
  <c r="G38" i="21"/>
  <c r="D38" i="21"/>
  <c r="C30" i="22"/>
  <c r="E30" i="22" s="1"/>
  <c r="F30" i="22" s="1"/>
  <c r="N29" i="22"/>
  <c r="E23" i="20"/>
  <c r="F23" i="20" s="1"/>
  <c r="K23" i="20"/>
  <c r="B34" i="5"/>
  <c r="B30" i="22"/>
  <c r="B23" i="20"/>
  <c r="C24" i="20" s="1"/>
  <c r="F34" i="5"/>
  <c r="F3" i="5" s="1"/>
  <c r="E42" i="17"/>
  <c r="E3" i="17" s="1"/>
  <c r="B42" i="17"/>
  <c r="B30" i="6"/>
  <c r="C31" i="6" s="1"/>
  <c r="B23" i="2"/>
  <c r="C24" i="2" s="1"/>
  <c r="E24" i="2" s="1"/>
  <c r="F24" i="2" s="1"/>
  <c r="G1" i="24" l="1"/>
  <c r="H1" i="24"/>
  <c r="F436" i="14"/>
  <c r="I437" i="14"/>
  <c r="B40" i="21"/>
  <c r="B38" i="23"/>
  <c r="B436" i="14"/>
  <c r="D37" i="23"/>
  <c r="G37" i="23"/>
  <c r="D39" i="21"/>
  <c r="G39" i="21"/>
  <c r="F365" i="1"/>
  <c r="C31" i="22"/>
  <c r="E31" i="22" s="1"/>
  <c r="F31" i="22" s="1"/>
  <c r="N30" i="22"/>
  <c r="E24" i="20"/>
  <c r="F24" i="20" s="1"/>
  <c r="K24" i="20"/>
  <c r="E31" i="6"/>
  <c r="F31" i="6" s="1"/>
  <c r="B31" i="22"/>
  <c r="B24" i="20"/>
  <c r="C25" i="20" s="1"/>
  <c r="F42" i="17"/>
  <c r="F3" i="17" s="1"/>
  <c r="B31" i="6"/>
  <c r="C32" i="6" s="1"/>
  <c r="E32" i="6" s="1"/>
  <c r="F32" i="6" s="1"/>
  <c r="B24" i="2"/>
  <c r="C25" i="2" s="1"/>
  <c r="E25" i="2" s="1"/>
  <c r="F25" i="2" s="1"/>
  <c r="I438" i="14" l="1"/>
  <c r="F437" i="14"/>
  <c r="B437" i="14"/>
  <c r="B41" i="21"/>
  <c r="B39" i="23"/>
  <c r="D38" i="23"/>
  <c r="G38" i="23"/>
  <c r="G40" i="21"/>
  <c r="D40" i="21"/>
  <c r="F366" i="1"/>
  <c r="D32" i="25"/>
  <c r="D31" i="25"/>
  <c r="G31" i="25"/>
  <c r="B20" i="12"/>
  <c r="B24" i="26"/>
  <c r="C32" i="22"/>
  <c r="E32" i="22" s="1"/>
  <c r="F32" i="22" s="1"/>
  <c r="N31" i="22"/>
  <c r="E25" i="20"/>
  <c r="F25" i="20" s="1"/>
  <c r="K25" i="20"/>
  <c r="B32" i="22"/>
  <c r="B25" i="20"/>
  <c r="C26" i="20" s="1"/>
  <c r="B32" i="6"/>
  <c r="C33" i="6" s="1"/>
  <c r="E33" i="6" s="1"/>
  <c r="F33" i="6" s="1"/>
  <c r="B25" i="2"/>
  <c r="C26" i="2" s="1"/>
  <c r="E26" i="2" s="1"/>
  <c r="F26" i="2" s="1"/>
  <c r="I439" i="14" l="1"/>
  <c r="F438" i="14"/>
  <c r="D39" i="23"/>
  <c r="G39" i="23"/>
  <c r="D41" i="21"/>
  <c r="G41" i="21"/>
  <c r="B42" i="21"/>
  <c r="B40" i="23"/>
  <c r="B438" i="14"/>
  <c r="D24" i="26"/>
  <c r="G24" i="26"/>
  <c r="D20" i="12"/>
  <c r="G20" i="12"/>
  <c r="G32" i="25"/>
  <c r="F367" i="1"/>
  <c r="B21" i="12"/>
  <c r="B25" i="26"/>
  <c r="C33" i="22"/>
  <c r="E33" i="22" s="1"/>
  <c r="F33" i="22" s="1"/>
  <c r="N32" i="22"/>
  <c r="E26" i="20"/>
  <c r="F26" i="20" s="1"/>
  <c r="K26" i="20"/>
  <c r="B33" i="22"/>
  <c r="B26" i="20"/>
  <c r="C27" i="20" s="1"/>
  <c r="B33" i="6"/>
  <c r="C34" i="6" s="1"/>
  <c r="E34" i="6" s="1"/>
  <c r="F34" i="6" s="1"/>
  <c r="B26" i="2"/>
  <c r="C27" i="2" s="1"/>
  <c r="E27" i="2" s="1"/>
  <c r="F27" i="2" s="1"/>
  <c r="I440" i="14" l="1"/>
  <c r="F439" i="14"/>
  <c r="B439" i="14"/>
  <c r="D40" i="23"/>
  <c r="G40" i="23"/>
  <c r="D42" i="21"/>
  <c r="G42" i="21"/>
  <c r="B43" i="21"/>
  <c r="B41" i="23"/>
  <c r="G25" i="26"/>
  <c r="D25" i="26"/>
  <c r="B22" i="12"/>
  <c r="B26" i="26"/>
  <c r="D33" i="25"/>
  <c r="G33" i="25"/>
  <c r="D21" i="12"/>
  <c r="G21" i="12"/>
  <c r="F368" i="1"/>
  <c r="C34" i="22"/>
  <c r="E34" i="22" s="1"/>
  <c r="F34" i="22" s="1"/>
  <c r="N33" i="22"/>
  <c r="E27" i="20"/>
  <c r="F27" i="20" s="1"/>
  <c r="K27" i="20"/>
  <c r="B34" i="22"/>
  <c r="B27" i="20"/>
  <c r="C28" i="20" s="1"/>
  <c r="B34" i="6"/>
  <c r="C35" i="6" s="1"/>
  <c r="E35" i="6" s="1"/>
  <c r="B27" i="2"/>
  <c r="C28" i="2" s="1"/>
  <c r="E28" i="2" s="1"/>
  <c r="F28" i="2" s="1"/>
  <c r="I441" i="14" l="1"/>
  <c r="F440" i="14"/>
  <c r="D41" i="23"/>
  <c r="G41" i="23"/>
  <c r="G43" i="21"/>
  <c r="D43" i="21"/>
  <c r="B44" i="21"/>
  <c r="B42" i="23"/>
  <c r="B440" i="14"/>
  <c r="D34" i="25"/>
  <c r="G34" i="25"/>
  <c r="B23" i="12"/>
  <c r="G23" i="12" s="1"/>
  <c r="B27" i="26"/>
  <c r="G22" i="12"/>
  <c r="D22" i="12"/>
  <c r="D26" i="26"/>
  <c r="G26" i="26"/>
  <c r="F369" i="1"/>
  <c r="C35" i="22"/>
  <c r="E35" i="22" s="1"/>
  <c r="F35" i="22" s="1"/>
  <c r="N34" i="22"/>
  <c r="E28" i="20"/>
  <c r="F28" i="20" s="1"/>
  <c r="K28" i="20"/>
  <c r="B35" i="22"/>
  <c r="B28" i="20"/>
  <c r="C29" i="20" s="1"/>
  <c r="B35" i="6"/>
  <c r="C36" i="6" s="1"/>
  <c r="E36" i="6" s="1"/>
  <c r="F36" i="6" s="1"/>
  <c r="F35" i="6"/>
  <c r="F3" i="6" s="1"/>
  <c r="B28" i="2"/>
  <c r="C29" i="2" s="1"/>
  <c r="E29" i="2" s="1"/>
  <c r="F29" i="2" s="1"/>
  <c r="I442" i="14" l="1"/>
  <c r="F441" i="14"/>
  <c r="D42" i="23"/>
  <c r="G42" i="23"/>
  <c r="B441" i="14"/>
  <c r="D44" i="21"/>
  <c r="G44" i="21"/>
  <c r="B45" i="21"/>
  <c r="B43" i="23"/>
  <c r="D35" i="25"/>
  <c r="G35" i="25"/>
  <c r="G27" i="26"/>
  <c r="D27" i="26"/>
  <c r="D23" i="12"/>
  <c r="F370" i="1"/>
  <c r="B25" i="12" s="1"/>
  <c r="B24" i="12"/>
  <c r="G24" i="12" s="1"/>
  <c r="B28" i="26"/>
  <c r="C36" i="22"/>
  <c r="E36" i="22" s="1"/>
  <c r="F36" i="22" s="1"/>
  <c r="N35" i="22"/>
  <c r="E29" i="20"/>
  <c r="F29" i="20" s="1"/>
  <c r="K29" i="20"/>
  <c r="B36" i="6"/>
  <c r="C37" i="6" s="1"/>
  <c r="E37" i="6" s="1"/>
  <c r="B36" i="22"/>
  <c r="B29" i="20"/>
  <c r="C30" i="20" s="1"/>
  <c r="B29" i="2"/>
  <c r="C30" i="2" s="1"/>
  <c r="E30" i="2" s="1"/>
  <c r="F30" i="2" s="1"/>
  <c r="D25" i="12" l="1"/>
  <c r="G25" i="12"/>
  <c r="F442" i="14"/>
  <c r="I443" i="14"/>
  <c r="D43" i="23"/>
  <c r="G43" i="23"/>
  <c r="D45" i="21"/>
  <c r="G45" i="21"/>
  <c r="B442" i="14"/>
  <c r="B44" i="23"/>
  <c r="D28" i="26"/>
  <c r="G28" i="26"/>
  <c r="B29" i="26"/>
  <c r="D24" i="12"/>
  <c r="F371" i="1"/>
  <c r="G36" i="25"/>
  <c r="D36" i="25"/>
  <c r="C37" i="22"/>
  <c r="E37" i="22" s="1"/>
  <c r="E3" i="22" s="1"/>
  <c r="N36" i="22"/>
  <c r="F37" i="6"/>
  <c r="E3" i="6"/>
  <c r="E30" i="20"/>
  <c r="F30" i="20" s="1"/>
  <c r="K30" i="20"/>
  <c r="B37" i="6"/>
  <c r="B37" i="22"/>
  <c r="B30" i="20"/>
  <c r="C31" i="20" s="1"/>
  <c r="B45" i="23"/>
  <c r="B30" i="2"/>
  <c r="C31" i="2" s="1"/>
  <c r="E31" i="2" s="1"/>
  <c r="F31" i="2" s="1"/>
  <c r="B30" i="26" l="1"/>
  <c r="D30" i="26" s="1"/>
  <c r="B26" i="12"/>
  <c r="I444" i="14"/>
  <c r="F443" i="14"/>
  <c r="D44" i="23"/>
  <c r="G44" i="23"/>
  <c r="B443" i="14"/>
  <c r="D3" i="21"/>
  <c r="G3" i="21"/>
  <c r="H1" i="21" s="1"/>
  <c r="D45" i="23"/>
  <c r="G45" i="23"/>
  <c r="G29" i="26"/>
  <c r="D29" i="26"/>
  <c r="F37" i="22"/>
  <c r="F3" i="22" s="1"/>
  <c r="G37" i="25"/>
  <c r="D37" i="25"/>
  <c r="B38" i="22"/>
  <c r="C39" i="22" s="1"/>
  <c r="F372" i="1"/>
  <c r="B5" i="32" s="1"/>
  <c r="G4" i="22"/>
  <c r="J28" i="22"/>
  <c r="C38" i="22"/>
  <c r="N37" i="22"/>
  <c r="J26" i="22"/>
  <c r="J25" i="22"/>
  <c r="J29" i="22"/>
  <c r="J27" i="22"/>
  <c r="E31" i="20"/>
  <c r="F31" i="20" s="1"/>
  <c r="K31" i="20"/>
  <c r="B31" i="2"/>
  <c r="C32" i="2" s="1"/>
  <c r="E32" i="2" s="1"/>
  <c r="F32" i="2" s="1"/>
  <c r="B31" i="20"/>
  <c r="C32" i="20" s="1"/>
  <c r="J39" i="22"/>
  <c r="J12" i="22"/>
  <c r="J24" i="22"/>
  <c r="J40" i="22"/>
  <c r="J13" i="22"/>
  <c r="J41" i="22"/>
  <c r="J14" i="22"/>
  <c r="J5" i="22"/>
  <c r="J30" i="22"/>
  <c r="J42" i="22"/>
  <c r="J15" i="22"/>
  <c r="J32" i="22"/>
  <c r="J17" i="22"/>
  <c r="J33" i="22"/>
  <c r="J6" i="22"/>
  <c r="J18" i="22"/>
  <c r="J34" i="22"/>
  <c r="J19" i="22"/>
  <c r="J35" i="22"/>
  <c r="J8" i="22"/>
  <c r="J20" i="22"/>
  <c r="J36" i="22"/>
  <c r="J9" i="22"/>
  <c r="J21" i="22"/>
  <c r="J31" i="22"/>
  <c r="J43" i="22"/>
  <c r="J16" i="22"/>
  <c r="J7" i="22"/>
  <c r="J37" i="22"/>
  <c r="J10" i="22"/>
  <c r="J22" i="22"/>
  <c r="J11" i="22"/>
  <c r="J23" i="22"/>
  <c r="J38" i="22"/>
  <c r="D3" i="23" l="1"/>
  <c r="J3" i="23" s="1"/>
  <c r="G3" i="23"/>
  <c r="G30" i="26"/>
  <c r="D5" i="32"/>
  <c r="G5" i="32"/>
  <c r="J3" i="21"/>
  <c r="G1" i="21"/>
  <c r="B31" i="26"/>
  <c r="G31" i="26" s="1"/>
  <c r="B27" i="12"/>
  <c r="D26" i="12"/>
  <c r="G26" i="12"/>
  <c r="I445" i="14"/>
  <c r="F444" i="14"/>
  <c r="B444" i="14"/>
  <c r="G38" i="25"/>
  <c r="D38" i="25"/>
  <c r="B39" i="22"/>
  <c r="C40" i="22" s="1"/>
  <c r="F373" i="1"/>
  <c r="E32" i="20"/>
  <c r="F32" i="20" s="1"/>
  <c r="K32" i="20"/>
  <c r="B32" i="2"/>
  <c r="C33" i="2" s="1"/>
  <c r="E33" i="2" s="1"/>
  <c r="F33" i="2" s="1"/>
  <c r="B32" i="20"/>
  <c r="C33" i="20" s="1"/>
  <c r="B6" i="32" l="1"/>
  <c r="G6" i="32" s="1"/>
  <c r="B40" i="25"/>
  <c r="H1" i="23"/>
  <c r="G1" i="23"/>
  <c r="D31" i="26"/>
  <c r="B32" i="26"/>
  <c r="D32" i="26" s="1"/>
  <c r="B28" i="12"/>
  <c r="D27" i="12"/>
  <c r="G27" i="12"/>
  <c r="I446" i="14"/>
  <c r="F445" i="14"/>
  <c r="B445" i="14"/>
  <c r="G39" i="25"/>
  <c r="D39" i="25"/>
  <c r="B40" i="22"/>
  <c r="C41" i="22" s="1"/>
  <c r="F374" i="1"/>
  <c r="B41" i="25" s="1"/>
  <c r="E33" i="20"/>
  <c r="F33" i="20" s="1"/>
  <c r="K33" i="20"/>
  <c r="B33" i="2"/>
  <c r="C34" i="2" s="1"/>
  <c r="E34" i="2" s="1"/>
  <c r="F34" i="2" s="1"/>
  <c r="B33" i="20"/>
  <c r="C34" i="20" s="1"/>
  <c r="D6" i="32" l="1"/>
  <c r="B33" i="26"/>
  <c r="G33" i="26" s="1"/>
  <c r="B7" i="32"/>
  <c r="G32" i="26"/>
  <c r="D28" i="12"/>
  <c r="D3" i="12" s="1"/>
  <c r="G28" i="12"/>
  <c r="G3" i="12" s="1"/>
  <c r="I447" i="14"/>
  <c r="F446" i="14"/>
  <c r="B446" i="14"/>
  <c r="B41" i="22"/>
  <c r="C42" i="22" s="1"/>
  <c r="F375" i="1"/>
  <c r="B42" i="25" s="1"/>
  <c r="G40" i="25"/>
  <c r="D40" i="25"/>
  <c r="E34" i="20"/>
  <c r="F34" i="20" s="1"/>
  <c r="K34" i="20"/>
  <c r="B34" i="2"/>
  <c r="C35" i="2" s="1"/>
  <c r="E35" i="2" s="1"/>
  <c r="F35" i="2" s="1"/>
  <c r="B34" i="20"/>
  <c r="C35" i="20" s="1"/>
  <c r="H1" i="12" l="1"/>
  <c r="D33" i="26"/>
  <c r="J3" i="12"/>
  <c r="D7" i="32"/>
  <c r="G7" i="32"/>
  <c r="B34" i="26"/>
  <c r="D34" i="26" s="1"/>
  <c r="B8" i="32"/>
  <c r="F447" i="14"/>
  <c r="I448" i="14"/>
  <c r="B447" i="14"/>
  <c r="G41" i="25"/>
  <c r="D41" i="25"/>
  <c r="B42" i="22"/>
  <c r="C43" i="22" s="1"/>
  <c r="F376" i="1"/>
  <c r="B43" i="25" s="1"/>
  <c r="G43" i="25" s="1"/>
  <c r="E35" i="20"/>
  <c r="F35" i="20" s="1"/>
  <c r="K35" i="20"/>
  <c r="B35" i="2"/>
  <c r="C36" i="2" s="1"/>
  <c r="E36" i="2" s="1"/>
  <c r="F36" i="2" s="1"/>
  <c r="B35" i="20"/>
  <c r="C36" i="20" s="1"/>
  <c r="G1" i="12" l="1"/>
  <c r="D8" i="32"/>
  <c r="G8" i="32"/>
  <c r="G34" i="26"/>
  <c r="B35" i="26"/>
  <c r="G35" i="26" s="1"/>
  <c r="B9" i="32"/>
  <c r="F448" i="14"/>
  <c r="I449" i="14"/>
  <c r="B448" i="14"/>
  <c r="G42" i="25"/>
  <c r="D42" i="25"/>
  <c r="B43" i="22"/>
  <c r="F377" i="1"/>
  <c r="E36" i="20"/>
  <c r="F36" i="20" s="1"/>
  <c r="K36" i="20"/>
  <c r="B36" i="2"/>
  <c r="C37" i="2" s="1"/>
  <c r="E37" i="2" s="1"/>
  <c r="F37" i="2" s="1"/>
  <c r="B36" i="20"/>
  <c r="C37" i="20" s="1"/>
  <c r="F378" i="1"/>
  <c r="B44" i="25" l="1"/>
  <c r="B36" i="38"/>
  <c r="B45" i="25"/>
  <c r="B37" i="38"/>
  <c r="D9" i="32"/>
  <c r="G9" i="32"/>
  <c r="B37" i="26"/>
  <c r="G37" i="26" s="1"/>
  <c r="B11" i="32"/>
  <c r="D35" i="26"/>
  <c r="B36" i="26"/>
  <c r="D36" i="26" s="1"/>
  <c r="B10" i="32"/>
  <c r="I450" i="14"/>
  <c r="F449" i="14"/>
  <c r="B449" i="14"/>
  <c r="D43" i="25"/>
  <c r="E37" i="20"/>
  <c r="F37" i="20" s="1"/>
  <c r="K37" i="20"/>
  <c r="B37" i="2"/>
  <c r="C38" i="2" s="1"/>
  <c r="E38" i="2" s="1"/>
  <c r="F38" i="2" s="1"/>
  <c r="B37" i="20"/>
  <c r="C38" i="20" s="1"/>
  <c r="F379" i="1"/>
  <c r="D37" i="38" l="1"/>
  <c r="G37" i="38"/>
  <c r="D45" i="25"/>
  <c r="G45" i="25"/>
  <c r="D36" i="38"/>
  <c r="G36" i="38"/>
  <c r="B46" i="25"/>
  <c r="B38" i="38"/>
  <c r="D44" i="25"/>
  <c r="G44" i="25"/>
  <c r="D10" i="32"/>
  <c r="G10" i="32"/>
  <c r="D37" i="26"/>
  <c r="G36" i="26"/>
  <c r="B38" i="26"/>
  <c r="D38" i="26" s="1"/>
  <c r="B12" i="32"/>
  <c r="D11" i="32"/>
  <c r="G11" i="32"/>
  <c r="F450" i="14"/>
  <c r="I451" i="14"/>
  <c r="B450" i="14"/>
  <c r="E38" i="20"/>
  <c r="F38" i="20" s="1"/>
  <c r="K38" i="20"/>
  <c r="B38" i="2"/>
  <c r="C39" i="2" s="1"/>
  <c r="E39" i="2" s="1"/>
  <c r="E3" i="2" s="1"/>
  <c r="B38" i="20"/>
  <c r="C39" i="20" s="1"/>
  <c r="F380" i="1"/>
  <c r="D38" i="38" l="1"/>
  <c r="G38" i="38"/>
  <c r="D46" i="25"/>
  <c r="G46" i="25"/>
  <c r="B47" i="25"/>
  <c r="B39" i="38"/>
  <c r="D12" i="32"/>
  <c r="G12" i="32"/>
  <c r="G38" i="26"/>
  <c r="B39" i="26"/>
  <c r="D39" i="26" s="1"/>
  <c r="B13" i="32"/>
  <c r="I452" i="14"/>
  <c r="F451" i="14"/>
  <c r="B451" i="14"/>
  <c r="F39" i="2"/>
  <c r="F3" i="2" s="1"/>
  <c r="E39" i="20"/>
  <c r="F39" i="20" s="1"/>
  <c r="F3" i="20" s="1"/>
  <c r="K39" i="20"/>
  <c r="B39" i="2"/>
  <c r="B39" i="20"/>
  <c r="C40" i="20" s="1"/>
  <c r="D39" i="38" l="1"/>
  <c r="G39" i="38"/>
  <c r="D47" i="25"/>
  <c r="G47" i="25"/>
  <c r="G39" i="26"/>
  <c r="D13" i="32"/>
  <c r="G13" i="32"/>
  <c r="E3" i="20"/>
  <c r="M30" i="20" s="1"/>
  <c r="I453" i="14"/>
  <c r="F452" i="14"/>
  <c r="B452" i="14"/>
  <c r="B40" i="20"/>
  <c r="F381" i="1"/>
  <c r="F382" i="1"/>
  <c r="B41" i="38" s="1"/>
  <c r="B40" i="38" l="1"/>
  <c r="D40" i="38" s="1"/>
  <c r="B48" i="25"/>
  <c r="D41" i="38"/>
  <c r="G41" i="38"/>
  <c r="B40" i="26"/>
  <c r="D40" i="26" s="1"/>
  <c r="B14" i="32"/>
  <c r="B41" i="26"/>
  <c r="G41" i="26" s="1"/>
  <c r="B15" i="32"/>
  <c r="I454" i="14"/>
  <c r="F453" i="14"/>
  <c r="B453" i="14"/>
  <c r="M26" i="20"/>
  <c r="M32" i="20" s="1"/>
  <c r="F383" i="1"/>
  <c r="B42" i="38" l="1"/>
  <c r="D42" i="38" s="1"/>
  <c r="B6" i="42"/>
  <c r="G40" i="38"/>
  <c r="D48" i="25"/>
  <c r="D3" i="25" s="1"/>
  <c r="J3" i="25" s="1"/>
  <c r="G48" i="25"/>
  <c r="G3" i="25" s="1"/>
  <c r="G40" i="26"/>
  <c r="D41" i="26"/>
  <c r="B42" i="26"/>
  <c r="G42" i="26" s="1"/>
  <c r="D15" i="32"/>
  <c r="G15" i="32"/>
  <c r="D14" i="32"/>
  <c r="G14" i="32"/>
  <c r="F454" i="14"/>
  <c r="I455" i="14"/>
  <c r="B454" i="14"/>
  <c r="B383" i="1"/>
  <c r="F384" i="1" s="1"/>
  <c r="B7" i="42" s="1"/>
  <c r="G42" i="38" l="1"/>
  <c r="D7" i="42"/>
  <c r="E7" i="42" s="1"/>
  <c r="F7" i="42" s="1"/>
  <c r="I7" i="42"/>
  <c r="I6" i="42"/>
  <c r="D6" i="42"/>
  <c r="E6" i="42" s="1"/>
  <c r="B43" i="26"/>
  <c r="D43" i="26" s="1"/>
  <c r="B43" i="38"/>
  <c r="D42" i="26"/>
  <c r="G3" i="32"/>
  <c r="F455" i="14"/>
  <c r="I456" i="14"/>
  <c r="B455" i="14"/>
  <c r="B384" i="1"/>
  <c r="F385" i="1" s="1"/>
  <c r="B8" i="42" s="1"/>
  <c r="F6" i="42" l="1"/>
  <c r="I8" i="42"/>
  <c r="D8" i="42"/>
  <c r="E8" i="42" s="1"/>
  <c r="F8" i="42" s="1"/>
  <c r="G43" i="26"/>
  <c r="B44" i="26"/>
  <c r="D44" i="26" s="1"/>
  <c r="B44" i="38"/>
  <c r="G43" i="38"/>
  <c r="D43" i="38"/>
  <c r="I457" i="14"/>
  <c r="F456" i="14"/>
  <c r="B456" i="14"/>
  <c r="B385" i="1"/>
  <c r="F386" i="1" s="1"/>
  <c r="B9" i="42" s="1"/>
  <c r="I9" i="42" l="1"/>
  <c r="D9" i="42"/>
  <c r="E9" i="42" s="1"/>
  <c r="F9" i="42" s="1"/>
  <c r="G44" i="38"/>
  <c r="D44" i="38"/>
  <c r="B45" i="26"/>
  <c r="G45" i="26" s="1"/>
  <c r="B45" i="38"/>
  <c r="G44" i="26"/>
  <c r="I458" i="14"/>
  <c r="F457" i="14"/>
  <c r="B457" i="14"/>
  <c r="B386" i="1"/>
  <c r="F387" i="1" s="1"/>
  <c r="B10" i="42" s="1"/>
  <c r="I10" i="42" l="1"/>
  <c r="D10" i="42"/>
  <c r="E10" i="42" s="1"/>
  <c r="F10" i="42" s="1"/>
  <c r="D45" i="26"/>
  <c r="G45" i="38"/>
  <c r="D45" i="38"/>
  <c r="B46" i="26"/>
  <c r="D46" i="26" s="1"/>
  <c r="B46" i="38"/>
  <c r="F458" i="14"/>
  <c r="I459" i="14"/>
  <c r="B458" i="14"/>
  <c r="B387" i="1"/>
  <c r="F388" i="1" s="1"/>
  <c r="B11" i="42" s="1"/>
  <c r="I11" i="42" l="1"/>
  <c r="D11" i="42"/>
  <c r="E11" i="42" s="1"/>
  <c r="F11" i="42" s="1"/>
  <c r="G46" i="26"/>
  <c r="G46" i="38"/>
  <c r="D46" i="38"/>
  <c r="B47" i="26"/>
  <c r="D47" i="26" s="1"/>
  <c r="B47" i="38"/>
  <c r="I460" i="14"/>
  <c r="F459" i="14"/>
  <c r="B459" i="14"/>
  <c r="B388" i="1"/>
  <c r="F389" i="1" s="1"/>
  <c r="B12" i="42" s="1"/>
  <c r="D12" i="42" l="1"/>
  <c r="E12" i="42" s="1"/>
  <c r="F12" i="42" s="1"/>
  <c r="I12" i="42"/>
  <c r="D47" i="38"/>
  <c r="G47" i="38"/>
  <c r="G47" i="26"/>
  <c r="B48" i="26"/>
  <c r="G48" i="26" s="1"/>
  <c r="B48" i="38"/>
  <c r="G3" i="26"/>
  <c r="I461" i="14"/>
  <c r="F460" i="14"/>
  <c r="B460" i="14"/>
  <c r="B389" i="1"/>
  <c r="F390" i="1" s="1"/>
  <c r="B13" i="42" s="1"/>
  <c r="D13" i="42" l="1"/>
  <c r="E13" i="42" s="1"/>
  <c r="F13" i="42" s="1"/>
  <c r="I13" i="42"/>
  <c r="G48" i="38"/>
  <c r="G3" i="38" s="1"/>
  <c r="D48" i="38"/>
  <c r="D3" i="38" s="1"/>
  <c r="J3" i="38" s="1"/>
  <c r="D48" i="26"/>
  <c r="H1" i="26"/>
  <c r="I462" i="14"/>
  <c r="F461" i="14"/>
  <c r="B461" i="14"/>
  <c r="B390" i="1"/>
  <c r="F391" i="1" s="1"/>
  <c r="B14" i="42" s="1"/>
  <c r="I14" i="42" l="1"/>
  <c r="D14" i="42"/>
  <c r="E14" i="42" s="1"/>
  <c r="F14" i="42" s="1"/>
  <c r="H1" i="38"/>
  <c r="G1" i="38"/>
  <c r="D3" i="26"/>
  <c r="G1" i="26" s="1"/>
  <c r="I463" i="14"/>
  <c r="F462" i="14"/>
  <c r="B462" i="14"/>
  <c r="B391" i="1"/>
  <c r="F392" i="1" s="1"/>
  <c r="B15" i="42" s="1"/>
  <c r="D15" i="42" l="1"/>
  <c r="E15" i="42" s="1"/>
  <c r="F15" i="42" s="1"/>
  <c r="I15" i="42"/>
  <c r="H48" i="26"/>
  <c r="H40" i="26"/>
  <c r="H47" i="26"/>
  <c r="H39" i="26"/>
  <c r="H45" i="26"/>
  <c r="H36" i="26"/>
  <c r="H42" i="26"/>
  <c r="H46" i="26"/>
  <c r="H38" i="26"/>
  <c r="H37" i="26"/>
  <c r="H44" i="26"/>
  <c r="H43" i="26"/>
  <c r="H41" i="26"/>
  <c r="J3" i="26"/>
  <c r="F463" i="14"/>
  <c r="I464" i="14"/>
  <c r="B463" i="14"/>
  <c r="B392" i="1"/>
  <c r="F393" i="1" s="1"/>
  <c r="B16" i="42" s="1"/>
  <c r="D16" i="42" l="1"/>
  <c r="E16" i="42" s="1"/>
  <c r="F16" i="42" s="1"/>
  <c r="I16" i="42"/>
  <c r="I465" i="14"/>
  <c r="F464" i="14"/>
  <c r="B464" i="14"/>
  <c r="B393" i="1"/>
  <c r="F394" i="1" s="1"/>
  <c r="B17" i="42" s="1"/>
  <c r="I17" i="42" l="1"/>
  <c r="D17" i="42"/>
  <c r="E17" i="42" s="1"/>
  <c r="F17" i="42" s="1"/>
  <c r="I466" i="14"/>
  <c r="F465" i="14"/>
  <c r="B465" i="14"/>
  <c r="B394" i="1"/>
  <c r="F395" i="1" s="1"/>
  <c r="B18" i="42" s="1"/>
  <c r="D18" i="42" l="1"/>
  <c r="E18" i="42" s="1"/>
  <c r="F18" i="42" s="1"/>
  <c r="I18" i="42"/>
  <c r="F466" i="14"/>
  <c r="I467" i="14"/>
  <c r="B466" i="14"/>
  <c r="B395" i="1"/>
  <c r="F396" i="1" s="1"/>
  <c r="B19" i="42" s="1"/>
  <c r="D19" i="42" l="1"/>
  <c r="E19" i="42" s="1"/>
  <c r="F19" i="42" s="1"/>
  <c r="I19" i="42"/>
  <c r="F467" i="14"/>
  <c r="I468" i="14"/>
  <c r="B467" i="14"/>
  <c r="B396" i="1"/>
  <c r="F397" i="1" s="1"/>
  <c r="B20" i="42" s="1"/>
  <c r="D20" i="42" l="1"/>
  <c r="E20" i="42" s="1"/>
  <c r="F20" i="42" s="1"/>
  <c r="I20" i="42"/>
  <c r="I469" i="14"/>
  <c r="F468" i="14"/>
  <c r="B468" i="14"/>
  <c r="B397" i="1"/>
  <c r="F398" i="1" s="1"/>
  <c r="B21" i="42" s="1"/>
  <c r="D21" i="42" l="1"/>
  <c r="E21" i="42" s="1"/>
  <c r="F21" i="42" s="1"/>
  <c r="I21" i="42"/>
  <c r="I470" i="14"/>
  <c r="F469" i="14"/>
  <c r="B469" i="14"/>
  <c r="B398" i="1"/>
  <c r="F399" i="1" s="1"/>
  <c r="B22" i="42" s="1"/>
  <c r="D22" i="42" l="1"/>
  <c r="E22" i="42" s="1"/>
  <c r="F22" i="42" s="1"/>
  <c r="I22" i="42"/>
  <c r="F470" i="14"/>
  <c r="I471" i="14"/>
  <c r="B470" i="14"/>
  <c r="B399" i="1"/>
  <c r="F400" i="1" s="1"/>
  <c r="B23" i="42" s="1"/>
  <c r="I23" i="42" l="1"/>
  <c r="D23" i="42"/>
  <c r="E23" i="42" s="1"/>
  <c r="F23" i="42" s="1"/>
  <c r="I472" i="14"/>
  <c r="F471" i="14"/>
  <c r="B471" i="14"/>
  <c r="B400" i="1"/>
  <c r="F401" i="1" s="1"/>
  <c r="B24" i="42" s="1"/>
  <c r="I24" i="42" l="1"/>
  <c r="D24" i="42"/>
  <c r="E24" i="42" s="1"/>
  <c r="F24" i="42" s="1"/>
  <c r="D3" i="32"/>
  <c r="J3" i="32" s="1"/>
  <c r="I473" i="14"/>
  <c r="F472" i="14"/>
  <c r="B472" i="14"/>
  <c r="B401" i="1"/>
  <c r="F402" i="1" s="1"/>
  <c r="B25" i="42" s="1"/>
  <c r="D25" i="42" l="1"/>
  <c r="E25" i="42" s="1"/>
  <c r="F25" i="42" s="1"/>
  <c r="I25" i="42"/>
  <c r="I474" i="14"/>
  <c r="F473" i="14"/>
  <c r="B473" i="14"/>
  <c r="B402" i="1"/>
  <c r="F403" i="1" s="1"/>
  <c r="B26" i="42" s="1"/>
  <c r="I26" i="42" l="1"/>
  <c r="D26" i="42"/>
  <c r="E26" i="42" s="1"/>
  <c r="F26" i="42" s="1"/>
  <c r="F474" i="14"/>
  <c r="I475" i="14"/>
  <c r="B474" i="14"/>
  <c r="B403" i="1"/>
  <c r="F404" i="1" s="1"/>
  <c r="B27" i="42" s="1"/>
  <c r="I27" i="42" l="1"/>
  <c r="D27" i="42"/>
  <c r="E27" i="42" s="1"/>
  <c r="F27" i="42" s="1"/>
  <c r="I476" i="14"/>
  <c r="F475" i="14"/>
  <c r="B475" i="14"/>
  <c r="B404" i="1"/>
  <c r="F405" i="1" s="1"/>
  <c r="B28" i="42" s="1"/>
  <c r="D28" i="42" l="1"/>
  <c r="E28" i="42" s="1"/>
  <c r="F28" i="42" s="1"/>
  <c r="I28" i="42"/>
  <c r="I477" i="14"/>
  <c r="F476" i="14"/>
  <c r="B476" i="14"/>
  <c r="B405" i="1"/>
  <c r="F406" i="1" s="1"/>
  <c r="B29" i="42" s="1"/>
  <c r="I29" i="42" l="1"/>
  <c r="D29" i="42"/>
  <c r="E29" i="42" s="1"/>
  <c r="F29" i="42" s="1"/>
  <c r="I478" i="14"/>
  <c r="F477" i="14"/>
  <c r="B477" i="14"/>
  <c r="B406" i="1"/>
  <c r="F407" i="1" s="1"/>
  <c r="B30" i="42" s="1"/>
  <c r="I30" i="42" l="1"/>
  <c r="D30" i="42"/>
  <c r="E30" i="42" s="1"/>
  <c r="F30" i="42" s="1"/>
  <c r="F478" i="14"/>
  <c r="I479" i="14"/>
  <c r="B478" i="14"/>
  <c r="B407" i="1"/>
  <c r="F408" i="1" s="1"/>
  <c r="B31" i="42" s="1"/>
  <c r="D31" i="42" l="1"/>
  <c r="E31" i="42" s="1"/>
  <c r="F31" i="42" s="1"/>
  <c r="I31" i="42"/>
  <c r="I480" i="14"/>
  <c r="F479" i="14"/>
  <c r="B479" i="14"/>
  <c r="B408" i="1"/>
  <c r="F409" i="1" s="1"/>
  <c r="B32" i="42" s="1"/>
  <c r="D32" i="42" l="1"/>
  <c r="E32" i="42" s="1"/>
  <c r="F32" i="42" s="1"/>
  <c r="I32" i="42"/>
  <c r="I481" i="14"/>
  <c r="F480" i="14"/>
  <c r="B480" i="14"/>
  <c r="B409" i="1"/>
  <c r="F410" i="1" s="1"/>
  <c r="B33" i="42" s="1"/>
  <c r="I33" i="42" l="1"/>
  <c r="D33" i="42"/>
  <c r="E33" i="42" s="1"/>
  <c r="F33" i="42" s="1"/>
  <c r="I482" i="14"/>
  <c r="F481" i="14"/>
  <c r="B481" i="14"/>
  <c r="B410" i="1"/>
  <c r="F411" i="1" s="1"/>
  <c r="B34" i="42" s="1"/>
  <c r="D34" i="42" l="1"/>
  <c r="I34" i="42"/>
  <c r="I3" i="42" s="1"/>
  <c r="I483" i="14"/>
  <c r="F482" i="14"/>
  <c r="B482" i="14"/>
  <c r="B411" i="1"/>
  <c r="F412" i="1" s="1"/>
  <c r="D3" i="42" l="1"/>
  <c r="N3" i="42" s="1"/>
  <c r="E34" i="42"/>
  <c r="I1" i="42"/>
  <c r="J7" i="42" s="1"/>
  <c r="J1" i="42"/>
  <c r="F483" i="14"/>
  <c r="I484" i="14"/>
  <c r="B483" i="14"/>
  <c r="B412" i="1"/>
  <c r="F413" i="1" s="1"/>
  <c r="F34" i="42" l="1"/>
  <c r="F3" i="42" s="1"/>
  <c r="E3" i="42"/>
  <c r="J16" i="42"/>
  <c r="J18" i="42"/>
  <c r="J27" i="42"/>
  <c r="J9" i="42"/>
  <c r="J21" i="42"/>
  <c r="J20" i="42"/>
  <c r="J33" i="42"/>
  <c r="J11" i="42"/>
  <c r="J19" i="42"/>
  <c r="J15" i="42"/>
  <c r="J24" i="42"/>
  <c r="J26" i="42"/>
  <c r="J28" i="42"/>
  <c r="J12" i="42"/>
  <c r="J25" i="42"/>
  <c r="J13" i="42"/>
  <c r="J8" i="42"/>
  <c r="J23" i="42"/>
  <c r="J32" i="42"/>
  <c r="J34" i="42"/>
  <c r="J17" i="42"/>
  <c r="J14" i="42"/>
  <c r="J30" i="42"/>
  <c r="J22" i="42"/>
  <c r="J10" i="42"/>
  <c r="J31" i="42"/>
  <c r="J29" i="42"/>
  <c r="F484" i="14"/>
  <c r="I485" i="14"/>
  <c r="B484" i="14"/>
  <c r="B413" i="1"/>
  <c r="F414" i="1" s="1"/>
  <c r="I486" i="14" l="1"/>
  <c r="F485" i="14"/>
  <c r="B485" i="14"/>
  <c r="B414" i="1"/>
  <c r="F415" i="1" s="1"/>
  <c r="I487" i="14" l="1"/>
  <c r="F486" i="14"/>
  <c r="B486" i="14"/>
  <c r="B415" i="1"/>
  <c r="F416" i="1" s="1"/>
  <c r="I488" i="14" l="1"/>
  <c r="F487" i="14"/>
  <c r="B487" i="14"/>
  <c r="B416" i="1"/>
  <c r="F417" i="1" s="1"/>
  <c r="F488" i="14" l="1"/>
  <c r="I489" i="14"/>
  <c r="B488" i="14"/>
  <c r="B417" i="1"/>
  <c r="F418" i="1" s="1"/>
  <c r="I490" i="14" l="1"/>
  <c r="F489" i="14"/>
  <c r="B489" i="14"/>
  <c r="B418" i="1"/>
  <c r="F419" i="1" s="1"/>
  <c r="F490" i="14" l="1"/>
  <c r="I491" i="14"/>
  <c r="B490" i="14"/>
  <c r="B419" i="1"/>
  <c r="F420" i="1" s="1"/>
  <c r="F491" i="14" l="1"/>
  <c r="I492" i="14"/>
  <c r="B491" i="14"/>
  <c r="B420" i="1"/>
  <c r="F421" i="1" s="1"/>
  <c r="F492" i="14" l="1"/>
  <c r="I493" i="14"/>
  <c r="B492" i="14"/>
  <c r="B421" i="1"/>
  <c r="F422" i="1" s="1"/>
  <c r="I494" i="14" l="1"/>
  <c r="F493" i="14"/>
  <c r="B493" i="14"/>
  <c r="B422" i="1"/>
  <c r="F423" i="1" s="1"/>
  <c r="I495" i="14" l="1"/>
  <c r="F494" i="14"/>
  <c r="B494" i="14"/>
  <c r="B423" i="1"/>
  <c r="F424" i="1" s="1"/>
  <c r="I496" i="14" l="1"/>
  <c r="F495" i="14"/>
  <c r="B495" i="14"/>
  <c r="B424" i="1"/>
  <c r="F425" i="1" s="1"/>
  <c r="I497" i="14" l="1"/>
  <c r="F496" i="14"/>
  <c r="B496" i="14"/>
  <c r="B425" i="1"/>
  <c r="F426" i="1" s="1"/>
  <c r="I498" i="14" l="1"/>
  <c r="F497" i="14"/>
  <c r="B497" i="14"/>
  <c r="B426" i="1"/>
  <c r="F427" i="1" s="1"/>
  <c r="F498" i="14" l="1"/>
  <c r="I499" i="14"/>
  <c r="B498" i="14"/>
  <c r="B427" i="1"/>
  <c r="F428" i="1" s="1"/>
  <c r="I500" i="14" l="1"/>
  <c r="F499" i="14"/>
  <c r="B499" i="14"/>
  <c r="B428" i="1"/>
  <c r="F429" i="1" s="1"/>
  <c r="I501" i="14" l="1"/>
  <c r="F500" i="14"/>
  <c r="B500" i="14"/>
  <c r="B429" i="1"/>
  <c r="F430" i="1" s="1"/>
  <c r="I502" i="14" l="1"/>
  <c r="F501" i="14"/>
  <c r="B501" i="14"/>
  <c r="B430" i="1"/>
  <c r="F431" i="1" s="1"/>
  <c r="F502" i="14" l="1"/>
  <c r="I503" i="14"/>
  <c r="B502" i="14"/>
  <c r="B431" i="1"/>
  <c r="F432" i="1" s="1"/>
  <c r="I504" i="14" l="1"/>
  <c r="F503" i="14"/>
  <c r="B503" i="14"/>
  <c r="B432" i="1"/>
  <c r="F433" i="1" s="1"/>
  <c r="I505" i="14" l="1"/>
  <c r="F504" i="14"/>
  <c r="B504" i="14"/>
  <c r="B433" i="1"/>
  <c r="F434" i="1" s="1"/>
  <c r="I506" i="14" l="1"/>
  <c r="F505" i="14"/>
  <c r="B505" i="14"/>
  <c r="B434" i="1"/>
  <c r="F435" i="1" s="1"/>
  <c r="F506" i="14" l="1"/>
  <c r="I507" i="14"/>
  <c r="B506" i="14"/>
  <c r="B435" i="1"/>
  <c r="F436" i="1" s="1"/>
  <c r="F507" i="14" l="1"/>
  <c r="I508" i="14"/>
  <c r="B507" i="14"/>
  <c r="B436" i="1"/>
  <c r="F437" i="1" s="1"/>
  <c r="I509" i="14" l="1"/>
  <c r="F508" i="14"/>
  <c r="B508" i="14"/>
  <c r="B437" i="1"/>
  <c r="F438" i="1" s="1"/>
  <c r="I510" i="14" l="1"/>
  <c r="F509" i="14"/>
  <c r="B509" i="14"/>
  <c r="B438" i="1"/>
  <c r="F439" i="1" s="1"/>
  <c r="I511" i="14" l="1"/>
  <c r="F510" i="14"/>
  <c r="B510" i="14"/>
  <c r="B439" i="1"/>
  <c r="F440" i="1" s="1"/>
  <c r="I512" i="14" l="1"/>
  <c r="F511" i="14"/>
  <c r="B511" i="14"/>
  <c r="B440" i="1"/>
  <c r="F441" i="1" s="1"/>
  <c r="I513" i="14" l="1"/>
  <c r="F512" i="14"/>
  <c r="B512" i="14"/>
  <c r="B441" i="1"/>
  <c r="F442" i="1" s="1"/>
  <c r="I514" i="14" l="1"/>
  <c r="F513" i="14"/>
  <c r="B513" i="14"/>
  <c r="B442" i="1"/>
  <c r="F443" i="1" s="1"/>
  <c r="F514" i="14" l="1"/>
  <c r="I515" i="14"/>
  <c r="B514" i="14"/>
  <c r="B443" i="1"/>
  <c r="F444" i="1" s="1"/>
  <c r="I516" i="14" l="1"/>
  <c r="F515" i="14"/>
  <c r="B515" i="14"/>
  <c r="B444" i="1"/>
  <c r="F445" i="1" s="1"/>
  <c r="I517" i="14" l="1"/>
  <c r="F516" i="14"/>
  <c r="B516" i="14"/>
  <c r="B445" i="1"/>
  <c r="F446" i="1" s="1"/>
  <c r="F517" i="14" l="1"/>
  <c r="I518" i="14"/>
  <c r="B517" i="14"/>
  <c r="B446" i="1"/>
  <c r="F447" i="1" s="1"/>
  <c r="F518" i="14" l="1"/>
  <c r="I519" i="14"/>
  <c r="B518" i="14"/>
  <c r="B447" i="1"/>
  <c r="F448" i="1" s="1"/>
  <c r="I520" i="14" l="1"/>
  <c r="F519" i="14"/>
  <c r="B519" i="14"/>
  <c r="B448" i="1"/>
  <c r="F449" i="1" s="1"/>
  <c r="F520" i="14" l="1"/>
  <c r="I521" i="14"/>
  <c r="B520" i="14"/>
  <c r="B449" i="1"/>
  <c r="F450" i="1" s="1"/>
  <c r="I522" i="14" l="1"/>
  <c r="F521" i="14"/>
  <c r="B521" i="14"/>
  <c r="B450" i="1"/>
  <c r="F451" i="1" s="1"/>
  <c r="I523" i="14" l="1"/>
  <c r="F522" i="14"/>
  <c r="B522" i="14"/>
  <c r="B451" i="1"/>
  <c r="F452" i="1" s="1"/>
  <c r="F523" i="14" l="1"/>
  <c r="I524" i="14"/>
  <c r="B523" i="14"/>
  <c r="B452" i="1"/>
  <c r="F453" i="1" s="1"/>
  <c r="I525" i="14" l="1"/>
  <c r="F524" i="14"/>
  <c r="B524" i="14"/>
  <c r="B453" i="1"/>
  <c r="F454" i="1" s="1"/>
  <c r="I526" i="14" l="1"/>
  <c r="F525" i="14"/>
  <c r="B525" i="14"/>
  <c r="B454" i="1"/>
  <c r="F455" i="1" s="1"/>
  <c r="F526" i="14" l="1"/>
  <c r="I527" i="14"/>
  <c r="B526" i="14"/>
  <c r="B455" i="1"/>
  <c r="F456" i="1" s="1"/>
  <c r="I528" i="14" l="1"/>
  <c r="F527" i="14"/>
  <c r="B527" i="14"/>
  <c r="B456" i="1"/>
  <c r="F457" i="1" s="1"/>
  <c r="I529" i="14" l="1"/>
  <c r="F528" i="14"/>
  <c r="B528" i="14"/>
  <c r="B457" i="1"/>
  <c r="F458" i="1" s="1"/>
  <c r="I530" i="14" l="1"/>
  <c r="F529" i="14"/>
  <c r="B529" i="14"/>
  <c r="B458" i="1"/>
  <c r="F459" i="1" s="1"/>
  <c r="I531" i="14" l="1"/>
  <c r="F530" i="14"/>
  <c r="B530" i="14"/>
  <c r="B459" i="1"/>
  <c r="F460" i="1" s="1"/>
  <c r="I532" i="14" l="1"/>
  <c r="F531" i="14"/>
  <c r="B531" i="14"/>
  <c r="B460" i="1"/>
  <c r="F461" i="1" s="1"/>
  <c r="F532" i="14" l="1"/>
  <c r="I533" i="14"/>
  <c r="B532" i="14"/>
  <c r="B461" i="1"/>
  <c r="F462" i="1" s="1"/>
  <c r="I534" i="14" l="1"/>
  <c r="F533" i="14"/>
  <c r="B533" i="14"/>
  <c r="B462" i="1"/>
  <c r="F463" i="1" s="1"/>
  <c r="I535" i="14" l="1"/>
  <c r="F534" i="14"/>
  <c r="B534" i="14"/>
  <c r="B463" i="1"/>
  <c r="F464" i="1" s="1"/>
  <c r="F535" i="14" l="1"/>
  <c r="I536" i="14"/>
  <c r="B535" i="14"/>
  <c r="B464" i="1"/>
  <c r="F465" i="1" s="1"/>
  <c r="F536" i="14" l="1"/>
  <c r="I537" i="14"/>
  <c r="B536" i="14"/>
  <c r="B465" i="1"/>
  <c r="F466" i="1" s="1"/>
  <c r="I538" i="14" l="1"/>
  <c r="F537" i="14"/>
  <c r="B537" i="14"/>
  <c r="B466" i="1"/>
  <c r="F467" i="1" s="1"/>
  <c r="F538" i="14" l="1"/>
  <c r="I539" i="14"/>
  <c r="B538" i="14"/>
  <c r="B467" i="1"/>
  <c r="F468" i="1" s="1"/>
  <c r="I540" i="14" l="1"/>
  <c r="F539" i="14"/>
  <c r="B539" i="14"/>
  <c r="B468" i="1"/>
  <c r="F469" i="1" s="1"/>
  <c r="I541" i="14" l="1"/>
  <c r="F540" i="14"/>
  <c r="B540" i="14"/>
  <c r="B469" i="1"/>
  <c r="F470" i="1" s="1"/>
  <c r="F541" i="14" l="1"/>
  <c r="I542" i="14"/>
  <c r="B541" i="14"/>
  <c r="B470" i="1"/>
  <c r="F471" i="1" s="1"/>
  <c r="I543" i="14" l="1"/>
  <c r="F542" i="14"/>
  <c r="B542" i="14"/>
  <c r="B471" i="1"/>
  <c r="F472" i="1" s="1"/>
  <c r="I544" i="14" l="1"/>
  <c r="F543" i="14"/>
  <c r="B543" i="14"/>
  <c r="B472" i="1"/>
  <c r="F473" i="1" s="1"/>
  <c r="F544" i="14" l="1"/>
  <c r="I545" i="14"/>
  <c r="B544" i="14"/>
  <c r="B473" i="1"/>
  <c r="F474" i="1" s="1"/>
  <c r="I546" i="14" l="1"/>
  <c r="F545" i="14"/>
  <c r="B545" i="14"/>
  <c r="B474" i="1"/>
  <c r="F475" i="1" s="1"/>
  <c r="I547" i="14" l="1"/>
  <c r="F546" i="14"/>
  <c r="B546" i="14"/>
  <c r="B475" i="1"/>
  <c r="F476" i="1" s="1"/>
  <c r="I548" i="14" l="1"/>
  <c r="F547" i="14"/>
  <c r="B547" i="14"/>
  <c r="B476" i="1"/>
  <c r="F477" i="1" s="1"/>
  <c r="I549" i="14" l="1"/>
  <c r="F548" i="14"/>
  <c r="B548" i="14"/>
  <c r="B477" i="1"/>
  <c r="F478" i="1" s="1"/>
  <c r="I550" i="14" l="1"/>
  <c r="F549" i="14"/>
  <c r="B549" i="14"/>
  <c r="B478" i="1"/>
  <c r="F479" i="1" s="1"/>
  <c r="F550" i="14" l="1"/>
  <c r="I551" i="14"/>
  <c r="B550" i="14"/>
  <c r="B479" i="1"/>
  <c r="F480" i="1" s="1"/>
  <c r="I552" i="14" l="1"/>
  <c r="F551" i="14"/>
  <c r="B551" i="14"/>
  <c r="B480" i="1"/>
  <c r="F481" i="1" s="1"/>
  <c r="I553" i="14" l="1"/>
  <c r="F552" i="14"/>
  <c r="B552" i="14"/>
  <c r="B481" i="1"/>
  <c r="F482" i="1" s="1"/>
  <c r="I554" i="14" l="1"/>
  <c r="F553" i="14"/>
  <c r="B553" i="14"/>
  <c r="B482" i="1"/>
  <c r="F483" i="1" s="1"/>
  <c r="I555" i="14" l="1"/>
  <c r="F554" i="14"/>
  <c r="B554" i="14"/>
  <c r="B483" i="1"/>
  <c r="F484" i="1" s="1"/>
  <c r="F555" i="14" l="1"/>
  <c r="I556" i="14"/>
  <c r="B555" i="14"/>
  <c r="B484" i="1"/>
  <c r="F485" i="1" s="1"/>
  <c r="F556" i="14" l="1"/>
  <c r="I557" i="14"/>
  <c r="B556" i="14"/>
  <c r="B485" i="1"/>
  <c r="F486" i="1" s="1"/>
  <c r="I558" i="14" l="1"/>
  <c r="F557" i="14"/>
  <c r="B557" i="14"/>
  <c r="B486" i="1"/>
  <c r="F487" i="1" s="1"/>
  <c r="I559" i="14" l="1"/>
  <c r="F558" i="14"/>
  <c r="B558" i="14"/>
  <c r="B487" i="1"/>
  <c r="F488" i="1" s="1"/>
  <c r="F559" i="14" l="1"/>
  <c r="I560" i="14"/>
  <c r="B559" i="14"/>
  <c r="B488" i="1"/>
  <c r="F489" i="1" s="1"/>
  <c r="I561" i="14" l="1"/>
  <c r="F560" i="14"/>
  <c r="B560" i="14"/>
  <c r="B489" i="1"/>
  <c r="F490" i="1" s="1"/>
  <c r="I562" i="14" l="1"/>
  <c r="F561" i="14"/>
  <c r="B561" i="14"/>
  <c r="B490" i="1"/>
  <c r="F491" i="1" s="1"/>
  <c r="F562" i="14" l="1"/>
  <c r="I563" i="14"/>
  <c r="B562" i="14"/>
  <c r="B491" i="1"/>
  <c r="F492" i="1" s="1"/>
  <c r="I564" i="14" l="1"/>
  <c r="F563" i="14"/>
  <c r="B563" i="14"/>
  <c r="B492" i="1"/>
  <c r="F493" i="1" s="1"/>
  <c r="I565" i="14" l="1"/>
  <c r="F564" i="14"/>
  <c r="B564" i="14"/>
  <c r="B493" i="1"/>
  <c r="F494" i="1" s="1"/>
  <c r="I566" i="14" l="1"/>
  <c r="F565" i="14"/>
  <c r="B565" i="14"/>
  <c r="B494" i="1"/>
  <c r="F495" i="1" s="1"/>
  <c r="F566" i="14" l="1"/>
  <c r="I567" i="14"/>
  <c r="B566" i="14"/>
  <c r="B495" i="1"/>
  <c r="F496" i="1" s="1"/>
  <c r="I568" i="14" l="1"/>
  <c r="F567" i="14"/>
  <c r="B567" i="14"/>
  <c r="B496" i="1"/>
  <c r="F497" i="1" s="1"/>
  <c r="I569" i="14" l="1"/>
  <c r="F568" i="14"/>
  <c r="B568" i="14"/>
  <c r="B497" i="1"/>
  <c r="F498" i="1" s="1"/>
  <c r="I570" i="14" l="1"/>
  <c r="F569" i="14"/>
  <c r="B569" i="14"/>
  <c r="B498" i="1"/>
  <c r="F499" i="1" s="1"/>
  <c r="F570" i="14" l="1"/>
  <c r="I571" i="14"/>
  <c r="B570" i="14"/>
  <c r="B499" i="1"/>
  <c r="F500" i="1" s="1"/>
  <c r="F571" i="14" l="1"/>
  <c r="I572" i="14"/>
  <c r="B571" i="14"/>
  <c r="B500" i="1"/>
  <c r="F501" i="1" s="1"/>
  <c r="I573" i="14" l="1"/>
  <c r="F572" i="14"/>
  <c r="B572" i="14"/>
  <c r="B501" i="1"/>
  <c r="F502" i="1" s="1"/>
  <c r="I574" i="14" l="1"/>
  <c r="F573" i="14"/>
  <c r="B573" i="14"/>
  <c r="B502" i="1"/>
  <c r="F503" i="1" s="1"/>
  <c r="F574" i="14" l="1"/>
  <c r="I575" i="14"/>
  <c r="B574" i="14"/>
  <c r="B503" i="1"/>
  <c r="F504" i="1" s="1"/>
  <c r="F575" i="14" l="1"/>
  <c r="I576" i="14"/>
  <c r="B575" i="14"/>
  <c r="B504" i="1"/>
  <c r="F505" i="1" s="1"/>
  <c r="I577" i="14" l="1"/>
  <c r="F576" i="14"/>
  <c r="B576" i="14"/>
  <c r="B505" i="1"/>
  <c r="F506" i="1" s="1"/>
  <c r="I578" i="14" l="1"/>
  <c r="F577" i="14"/>
  <c r="B577" i="14"/>
  <c r="B506" i="1"/>
  <c r="F507" i="1" s="1"/>
  <c r="F578" i="14" l="1"/>
  <c r="I579" i="14"/>
  <c r="B578" i="14"/>
  <c r="B507" i="1"/>
  <c r="F508" i="1" s="1"/>
  <c r="I580" i="14" l="1"/>
  <c r="F579" i="14"/>
  <c r="B579" i="14"/>
  <c r="B508" i="1"/>
  <c r="F509" i="1" s="1"/>
  <c r="I581" i="14" l="1"/>
  <c r="F580" i="14"/>
  <c r="B580" i="14"/>
  <c r="B509" i="1"/>
  <c r="F510" i="1" s="1"/>
  <c r="I582" i="14" l="1"/>
  <c r="F581" i="14"/>
  <c r="B581" i="14"/>
  <c r="B510" i="1"/>
  <c r="F511" i="1" s="1"/>
  <c r="I583" i="14" l="1"/>
  <c r="F582" i="14"/>
  <c r="B582" i="14"/>
  <c r="B511" i="1"/>
  <c r="F512" i="1" s="1"/>
  <c r="I584" i="14" l="1"/>
  <c r="F583" i="14"/>
  <c r="B583" i="14"/>
  <c r="B512" i="1"/>
  <c r="F513" i="1" s="1"/>
  <c r="F584" i="14" l="1"/>
  <c r="I585" i="14"/>
  <c r="B584" i="14"/>
  <c r="B513" i="1"/>
  <c r="F514" i="1" s="1"/>
  <c r="I586" i="14" l="1"/>
  <c r="F585" i="14"/>
  <c r="B585" i="14"/>
  <c r="B514" i="1"/>
  <c r="F515" i="1" s="1"/>
  <c r="F586" i="14" l="1"/>
  <c r="I587" i="14"/>
  <c r="B586" i="14"/>
  <c r="B515" i="1"/>
  <c r="F516" i="1" s="1"/>
  <c r="I588" i="14" l="1"/>
  <c r="F587" i="14"/>
  <c r="B587" i="14"/>
  <c r="B516" i="1"/>
  <c r="F517" i="1" s="1"/>
  <c r="I589" i="14" l="1"/>
  <c r="F588" i="14"/>
  <c r="B588" i="14"/>
  <c r="B517" i="1"/>
  <c r="F518" i="1" s="1"/>
  <c r="I590" i="14" l="1"/>
  <c r="F589" i="14"/>
  <c r="B589" i="14"/>
  <c r="B518" i="1"/>
  <c r="F519" i="1" s="1"/>
  <c r="I591" i="14" l="1"/>
  <c r="F590" i="14"/>
  <c r="B590" i="14"/>
  <c r="B519" i="1"/>
  <c r="F520" i="1" s="1"/>
  <c r="I592" i="14" l="1"/>
  <c r="F591" i="14"/>
  <c r="B591" i="14"/>
  <c r="B520" i="1"/>
  <c r="F521" i="1" s="1"/>
  <c r="F592" i="14" l="1"/>
  <c r="I593" i="14"/>
  <c r="B592" i="14"/>
  <c r="B521" i="1"/>
  <c r="F522" i="1" s="1"/>
  <c r="I594" i="14" l="1"/>
  <c r="F593" i="14"/>
  <c r="B593" i="14"/>
  <c r="B522" i="1"/>
  <c r="F523" i="1" s="1"/>
  <c r="F594" i="14" l="1"/>
  <c r="I595" i="14"/>
  <c r="B594" i="14"/>
  <c r="B523" i="1"/>
  <c r="F524" i="1" s="1"/>
  <c r="I596" i="14" l="1"/>
  <c r="F595" i="14"/>
  <c r="B595" i="14"/>
  <c r="B524" i="1"/>
  <c r="F525" i="1" s="1"/>
  <c r="I597" i="14" l="1"/>
  <c r="F596" i="14"/>
  <c r="B596" i="14"/>
  <c r="B525" i="1"/>
  <c r="F526" i="1" s="1"/>
  <c r="I598" i="14" l="1"/>
  <c r="F597" i="14"/>
  <c r="B597" i="14"/>
  <c r="B526" i="1"/>
  <c r="F527" i="1" s="1"/>
  <c r="F598" i="14" l="1"/>
  <c r="I599" i="14"/>
  <c r="B598" i="14"/>
  <c r="B527" i="1"/>
  <c r="F528" i="1" s="1"/>
  <c r="I600" i="14" l="1"/>
  <c r="F599" i="14"/>
  <c r="B599" i="14"/>
  <c r="B528" i="1"/>
  <c r="F529" i="1" s="1"/>
  <c r="F600" i="14" l="1"/>
  <c r="I601" i="14"/>
  <c r="B600" i="14"/>
  <c r="B529" i="1"/>
  <c r="F530" i="1" s="1"/>
  <c r="I602" i="14" l="1"/>
  <c r="F601" i="14"/>
  <c r="B601" i="14"/>
  <c r="B530" i="1"/>
  <c r="F531" i="1" s="1"/>
  <c r="I603" i="14" l="1"/>
  <c r="F602" i="14"/>
  <c r="B602" i="14"/>
  <c r="B531" i="1"/>
  <c r="F532" i="1" s="1"/>
  <c r="I604" i="14" l="1"/>
  <c r="F603" i="14"/>
  <c r="B603" i="14"/>
  <c r="B532" i="1"/>
  <c r="F533" i="1" s="1"/>
  <c r="I605" i="14" l="1"/>
  <c r="F604" i="14"/>
  <c r="B604" i="14"/>
  <c r="B533" i="1"/>
  <c r="F534" i="1" s="1"/>
  <c r="I606" i="14" l="1"/>
  <c r="F605" i="14"/>
  <c r="B605" i="14"/>
  <c r="B534" i="1"/>
  <c r="F535" i="1" s="1"/>
  <c r="I607" i="14" l="1"/>
  <c r="F606" i="14"/>
  <c r="B606" i="14"/>
  <c r="B535" i="1"/>
  <c r="F536" i="1" s="1"/>
  <c r="I608" i="14" l="1"/>
  <c r="F607" i="14"/>
  <c r="B607" i="14"/>
  <c r="B536" i="1"/>
  <c r="F537" i="1" s="1"/>
  <c r="F608" i="14" l="1"/>
  <c r="I609" i="14"/>
  <c r="B608" i="14"/>
  <c r="B537" i="1"/>
  <c r="F538" i="1" s="1"/>
  <c r="I610" i="14" l="1"/>
  <c r="F609" i="14"/>
  <c r="B609" i="14"/>
  <c r="B538" i="1"/>
  <c r="F539" i="1" s="1"/>
  <c r="F610" i="14" l="1"/>
  <c r="I611" i="14"/>
  <c r="B610" i="14"/>
  <c r="B539" i="1"/>
  <c r="F540" i="1" s="1"/>
  <c r="F611" i="14" l="1"/>
  <c r="I612" i="14"/>
  <c r="B611" i="14"/>
  <c r="B540" i="1"/>
  <c r="F541" i="1" s="1"/>
  <c r="I613" i="14" l="1"/>
  <c r="F612" i="14"/>
  <c r="B612" i="14"/>
  <c r="B541" i="1"/>
  <c r="F542" i="1" s="1"/>
  <c r="F613" i="14" l="1"/>
  <c r="I614" i="14"/>
  <c r="B613" i="14"/>
  <c r="B542" i="1"/>
  <c r="F543" i="1" s="1"/>
  <c r="I615" i="14" l="1"/>
  <c r="F614" i="14"/>
  <c r="B614" i="14"/>
  <c r="B543" i="1"/>
  <c r="F544" i="1" s="1"/>
  <c r="I616" i="14" l="1"/>
  <c r="F615" i="14"/>
  <c r="B615" i="14"/>
  <c r="B544" i="1"/>
  <c r="F545" i="1" s="1"/>
  <c r="I617" i="14" l="1"/>
  <c r="F616" i="14"/>
  <c r="B616" i="14"/>
  <c r="B545" i="1"/>
  <c r="F546" i="1" s="1"/>
  <c r="I618" i="14" l="1"/>
  <c r="F617" i="14"/>
  <c r="B617" i="14"/>
  <c r="B546" i="1"/>
  <c r="F547" i="1" s="1"/>
  <c r="I619" i="14" l="1"/>
  <c r="F618" i="14"/>
  <c r="B618" i="14"/>
  <c r="B547" i="1"/>
  <c r="F548" i="1" s="1"/>
  <c r="I620" i="14" l="1"/>
  <c r="F619" i="14"/>
  <c r="B619" i="14"/>
  <c r="B548" i="1"/>
  <c r="F549" i="1" s="1"/>
  <c r="I621" i="14" l="1"/>
  <c r="F620" i="14"/>
  <c r="B620" i="14"/>
  <c r="B549" i="1"/>
  <c r="F550" i="1" s="1"/>
  <c r="I622" i="14" l="1"/>
  <c r="F621" i="14"/>
  <c r="B621" i="14"/>
  <c r="B550" i="1"/>
  <c r="F551" i="1" s="1"/>
  <c r="F622" i="14" l="1"/>
  <c r="I623" i="14"/>
  <c r="B622" i="14"/>
  <c r="B551" i="1"/>
  <c r="F552" i="1" s="1"/>
  <c r="I624" i="14" l="1"/>
  <c r="F623" i="14"/>
  <c r="B623" i="14"/>
  <c r="B552" i="1"/>
  <c r="F553" i="1" s="1"/>
  <c r="F624" i="14" l="1"/>
  <c r="I625" i="14"/>
  <c r="B624" i="14"/>
  <c r="B553" i="1"/>
  <c r="F554" i="1" s="1"/>
  <c r="I626" i="14" l="1"/>
  <c r="F625" i="14"/>
  <c r="B625" i="14"/>
  <c r="B554" i="1"/>
  <c r="F555" i="1" s="1"/>
  <c r="I627" i="14" l="1"/>
  <c r="F626" i="14"/>
  <c r="B626" i="14"/>
  <c r="B555" i="1"/>
  <c r="F556" i="1" s="1"/>
  <c r="I628" i="14" l="1"/>
  <c r="F627" i="14"/>
  <c r="B627" i="14"/>
  <c r="B556" i="1"/>
  <c r="F557" i="1" s="1"/>
  <c r="I629" i="14" l="1"/>
  <c r="F628" i="14"/>
  <c r="B628" i="14"/>
  <c r="B557" i="1"/>
  <c r="F558" i="1" s="1"/>
  <c r="I630" i="14" l="1"/>
  <c r="F629" i="14"/>
  <c r="B629" i="14"/>
  <c r="B558" i="1"/>
  <c r="F559" i="1" s="1"/>
  <c r="I631" i="14" l="1"/>
  <c r="F630" i="14"/>
  <c r="B630" i="14"/>
  <c r="B559" i="1"/>
  <c r="F560" i="1" s="1"/>
  <c r="I632" i="14" l="1"/>
  <c r="F631" i="14"/>
  <c r="B631" i="14"/>
  <c r="B560" i="1"/>
  <c r="F561" i="1" s="1"/>
  <c r="I633" i="14" l="1"/>
  <c r="F632" i="14"/>
  <c r="B632" i="14"/>
  <c r="B561" i="1"/>
  <c r="F562" i="1" s="1"/>
  <c r="I634" i="14" l="1"/>
  <c r="F633" i="14"/>
  <c r="B633" i="14"/>
  <c r="B562" i="1"/>
  <c r="F563" i="1" s="1"/>
  <c r="F634" i="14" l="1"/>
  <c r="I635" i="14"/>
  <c r="B634" i="14"/>
  <c r="B563" i="1"/>
  <c r="F564" i="1" s="1"/>
  <c r="I636" i="14" l="1"/>
  <c r="F635" i="14"/>
  <c r="B635" i="14"/>
  <c r="B564" i="1"/>
  <c r="F565" i="1" s="1"/>
  <c r="I637" i="14" l="1"/>
  <c r="F636" i="14"/>
  <c r="B636" i="14"/>
  <c r="B565" i="1"/>
  <c r="F566" i="1" s="1"/>
  <c r="F637" i="14" l="1"/>
  <c r="I638" i="14"/>
  <c r="B637" i="14"/>
  <c r="B566" i="1"/>
  <c r="F567" i="1" s="1"/>
  <c r="F638" i="14" l="1"/>
  <c r="I639" i="14"/>
  <c r="B638" i="14"/>
  <c r="B567" i="1"/>
  <c r="F568" i="1" s="1"/>
  <c r="F639" i="14" l="1"/>
  <c r="I640" i="14"/>
  <c r="B639" i="14"/>
  <c r="B568" i="1"/>
  <c r="F569" i="1" s="1"/>
  <c r="I641" i="14" l="1"/>
  <c r="F640" i="14"/>
  <c r="B640" i="14"/>
  <c r="B569" i="1"/>
  <c r="F570" i="1" s="1"/>
  <c r="I642" i="14" l="1"/>
  <c r="F641" i="14"/>
  <c r="B641" i="14"/>
  <c r="B570" i="1"/>
  <c r="F571" i="1" s="1"/>
  <c r="F642" i="14" l="1"/>
  <c r="I643" i="14"/>
  <c r="B642" i="14"/>
  <c r="B571" i="1"/>
  <c r="F572" i="1" s="1"/>
  <c r="I644" i="14" l="1"/>
  <c r="F643" i="14"/>
  <c r="B643" i="14"/>
  <c r="B572" i="1"/>
  <c r="F573" i="1" s="1"/>
  <c r="I645" i="14" l="1"/>
  <c r="F644" i="14"/>
  <c r="B644" i="14"/>
  <c r="B573" i="1"/>
  <c r="F574" i="1" s="1"/>
  <c r="I646" i="14" l="1"/>
  <c r="F645" i="14"/>
  <c r="B645" i="14"/>
  <c r="B574" i="1"/>
  <c r="F575" i="1" s="1"/>
  <c r="F646" i="14" l="1"/>
  <c r="I647" i="14"/>
  <c r="B646" i="14"/>
  <c r="B575" i="1"/>
  <c r="F576" i="1" s="1"/>
  <c r="I648" i="14" l="1"/>
  <c r="F647" i="14"/>
  <c r="B647" i="14"/>
  <c r="B576" i="1"/>
  <c r="F577" i="1" s="1"/>
  <c r="I649" i="14" l="1"/>
  <c r="F648" i="14"/>
  <c r="B648" i="14"/>
  <c r="B577" i="1"/>
  <c r="F578" i="1" s="1"/>
  <c r="I650" i="14" l="1"/>
  <c r="F649" i="14"/>
  <c r="B649" i="14"/>
  <c r="B578" i="1"/>
  <c r="F579" i="1" s="1"/>
  <c r="I651" i="14" l="1"/>
  <c r="F650" i="14"/>
  <c r="B650" i="14"/>
  <c r="B579" i="1"/>
  <c r="F580" i="1" s="1"/>
  <c r="I652" i="14" l="1"/>
  <c r="F651" i="14"/>
  <c r="B651" i="14"/>
  <c r="B580" i="1"/>
  <c r="F581" i="1" s="1"/>
  <c r="I653" i="14" l="1"/>
  <c r="F652" i="14"/>
  <c r="B652" i="14"/>
  <c r="B581" i="1"/>
  <c r="F582" i="1" s="1"/>
  <c r="I654" i="14" l="1"/>
  <c r="F653" i="14"/>
  <c r="B653" i="14"/>
  <c r="B582" i="1"/>
  <c r="F583" i="1" s="1"/>
  <c r="I655" i="14" l="1"/>
  <c r="F654" i="14"/>
  <c r="B654" i="14"/>
  <c r="B583" i="1"/>
  <c r="F584" i="1" s="1"/>
  <c r="I656" i="14" l="1"/>
  <c r="F655" i="14"/>
  <c r="B655" i="14"/>
  <c r="B584" i="1"/>
  <c r="F585" i="1" s="1"/>
  <c r="F656" i="14" l="1"/>
  <c r="I657" i="14"/>
  <c r="B656" i="14"/>
  <c r="B585" i="1"/>
  <c r="F586" i="1" s="1"/>
  <c r="I658" i="14" l="1"/>
  <c r="F657" i="14"/>
  <c r="B657" i="14"/>
  <c r="B586" i="1"/>
  <c r="F587" i="1" s="1"/>
  <c r="F658" i="14" l="1"/>
  <c r="I659" i="14"/>
  <c r="B658" i="14"/>
  <c r="B587" i="1"/>
  <c r="F588" i="1" s="1"/>
  <c r="I660" i="14" l="1"/>
  <c r="F659" i="14"/>
  <c r="B659" i="14"/>
  <c r="B588" i="1"/>
  <c r="F589" i="1" s="1"/>
  <c r="F660" i="14" l="1"/>
  <c r="I661" i="14"/>
  <c r="B660" i="14"/>
  <c r="B589" i="1"/>
  <c r="F590" i="1" s="1"/>
  <c r="F661" i="14" l="1"/>
  <c r="I662" i="14"/>
  <c r="B661" i="14"/>
  <c r="B590" i="1"/>
  <c r="F591" i="1" s="1"/>
  <c r="I663" i="14" l="1"/>
  <c r="F662" i="14"/>
  <c r="B662" i="14"/>
  <c r="B591" i="1"/>
  <c r="F592" i="1" s="1"/>
  <c r="I664" i="14" l="1"/>
  <c r="F663" i="14"/>
  <c r="B663" i="14"/>
  <c r="B592" i="1"/>
  <c r="F593" i="1" s="1"/>
  <c r="I665" i="14" l="1"/>
  <c r="F664" i="14"/>
  <c r="B664" i="14"/>
  <c r="B593" i="1"/>
  <c r="F594" i="1" s="1"/>
  <c r="I666" i="14" l="1"/>
  <c r="F665" i="14"/>
  <c r="B665" i="14"/>
  <c r="B594" i="1"/>
  <c r="F595" i="1" s="1"/>
  <c r="I667" i="14" l="1"/>
  <c r="F666" i="14"/>
  <c r="B666" i="14"/>
  <c r="B595" i="1"/>
  <c r="F596" i="1" s="1"/>
  <c r="I668" i="14" l="1"/>
  <c r="F667" i="14"/>
  <c r="B667" i="14"/>
  <c r="B596" i="1"/>
  <c r="F597" i="1" s="1"/>
  <c r="I669" i="14" l="1"/>
  <c r="F668" i="14"/>
  <c r="B668" i="14"/>
  <c r="B597" i="1"/>
  <c r="F598" i="1" s="1"/>
  <c r="I670" i="14" l="1"/>
  <c r="F669" i="14"/>
  <c r="B669" i="14"/>
  <c r="B598" i="1"/>
  <c r="F599" i="1" s="1"/>
  <c r="F670" i="14" l="1"/>
  <c r="I671" i="14"/>
  <c r="B670" i="14"/>
  <c r="B599" i="1"/>
  <c r="F600" i="1" s="1"/>
  <c r="I672" i="14" l="1"/>
  <c r="F671" i="14"/>
  <c r="B671" i="14"/>
  <c r="B600" i="1"/>
  <c r="F601" i="1" s="1"/>
  <c r="I673" i="14" l="1"/>
  <c r="F672" i="14"/>
  <c r="B672" i="14"/>
  <c r="B601" i="1"/>
  <c r="F602" i="1" s="1"/>
  <c r="I674" i="14" l="1"/>
  <c r="F673" i="14"/>
  <c r="B673" i="14"/>
  <c r="B602" i="1"/>
  <c r="F603" i="1" s="1"/>
  <c r="I675" i="14" l="1"/>
  <c r="F674" i="14"/>
  <c r="B674" i="14"/>
  <c r="B603" i="1"/>
  <c r="F604" i="1" s="1"/>
  <c r="I676" i="14" l="1"/>
  <c r="F675" i="14"/>
  <c r="B675" i="14"/>
  <c r="B604" i="1"/>
  <c r="F605" i="1" s="1"/>
  <c r="I677" i="14" l="1"/>
  <c r="F676" i="14"/>
  <c r="B676" i="14"/>
  <c r="B605" i="1"/>
  <c r="F606" i="1" s="1"/>
  <c r="I678" i="14" l="1"/>
  <c r="F677" i="14"/>
  <c r="B677" i="14"/>
  <c r="B606" i="1"/>
  <c r="F607" i="1" s="1"/>
  <c r="I679" i="14" l="1"/>
  <c r="F678" i="14"/>
  <c r="B678" i="14"/>
  <c r="B607" i="1"/>
  <c r="F608" i="1" s="1"/>
  <c r="I680" i="14" l="1"/>
  <c r="F679" i="14"/>
  <c r="B679" i="14"/>
  <c r="B608" i="1"/>
  <c r="F609" i="1" s="1"/>
  <c r="I681" i="14" l="1"/>
  <c r="F680" i="14"/>
  <c r="B680" i="14"/>
  <c r="B609" i="1"/>
  <c r="F610" i="1" s="1"/>
  <c r="I682" i="14" l="1"/>
  <c r="F681" i="14"/>
  <c r="B681" i="14"/>
  <c r="B610" i="1"/>
  <c r="F611" i="1" s="1"/>
  <c r="F682" i="14" l="1"/>
  <c r="I683" i="14"/>
  <c r="B682" i="14"/>
  <c r="B611" i="1"/>
  <c r="F612" i="1" s="1"/>
  <c r="I684" i="14" l="1"/>
  <c r="F683" i="14"/>
  <c r="B683" i="14"/>
  <c r="B612" i="1"/>
  <c r="F613" i="1" s="1"/>
  <c r="I685" i="14" l="1"/>
  <c r="F684" i="14"/>
  <c r="B684" i="14"/>
  <c r="B613" i="1"/>
  <c r="F614" i="1" s="1"/>
  <c r="I686" i="14" l="1"/>
  <c r="F685" i="14"/>
  <c r="B685" i="14"/>
  <c r="B614" i="1"/>
  <c r="F615" i="1" s="1"/>
  <c r="I687" i="14" l="1"/>
  <c r="F686" i="14"/>
  <c r="B686" i="14"/>
  <c r="B615" i="1"/>
  <c r="F616" i="1" s="1"/>
  <c r="I688" i="14" l="1"/>
  <c r="F687" i="14"/>
  <c r="B687" i="14"/>
  <c r="B616" i="1"/>
  <c r="F617" i="1" s="1"/>
  <c r="I689" i="14" l="1"/>
  <c r="F688" i="14"/>
  <c r="B688" i="14"/>
  <c r="B617" i="1"/>
  <c r="F618" i="1" s="1"/>
  <c r="I690" i="14" l="1"/>
  <c r="F689" i="14"/>
  <c r="B689" i="14"/>
  <c r="B618" i="1"/>
  <c r="F619" i="1" s="1"/>
  <c r="I691" i="14" l="1"/>
  <c r="F690" i="14"/>
  <c r="B690" i="14"/>
  <c r="B619" i="1"/>
  <c r="F620" i="1" s="1"/>
  <c r="F691" i="14" l="1"/>
  <c r="I692" i="14"/>
  <c r="B691" i="14"/>
  <c r="B620" i="1"/>
  <c r="F621" i="1" s="1"/>
  <c r="F692" i="14" l="1"/>
  <c r="I693" i="14"/>
  <c r="B692" i="14"/>
  <c r="B621" i="1"/>
  <c r="F622" i="1" s="1"/>
  <c r="I694" i="14" l="1"/>
  <c r="F693" i="14"/>
  <c r="B693" i="14"/>
  <c r="B622" i="1"/>
  <c r="F623" i="1" s="1"/>
  <c r="F694" i="14" l="1"/>
  <c r="I695" i="14"/>
  <c r="B694" i="14"/>
  <c r="B623" i="1"/>
  <c r="F624" i="1" s="1"/>
  <c r="F695" i="14" l="1"/>
  <c r="I696" i="14"/>
  <c r="B695" i="14"/>
  <c r="B624" i="1"/>
  <c r="F625" i="1" s="1"/>
  <c r="F696" i="14" l="1"/>
  <c r="I697" i="14"/>
  <c r="B696" i="14"/>
  <c r="B625" i="1"/>
  <c r="F626" i="1" s="1"/>
  <c r="I698" i="14" l="1"/>
  <c r="F697" i="14"/>
  <c r="B697" i="14"/>
  <c r="B626" i="1"/>
  <c r="F627" i="1" s="1"/>
  <c r="I699" i="14" l="1"/>
  <c r="F698" i="14"/>
  <c r="B698" i="14"/>
  <c r="B627" i="1"/>
  <c r="F628" i="1" s="1"/>
  <c r="I700" i="14" l="1"/>
  <c r="F699" i="14"/>
  <c r="B699" i="14"/>
  <c r="B628" i="1"/>
  <c r="F629" i="1" s="1"/>
  <c r="I701" i="14" l="1"/>
  <c r="F700" i="14"/>
  <c r="B700" i="14"/>
  <c r="B629" i="1"/>
  <c r="F630" i="1" s="1"/>
  <c r="I702" i="14" l="1"/>
  <c r="F701" i="14"/>
  <c r="B701" i="14"/>
  <c r="B630" i="1"/>
  <c r="F631" i="1" s="1"/>
  <c r="I703" i="14" l="1"/>
  <c r="F702" i="14"/>
  <c r="B702" i="14"/>
  <c r="B631" i="1"/>
  <c r="F632" i="1" s="1"/>
  <c r="I704" i="14" l="1"/>
  <c r="F703" i="14"/>
  <c r="B703" i="14"/>
  <c r="B632" i="1"/>
  <c r="F633" i="1" s="1"/>
  <c r="I705" i="14" l="1"/>
  <c r="F704" i="14"/>
  <c r="B704" i="14"/>
  <c r="B633" i="1"/>
  <c r="F634" i="1" s="1"/>
  <c r="I706" i="14" l="1"/>
  <c r="F705" i="14"/>
  <c r="B705" i="14"/>
  <c r="B634" i="1"/>
  <c r="F635" i="1" s="1"/>
  <c r="F706" i="14" l="1"/>
  <c r="I707" i="14"/>
  <c r="B706" i="14"/>
  <c r="B635" i="1"/>
  <c r="F636" i="1" s="1"/>
  <c r="I708" i="14" l="1"/>
  <c r="F707" i="14"/>
  <c r="B707" i="14"/>
  <c r="B636" i="1"/>
  <c r="F637" i="1" s="1"/>
  <c r="F708" i="14" l="1"/>
  <c r="I709" i="14"/>
  <c r="B708" i="14"/>
  <c r="B637" i="1"/>
  <c r="F638" i="1" s="1"/>
  <c r="I710" i="14" l="1"/>
  <c r="F709" i="14"/>
  <c r="B709" i="14"/>
  <c r="B638" i="1"/>
  <c r="F639" i="1" s="1"/>
  <c r="I711" i="14" l="1"/>
  <c r="F710" i="14"/>
  <c r="B710" i="14"/>
  <c r="B639" i="1"/>
  <c r="F640" i="1" s="1"/>
  <c r="I712" i="14" l="1"/>
  <c r="F711" i="14"/>
  <c r="B711" i="14"/>
  <c r="B640" i="1"/>
  <c r="F641" i="1" s="1"/>
  <c r="I713" i="14" l="1"/>
  <c r="F712" i="14"/>
  <c r="B712" i="14"/>
  <c r="B641" i="1"/>
  <c r="F642" i="1" s="1"/>
  <c r="I714" i="14" l="1"/>
  <c r="F713" i="14"/>
  <c r="B713" i="14"/>
  <c r="B642" i="1"/>
  <c r="F643" i="1" s="1"/>
  <c r="I715" i="14" l="1"/>
  <c r="F714" i="14"/>
  <c r="B714" i="14"/>
  <c r="B643" i="1"/>
  <c r="F644" i="1" s="1"/>
  <c r="I716" i="14" l="1"/>
  <c r="F715" i="14"/>
  <c r="B715" i="14"/>
  <c r="B644" i="1"/>
  <c r="F645" i="1" s="1"/>
  <c r="I717" i="14" l="1"/>
  <c r="F716" i="14"/>
  <c r="B716" i="14"/>
  <c r="B645" i="1"/>
  <c r="F646" i="1" s="1"/>
  <c r="I718" i="14" l="1"/>
  <c r="F717" i="14"/>
  <c r="B717" i="14"/>
  <c r="B646" i="1"/>
  <c r="F647" i="1" s="1"/>
  <c r="F718" i="14" l="1"/>
  <c r="I719" i="14"/>
  <c r="B718" i="14"/>
  <c r="B647" i="1"/>
  <c r="F648" i="1" s="1"/>
  <c r="I720" i="14" l="1"/>
  <c r="F719" i="14"/>
  <c r="B719" i="14"/>
  <c r="B648" i="1"/>
  <c r="F649" i="1" s="1"/>
  <c r="I721" i="14" l="1"/>
  <c r="F720" i="14"/>
  <c r="B720" i="14"/>
  <c r="B649" i="1"/>
  <c r="F650" i="1" s="1"/>
  <c r="F721" i="14" l="1"/>
  <c r="I722" i="14"/>
  <c r="B721" i="14"/>
  <c r="B650" i="1"/>
  <c r="F651" i="1" s="1"/>
  <c r="F722" i="14" l="1"/>
  <c r="I723" i="14"/>
  <c r="B722" i="14"/>
  <c r="B651" i="1"/>
  <c r="F652" i="1" s="1"/>
  <c r="F723" i="14" l="1"/>
  <c r="I724" i="14"/>
  <c r="B723" i="14"/>
  <c r="B652" i="1"/>
  <c r="F653" i="1" s="1"/>
  <c r="I725" i="14" l="1"/>
  <c r="F724" i="14"/>
  <c r="B724" i="14"/>
  <c r="B653" i="1"/>
  <c r="F654" i="1" s="1"/>
  <c r="I726" i="14" l="1"/>
  <c r="F725" i="14"/>
  <c r="B725" i="14"/>
  <c r="B654" i="1"/>
  <c r="F655" i="1" s="1"/>
  <c r="I727" i="14" l="1"/>
  <c r="F726" i="14"/>
  <c r="B726" i="14"/>
  <c r="B655" i="1"/>
  <c r="F656" i="1" s="1"/>
  <c r="I728" i="14" l="1"/>
  <c r="F727" i="14"/>
  <c r="B727" i="14"/>
  <c r="B656" i="1"/>
  <c r="F657" i="1" s="1"/>
  <c r="I729" i="14" l="1"/>
  <c r="F728" i="14"/>
  <c r="B728" i="14"/>
  <c r="B657" i="1"/>
  <c r="F658" i="1" s="1"/>
  <c r="I730" i="14" l="1"/>
  <c r="F729" i="14"/>
  <c r="B729" i="14"/>
  <c r="B658" i="1"/>
  <c r="F659" i="1" s="1"/>
  <c r="F730" i="14" l="1"/>
  <c r="I731" i="14"/>
  <c r="B730" i="14"/>
  <c r="B659" i="1"/>
  <c r="F660" i="1" s="1"/>
  <c r="I732" i="14" l="1"/>
  <c r="F731" i="14"/>
  <c r="B731" i="14"/>
  <c r="B660" i="1"/>
  <c r="F661" i="1" s="1"/>
  <c r="I733" i="14" l="1"/>
  <c r="F732" i="14"/>
  <c r="B732" i="14"/>
  <c r="B661" i="1"/>
  <c r="F662" i="1" s="1"/>
  <c r="F733" i="14" l="1"/>
  <c r="I734" i="14"/>
  <c r="B733" i="14"/>
  <c r="B662" i="1"/>
  <c r="F663" i="1" s="1"/>
  <c r="F734" i="14" l="1"/>
  <c r="I735" i="14"/>
  <c r="B734" i="14"/>
  <c r="B663" i="1"/>
  <c r="F664" i="1" s="1"/>
  <c r="I736" i="14" l="1"/>
  <c r="F735" i="14"/>
  <c r="B735" i="14"/>
  <c r="B664" i="1"/>
  <c r="F665" i="1" s="1"/>
  <c r="I737" i="14" l="1"/>
  <c r="F736" i="14"/>
  <c r="B736" i="14"/>
  <c r="B665" i="1"/>
  <c r="F666" i="1" s="1"/>
  <c r="I738" i="14" l="1"/>
  <c r="F737" i="14"/>
  <c r="B737" i="14"/>
  <c r="B666" i="1"/>
  <c r="F667" i="1" s="1"/>
  <c r="I739" i="14" l="1"/>
  <c r="F738" i="14"/>
  <c r="B738" i="14"/>
  <c r="B667" i="1"/>
  <c r="F668" i="1" s="1"/>
  <c r="F739" i="14" l="1"/>
  <c r="I740" i="14"/>
  <c r="B739" i="14"/>
  <c r="B668" i="1"/>
  <c r="F669" i="1" s="1"/>
  <c r="I741" i="14" l="1"/>
  <c r="F740" i="14"/>
  <c r="B740" i="14"/>
  <c r="B669" i="1"/>
  <c r="F670" i="1" s="1"/>
  <c r="I742" i="14" l="1"/>
  <c r="F741" i="14"/>
  <c r="B741" i="14"/>
  <c r="B670" i="1"/>
  <c r="F671" i="1" s="1"/>
  <c r="F742" i="14" l="1"/>
  <c r="I743" i="14"/>
  <c r="B742" i="14"/>
  <c r="B671" i="1"/>
  <c r="F672" i="1" s="1"/>
  <c r="I744" i="14" l="1"/>
  <c r="F743" i="14"/>
  <c r="B743" i="14"/>
  <c r="B672" i="1"/>
  <c r="F673" i="1" s="1"/>
  <c r="I745" i="14" l="1"/>
  <c r="F744" i="14"/>
  <c r="B744" i="14"/>
  <c r="B673" i="1"/>
  <c r="F674" i="1" s="1"/>
  <c r="I746" i="14" l="1"/>
  <c r="F745" i="14"/>
  <c r="B745" i="14"/>
  <c r="B674" i="1"/>
  <c r="F675" i="1" s="1"/>
  <c r="I747" i="14" l="1"/>
  <c r="F746" i="14"/>
  <c r="B746" i="14"/>
  <c r="B675" i="1"/>
  <c r="F676" i="1" s="1"/>
  <c r="I748" i="14" l="1"/>
  <c r="F747" i="14"/>
  <c r="B747" i="14"/>
  <c r="B676" i="1"/>
  <c r="F677" i="1" s="1"/>
  <c r="F748" i="14" l="1"/>
  <c r="I749" i="14"/>
  <c r="B748" i="14"/>
  <c r="B677" i="1"/>
  <c r="F678" i="1" s="1"/>
  <c r="I750" i="14" l="1"/>
  <c r="F749" i="14"/>
  <c r="B749" i="14"/>
  <c r="B678" i="1"/>
  <c r="F679" i="1" s="1"/>
  <c r="I751" i="14" l="1"/>
  <c r="F750" i="14"/>
  <c r="B750" i="14"/>
  <c r="B679" i="1"/>
  <c r="F680" i="1" s="1"/>
  <c r="I752" i="14" l="1"/>
  <c r="F751" i="14"/>
  <c r="B751" i="14"/>
  <c r="B680" i="1"/>
  <c r="F681" i="1" s="1"/>
  <c r="I753" i="14" l="1"/>
  <c r="F752" i="14"/>
  <c r="B752" i="14"/>
  <c r="B681" i="1"/>
  <c r="F682" i="1" s="1"/>
  <c r="I754" i="14" l="1"/>
  <c r="F753" i="14"/>
  <c r="B753" i="14"/>
  <c r="B682" i="1"/>
  <c r="F683" i="1" s="1"/>
  <c r="F754" i="14" l="1"/>
  <c r="I755" i="14"/>
  <c r="B754" i="14"/>
  <c r="B683" i="1"/>
  <c r="F684" i="1" s="1"/>
  <c r="I756" i="14" l="1"/>
  <c r="F755" i="14"/>
  <c r="B755" i="14"/>
  <c r="B684" i="1"/>
  <c r="F685" i="1" s="1"/>
  <c r="I757" i="14" l="1"/>
  <c r="F756" i="14"/>
  <c r="B756" i="14"/>
  <c r="B685" i="1"/>
  <c r="F686" i="1" s="1"/>
  <c r="F757" i="14" l="1"/>
  <c r="I758" i="14"/>
  <c r="B757" i="14"/>
  <c r="B686" i="1"/>
  <c r="F687" i="1" s="1"/>
  <c r="I759" i="14" l="1"/>
  <c r="F758" i="14"/>
  <c r="B758" i="14"/>
  <c r="B687" i="1"/>
  <c r="F688" i="1" s="1"/>
  <c r="I760" i="14" l="1"/>
  <c r="F759" i="14"/>
  <c r="B759" i="14"/>
  <c r="B688" i="1"/>
  <c r="F689" i="1" s="1"/>
  <c r="F760" i="14" l="1"/>
  <c r="I761" i="14"/>
  <c r="B760" i="14"/>
  <c r="B689" i="1"/>
  <c r="F690" i="1" s="1"/>
  <c r="I762" i="14" l="1"/>
  <c r="F761" i="14"/>
  <c r="B761" i="14"/>
  <c r="B690" i="1"/>
  <c r="F691" i="1" s="1"/>
  <c r="F762" i="14" l="1"/>
  <c r="I763" i="14"/>
  <c r="B762" i="14"/>
  <c r="B691" i="1"/>
  <c r="F692" i="1" s="1"/>
  <c r="F763" i="14" l="1"/>
  <c r="I764" i="14"/>
  <c r="B763" i="14"/>
  <c r="B692" i="1"/>
  <c r="F693" i="1" s="1"/>
  <c r="I765" i="14" l="1"/>
  <c r="F764" i="14"/>
  <c r="B764" i="14"/>
  <c r="B693" i="1"/>
  <c r="F694" i="1" s="1"/>
  <c r="I766" i="14" l="1"/>
  <c r="F765" i="14"/>
  <c r="B765" i="14"/>
  <c r="B694" i="1"/>
  <c r="F695" i="1" s="1"/>
  <c r="F766" i="14" l="1"/>
  <c r="I767" i="14"/>
  <c r="B766" i="14"/>
  <c r="B695" i="1"/>
  <c r="F696" i="1" s="1"/>
  <c r="I768" i="14" l="1"/>
  <c r="F767" i="14"/>
  <c r="B767" i="14"/>
  <c r="B696" i="1"/>
  <c r="F697" i="1" s="1"/>
  <c r="I769" i="14" l="1"/>
  <c r="F768" i="14"/>
  <c r="B768" i="14"/>
  <c r="B697" i="1"/>
  <c r="F698" i="1" s="1"/>
  <c r="I770" i="14" l="1"/>
  <c r="F769" i="14"/>
  <c r="B769" i="14"/>
  <c r="B698" i="1"/>
  <c r="F699" i="1" s="1"/>
  <c r="I771" i="14" l="1"/>
  <c r="F770" i="14"/>
  <c r="B770" i="14"/>
  <c r="B699" i="1"/>
  <c r="F700" i="1" s="1"/>
  <c r="I772" i="14" l="1"/>
  <c r="F771" i="14"/>
  <c r="B771" i="14"/>
  <c r="B700" i="1"/>
  <c r="F701" i="1" s="1"/>
  <c r="I773" i="14" l="1"/>
  <c r="F772" i="14"/>
  <c r="B772" i="14"/>
  <c r="B701" i="1"/>
  <c r="F702" i="1" s="1"/>
  <c r="I774" i="14" l="1"/>
  <c r="F773" i="14"/>
  <c r="B773" i="14"/>
  <c r="B702" i="1"/>
  <c r="F703" i="1" s="1"/>
  <c r="I775" i="14" l="1"/>
  <c r="F774" i="14"/>
  <c r="B774" i="14"/>
  <c r="B703" i="1"/>
  <c r="F704" i="1" s="1"/>
  <c r="F775" i="14" l="1"/>
  <c r="I776" i="14"/>
  <c r="B775" i="14"/>
  <c r="B704" i="1"/>
  <c r="F705" i="1" s="1"/>
  <c r="F776" i="14" l="1"/>
  <c r="I777" i="14"/>
  <c r="B776" i="14"/>
  <c r="B705" i="1"/>
  <c r="F706" i="1" s="1"/>
  <c r="I778" i="14" l="1"/>
  <c r="F777" i="14"/>
  <c r="B777" i="14"/>
  <c r="B706" i="1"/>
  <c r="F707" i="1" s="1"/>
  <c r="F778" i="14" l="1"/>
  <c r="I779" i="14"/>
  <c r="B778" i="14"/>
  <c r="B707" i="1"/>
  <c r="F708" i="1" s="1"/>
  <c r="I780" i="14" l="1"/>
  <c r="F779" i="14"/>
  <c r="B779" i="14"/>
  <c r="B708" i="1"/>
  <c r="F709" i="1" s="1"/>
  <c r="I781" i="14" l="1"/>
  <c r="F780" i="14"/>
  <c r="B780" i="14"/>
  <c r="B709" i="1"/>
  <c r="F710" i="1" s="1"/>
  <c r="F781" i="14" l="1"/>
  <c r="I782" i="14"/>
  <c r="B781" i="14"/>
  <c r="B710" i="1"/>
  <c r="F711" i="1" s="1"/>
  <c r="I783" i="14" l="1"/>
  <c r="F782" i="14"/>
  <c r="B711" i="1"/>
  <c r="F712" i="1" s="1"/>
  <c r="B712" i="1" l="1"/>
  <c r="F713" i="1" s="1"/>
  <c r="B713" i="1" l="1"/>
  <c r="F714" i="1" s="1"/>
  <c r="B714" i="1" l="1"/>
  <c r="F715" i="1" s="1"/>
  <c r="B715" i="1" l="1"/>
  <c r="F716" i="1" s="1"/>
  <c r="B716" i="1" l="1"/>
  <c r="F717" i="1" s="1"/>
  <c r="B717" i="1" l="1"/>
  <c r="F718" i="1" s="1"/>
  <c r="B718" i="1" l="1"/>
  <c r="F719" i="1" s="1"/>
  <c r="B719" i="1" l="1"/>
  <c r="F720" i="1" s="1"/>
  <c r="B720" i="1" l="1"/>
  <c r="F721" i="1" s="1"/>
  <c r="B721" i="1" l="1"/>
  <c r="F722" i="1" s="1"/>
  <c r="B722" i="1" l="1"/>
  <c r="F723" i="1" s="1"/>
  <c r="B723" i="1" l="1"/>
  <c r="F724" i="1" s="1"/>
  <c r="B724" i="1" l="1"/>
  <c r="F725" i="1" s="1"/>
  <c r="B725" i="1" l="1"/>
  <c r="F726" i="1" s="1"/>
  <c r="B726" i="1" l="1"/>
  <c r="F727" i="1" s="1"/>
  <c r="B727" i="1" l="1"/>
  <c r="F728" i="1" s="1"/>
  <c r="B728" i="1" l="1"/>
  <c r="F729" i="1" s="1"/>
  <c r="B729" i="1" l="1"/>
  <c r="F730" i="1" s="1"/>
  <c r="B730" i="1" l="1"/>
  <c r="F731" i="1" s="1"/>
  <c r="B731" i="1" l="1"/>
  <c r="F732" i="1" s="1"/>
  <c r="B732" i="1" l="1"/>
  <c r="F733" i="1" s="1"/>
  <c r="B733" i="1" l="1"/>
  <c r="F734" i="1" s="1"/>
  <c r="B734" i="1" l="1"/>
  <c r="F735" i="1" s="1"/>
  <c r="B735" i="1" l="1"/>
  <c r="F736" i="1" s="1"/>
  <c r="B736" i="1" l="1"/>
  <c r="F737" i="1" s="1"/>
  <c r="B737" i="1" l="1"/>
  <c r="F738" i="1" s="1"/>
  <c r="B738" i="1" l="1"/>
  <c r="F739" i="1" s="1"/>
  <c r="B739" i="1" l="1"/>
  <c r="F740" i="1" s="1"/>
  <c r="B740" i="1" l="1"/>
  <c r="F741" i="1" s="1"/>
  <c r="B741" i="1" l="1"/>
  <c r="F742" i="1" s="1"/>
  <c r="B742" i="1" l="1"/>
  <c r="F743" i="1" s="1"/>
  <c r="B743" i="1" l="1"/>
  <c r="F744" i="1" s="1"/>
  <c r="B744" i="1" l="1"/>
  <c r="F745" i="1" s="1"/>
  <c r="B745" i="1" l="1"/>
  <c r="F746" i="1" s="1"/>
  <c r="B746" i="1" l="1"/>
  <c r="F747" i="1" s="1"/>
  <c r="B747" i="1" l="1"/>
  <c r="F748" i="1" s="1"/>
  <c r="B748" i="1" l="1"/>
  <c r="F749" i="1" s="1"/>
  <c r="B749" i="1" l="1"/>
  <c r="F750" i="1" s="1"/>
  <c r="B750" i="1" l="1"/>
  <c r="F751" i="1" s="1"/>
  <c r="B751" i="1" l="1"/>
  <c r="F752" i="1" s="1"/>
  <c r="B782" i="14" l="1"/>
  <c r="B752" i="1"/>
  <c r="F753" i="1" s="1"/>
  <c r="I784" i="14" l="1"/>
  <c r="F783" i="14"/>
  <c r="B783" i="14"/>
  <c r="B753" i="1"/>
  <c r="F754" i="1" s="1"/>
  <c r="I785" i="14" l="1"/>
  <c r="F784" i="14"/>
  <c r="B784" i="14"/>
  <c r="B754" i="1"/>
  <c r="F755" i="1" s="1"/>
  <c r="I786" i="14" l="1"/>
  <c r="F785" i="14"/>
  <c r="B785" i="14"/>
  <c r="B755" i="1"/>
  <c r="F756" i="1" s="1"/>
  <c r="F786" i="14" l="1"/>
  <c r="I787" i="14"/>
  <c r="B786" i="14"/>
  <c r="B756" i="1"/>
  <c r="F757" i="1" s="1"/>
  <c r="I788" i="14" l="1"/>
  <c r="F787" i="14"/>
  <c r="B787" i="14"/>
  <c r="B757" i="1"/>
  <c r="F758" i="1" s="1"/>
  <c r="I789" i="14" l="1"/>
  <c r="F788" i="14"/>
  <c r="B788" i="14"/>
  <c r="B758" i="1"/>
  <c r="F759" i="1" s="1"/>
  <c r="I790" i="14" l="1"/>
  <c r="F789" i="14"/>
  <c r="B789" i="14"/>
  <c r="B759" i="1"/>
  <c r="F760" i="1" s="1"/>
  <c r="F790" i="14" l="1"/>
  <c r="I791" i="14"/>
  <c r="B790" i="14"/>
  <c r="B760" i="1"/>
  <c r="F761" i="1" s="1"/>
  <c r="I792" i="14" l="1"/>
  <c r="F791" i="14"/>
  <c r="B791" i="14"/>
  <c r="B761" i="1"/>
  <c r="F762" i="1" s="1"/>
  <c r="I793" i="14" l="1"/>
  <c r="F792" i="14"/>
  <c r="B792" i="14"/>
  <c r="B762" i="1"/>
  <c r="F763" i="1" s="1"/>
  <c r="I794" i="14" l="1"/>
  <c r="F793" i="14"/>
  <c r="B793" i="14"/>
  <c r="B763" i="1"/>
  <c r="F764" i="1" s="1"/>
  <c r="I795" i="14" l="1"/>
  <c r="F794" i="14"/>
  <c r="B794" i="14"/>
  <c r="B764" i="1"/>
  <c r="F765" i="1" s="1"/>
  <c r="I796" i="14" l="1"/>
  <c r="F795" i="14"/>
  <c r="B795" i="14"/>
  <c r="B765" i="1"/>
  <c r="F766" i="1" s="1"/>
  <c r="I797" i="14" l="1"/>
  <c r="F796" i="14"/>
  <c r="B796" i="14"/>
  <c r="B766" i="1"/>
  <c r="F767" i="1" s="1"/>
  <c r="I798" i="14" l="1"/>
  <c r="F797" i="14"/>
  <c r="B797" i="14"/>
  <c r="B767" i="1"/>
  <c r="F768" i="1" s="1"/>
  <c r="I799" i="14" l="1"/>
  <c r="F798" i="14"/>
  <c r="B798" i="14"/>
  <c r="B768" i="1"/>
  <c r="F769" i="1" s="1"/>
  <c r="I800" i="14" l="1"/>
  <c r="F799" i="14"/>
  <c r="B799" i="14"/>
  <c r="B769" i="1"/>
  <c r="F770" i="1" s="1"/>
  <c r="F800" i="14" l="1"/>
  <c r="I801" i="14"/>
  <c r="B800" i="14"/>
  <c r="B770" i="1"/>
  <c r="F771" i="1" s="1"/>
  <c r="I802" i="14" l="1"/>
  <c r="F801" i="14"/>
  <c r="B801" i="14"/>
  <c r="B771" i="1"/>
  <c r="F772" i="1" s="1"/>
  <c r="F802" i="14" l="1"/>
  <c r="I803" i="14"/>
  <c r="B802" i="14"/>
  <c r="B772" i="1"/>
  <c r="F773" i="1" s="1"/>
  <c r="I804" i="14" l="1"/>
  <c r="F803" i="14"/>
  <c r="B803" i="14"/>
  <c r="B773" i="1"/>
  <c r="F774" i="1" s="1"/>
  <c r="F804" i="14" l="1"/>
  <c r="I805" i="14"/>
  <c r="B804" i="14"/>
  <c r="B774" i="1"/>
  <c r="F775" i="1" s="1"/>
  <c r="I806" i="14" l="1"/>
  <c r="F805" i="14"/>
  <c r="B805" i="14"/>
  <c r="B775" i="1"/>
  <c r="F776" i="1" s="1"/>
  <c r="I807" i="14" l="1"/>
  <c r="F806" i="14"/>
  <c r="B806" i="14"/>
  <c r="B776" i="1"/>
  <c r="F777" i="1" s="1"/>
  <c r="I808" i="14" l="1"/>
  <c r="F807" i="14"/>
  <c r="B807" i="14"/>
  <c r="B777" i="1"/>
  <c r="F778" i="1" s="1"/>
  <c r="I809" i="14" l="1"/>
  <c r="F808" i="14"/>
  <c r="B808" i="14"/>
  <c r="B778" i="1"/>
  <c r="F779" i="1" s="1"/>
  <c r="I810" i="14" l="1"/>
  <c r="F809" i="14"/>
  <c r="B809" i="14"/>
  <c r="B779" i="1"/>
  <c r="F780" i="1" s="1"/>
  <c r="I811" i="14" l="1"/>
  <c r="F810" i="14"/>
  <c r="B810" i="14"/>
  <c r="B780" i="1"/>
  <c r="F781" i="1" s="1"/>
  <c r="F811" i="14" l="1"/>
  <c r="I812" i="14"/>
  <c r="B811" i="14"/>
  <c r="B781" i="1"/>
  <c r="F782" i="1" s="1"/>
  <c r="I813" i="14" l="1"/>
  <c r="F812" i="14"/>
  <c r="B812" i="14"/>
  <c r="B782" i="1"/>
  <c r="F783" i="1" s="1"/>
  <c r="I814" i="14" l="1"/>
  <c r="F813" i="14"/>
  <c r="B813" i="14"/>
  <c r="B783" i="1"/>
  <c r="F784" i="1" s="1"/>
  <c r="F814" i="14" l="1"/>
  <c r="I815" i="14"/>
  <c r="B814" i="14"/>
  <c r="B784" i="1"/>
  <c r="F785" i="1" s="1"/>
  <c r="F815" i="14" l="1"/>
  <c r="I816" i="14"/>
  <c r="B815" i="14"/>
  <c r="B785" i="1"/>
  <c r="F786" i="1" s="1"/>
  <c r="F816" i="14" l="1"/>
  <c r="I817" i="14"/>
  <c r="B816" i="14"/>
  <c r="B786" i="1"/>
  <c r="F787" i="1" s="1"/>
  <c r="I818" i="14" l="1"/>
  <c r="F817" i="14"/>
  <c r="B817" i="14"/>
  <c r="B787" i="1"/>
  <c r="F788" i="1" s="1"/>
  <c r="F818" i="14" l="1"/>
  <c r="I819" i="14"/>
  <c r="B818" i="14"/>
  <c r="B788" i="1"/>
  <c r="F789" i="1" s="1"/>
  <c r="I820" i="14" l="1"/>
  <c r="F819" i="14"/>
  <c r="B819" i="14"/>
  <c r="B789" i="1"/>
  <c r="F790" i="1" s="1"/>
  <c r="F820" i="14" l="1"/>
  <c r="I821" i="14"/>
  <c r="B820" i="14"/>
  <c r="B790" i="1"/>
  <c r="F791" i="1" s="1"/>
  <c r="I822" i="14" l="1"/>
  <c r="F821" i="14"/>
  <c r="B821" i="14"/>
  <c r="B791" i="1"/>
  <c r="F792" i="1" s="1"/>
  <c r="I823" i="14" l="1"/>
  <c r="F822" i="14"/>
  <c r="B822" i="14"/>
  <c r="B792" i="1"/>
  <c r="F793" i="1" s="1"/>
  <c r="I824" i="14" l="1"/>
  <c r="F823" i="14"/>
  <c r="B823" i="14"/>
  <c r="B793" i="1"/>
  <c r="F794" i="1" s="1"/>
  <c r="I825" i="14" l="1"/>
  <c r="F824" i="14"/>
  <c r="B824" i="14"/>
  <c r="B794" i="1"/>
  <c r="F795" i="1" s="1"/>
  <c r="I826" i="14" l="1"/>
  <c r="F825" i="14"/>
  <c r="B825" i="14"/>
  <c r="B795" i="1"/>
  <c r="F796" i="1" s="1"/>
  <c r="F826" i="14" l="1"/>
  <c r="I827" i="14"/>
  <c r="B826" i="14"/>
  <c r="B796" i="1"/>
  <c r="F797" i="1" s="1"/>
  <c r="I828" i="14" l="1"/>
  <c r="F827" i="14"/>
  <c r="B827" i="14"/>
  <c r="B797" i="1"/>
  <c r="F798" i="1" s="1"/>
  <c r="I829" i="14" l="1"/>
  <c r="F828" i="14"/>
  <c r="B828" i="14"/>
  <c r="B798" i="1"/>
  <c r="F799" i="1" s="1"/>
  <c r="I830" i="14" l="1"/>
  <c r="F829" i="14"/>
  <c r="B829" i="14"/>
  <c r="B799" i="1"/>
  <c r="F800" i="1" s="1"/>
  <c r="I831" i="14" l="1"/>
  <c r="F830" i="14"/>
  <c r="B830" i="14"/>
  <c r="B800" i="1"/>
  <c r="F801" i="1" s="1"/>
  <c r="I832" i="14" l="1"/>
  <c r="F831" i="14"/>
  <c r="B831" i="14"/>
  <c r="B801" i="1"/>
  <c r="F802" i="1" s="1"/>
  <c r="I833" i="14" l="1"/>
  <c r="F832" i="14"/>
  <c r="B832" i="14"/>
  <c r="B802" i="1"/>
  <c r="F803" i="1" s="1"/>
  <c r="I834" i="14" l="1"/>
  <c r="F833" i="14"/>
  <c r="B833" i="14"/>
  <c r="B803" i="1"/>
  <c r="F804" i="1" s="1"/>
  <c r="I835" i="14" l="1"/>
  <c r="F834" i="14"/>
  <c r="B834" i="14"/>
  <c r="B804" i="1"/>
  <c r="F805" i="1" s="1"/>
  <c r="F835" i="14" l="1"/>
  <c r="I836" i="14"/>
  <c r="B835" i="14"/>
  <c r="B805" i="1"/>
  <c r="F806" i="1" s="1"/>
  <c r="I837" i="14" l="1"/>
  <c r="F836" i="14"/>
  <c r="B836" i="14"/>
  <c r="B806" i="1"/>
  <c r="F807" i="1" s="1"/>
  <c r="I838" i="14" l="1"/>
  <c r="F837" i="14"/>
  <c r="B837" i="14"/>
  <c r="B807" i="1"/>
  <c r="F808" i="1" s="1"/>
  <c r="F838" i="14" l="1"/>
  <c r="I839" i="14"/>
  <c r="B838" i="14"/>
  <c r="B808" i="1"/>
  <c r="F809" i="1" s="1"/>
  <c r="I840" i="14" l="1"/>
  <c r="F839" i="14"/>
  <c r="B839" i="14"/>
  <c r="B809" i="1"/>
  <c r="F810" i="1" s="1"/>
  <c r="I841" i="14" l="1"/>
  <c r="F840" i="14"/>
  <c r="B840" i="14"/>
  <c r="B810" i="1"/>
  <c r="F811" i="1" s="1"/>
  <c r="F841" i="14" l="1"/>
  <c r="I842" i="14"/>
  <c r="B841" i="14"/>
  <c r="B811" i="1"/>
  <c r="F812" i="1" s="1"/>
  <c r="I843" i="14" l="1"/>
  <c r="F842" i="14"/>
  <c r="B842" i="14"/>
  <c r="B812" i="1"/>
  <c r="F813" i="1" s="1"/>
  <c r="I844" i="14" l="1"/>
  <c r="F843" i="14"/>
  <c r="B843" i="14"/>
  <c r="B813" i="1"/>
  <c r="F814" i="1" s="1"/>
  <c r="F844" i="14" l="1"/>
  <c r="I845" i="14"/>
  <c r="B844" i="14"/>
  <c r="B814" i="1"/>
  <c r="F815" i="1" s="1"/>
  <c r="I846" i="14" l="1"/>
  <c r="F845" i="14"/>
  <c r="B845" i="14"/>
  <c r="B815" i="1"/>
  <c r="F816" i="1" s="1"/>
  <c r="I847" i="14" l="1"/>
  <c r="F846" i="14"/>
  <c r="B846" i="14"/>
  <c r="B816" i="1"/>
  <c r="F817" i="1" s="1"/>
  <c r="F847" i="14" l="1"/>
  <c r="I848" i="14"/>
  <c r="B847" i="14"/>
  <c r="B817" i="1"/>
  <c r="F818" i="1" s="1"/>
  <c r="F848" i="14" l="1"/>
  <c r="I849" i="14"/>
  <c r="B848" i="14"/>
  <c r="B818" i="1"/>
  <c r="F819" i="1" s="1"/>
  <c r="I850" i="14" l="1"/>
  <c r="F849" i="14"/>
  <c r="B849" i="14"/>
  <c r="B819" i="1"/>
  <c r="F820" i="1" s="1"/>
  <c r="F850" i="14" l="1"/>
  <c r="I851" i="14"/>
  <c r="B850" i="14"/>
  <c r="B820" i="1"/>
  <c r="F821" i="1" s="1"/>
  <c r="I852" i="14" l="1"/>
  <c r="F851" i="14"/>
  <c r="B851" i="14"/>
  <c r="B821" i="1"/>
  <c r="F822" i="1" s="1"/>
  <c r="I853" i="14" l="1"/>
  <c r="F852" i="14"/>
  <c r="B852" i="14"/>
  <c r="B822" i="1"/>
  <c r="F823" i="1" s="1"/>
  <c r="I854" i="14" l="1"/>
  <c r="F853" i="14"/>
  <c r="B853" i="14"/>
  <c r="B823" i="1"/>
  <c r="F824" i="1" s="1"/>
  <c r="F854" i="14" l="1"/>
  <c r="I855" i="14"/>
  <c r="B854" i="14"/>
  <c r="B824" i="1"/>
  <c r="F825" i="1" s="1"/>
  <c r="I856" i="14" l="1"/>
  <c r="F855" i="14"/>
  <c r="B855" i="14"/>
  <c r="B825" i="1"/>
  <c r="F826" i="1" s="1"/>
  <c r="I857" i="14" l="1"/>
  <c r="F856" i="14"/>
  <c r="B856" i="14"/>
  <c r="B826" i="1"/>
  <c r="F827" i="1" s="1"/>
  <c r="I858" i="14" l="1"/>
  <c r="F857" i="14"/>
  <c r="B857" i="14"/>
  <c r="B827" i="1"/>
  <c r="F828" i="1" s="1"/>
  <c r="I859" i="14" l="1"/>
  <c r="F858" i="14"/>
  <c r="B858" i="14"/>
  <c r="B828" i="1"/>
  <c r="F829" i="1" s="1"/>
  <c r="I860" i="14" l="1"/>
  <c r="F859" i="14"/>
  <c r="B859" i="14"/>
  <c r="B829" i="1"/>
  <c r="F830" i="1" s="1"/>
  <c r="I861" i="14" l="1"/>
  <c r="F860" i="14"/>
  <c r="B860" i="14"/>
  <c r="B830" i="1"/>
  <c r="F831" i="1" s="1"/>
  <c r="I862" i="14" l="1"/>
  <c r="F861" i="14"/>
  <c r="B861" i="14"/>
  <c r="B831" i="1"/>
  <c r="F832" i="1" s="1"/>
  <c r="F862" i="14" l="1"/>
  <c r="I863" i="14"/>
  <c r="B862" i="14"/>
  <c r="B832" i="1"/>
  <c r="F833" i="1" s="1"/>
  <c r="I864" i="14" l="1"/>
  <c r="F863" i="14"/>
  <c r="B863" i="14"/>
  <c r="B833" i="1"/>
  <c r="F834" i="1" s="1"/>
  <c r="F864" i="14" l="1"/>
  <c r="I865" i="14"/>
  <c r="B864" i="14"/>
  <c r="B834" i="1"/>
  <c r="F835" i="1" s="1"/>
  <c r="F865" i="14" l="1"/>
  <c r="I866" i="14"/>
  <c r="B865" i="14"/>
  <c r="B835" i="1"/>
  <c r="F836" i="1" s="1"/>
  <c r="F866" i="14" l="1"/>
  <c r="I867" i="14"/>
  <c r="B866" i="14"/>
  <c r="B836" i="1"/>
  <c r="F837" i="1" s="1"/>
  <c r="I868" i="14" l="1"/>
  <c r="F867" i="14"/>
  <c r="B867" i="14"/>
  <c r="B837" i="1"/>
  <c r="F838" i="1" s="1"/>
  <c r="F868" i="14" l="1"/>
  <c r="I869" i="14"/>
  <c r="B868" i="14"/>
  <c r="B838" i="1"/>
  <c r="F839" i="1" s="1"/>
  <c r="I870" i="14" l="1"/>
  <c r="F869" i="14"/>
  <c r="B869" i="14"/>
  <c r="B839" i="1"/>
  <c r="F840" i="1" s="1"/>
  <c r="I871" i="14" l="1"/>
  <c r="F870" i="14"/>
  <c r="B870" i="14"/>
  <c r="B840" i="1"/>
  <c r="F841" i="1" s="1"/>
  <c r="I872" i="14" l="1"/>
  <c r="F871" i="14"/>
  <c r="B871" i="14"/>
  <c r="B841" i="1"/>
  <c r="F842" i="1" s="1"/>
  <c r="I873" i="14" l="1"/>
  <c r="F872" i="14"/>
  <c r="B872" i="14"/>
  <c r="B842" i="1"/>
  <c r="F843" i="1" s="1"/>
  <c r="I874" i="14" l="1"/>
  <c r="F873" i="14"/>
  <c r="B873" i="14"/>
  <c r="B843" i="1"/>
  <c r="F844" i="1" s="1"/>
  <c r="F874" i="14" l="1"/>
  <c r="I875" i="14"/>
  <c r="B874" i="14"/>
  <c r="B844" i="1"/>
  <c r="F845" i="1" s="1"/>
  <c r="I876" i="14" l="1"/>
  <c r="F875" i="14"/>
  <c r="B875" i="14"/>
  <c r="B845" i="1"/>
  <c r="F846" i="1" s="1"/>
  <c r="I877" i="14" l="1"/>
  <c r="F876" i="14"/>
  <c r="B876" i="14"/>
  <c r="B846" i="1"/>
  <c r="F847" i="1" s="1"/>
  <c r="I878" i="14" l="1"/>
  <c r="F877" i="14"/>
  <c r="B877" i="14"/>
  <c r="B847" i="1"/>
  <c r="F848" i="1" s="1"/>
  <c r="I879" i="14" l="1"/>
  <c r="F878" i="14"/>
  <c r="B878" i="14"/>
  <c r="B848" i="1"/>
  <c r="F849" i="1" s="1"/>
  <c r="I880" i="14" l="1"/>
  <c r="F879" i="14"/>
  <c r="B879" i="14"/>
  <c r="B849" i="1"/>
  <c r="F850" i="1" s="1"/>
  <c r="I881" i="14" l="1"/>
  <c r="F880" i="14"/>
  <c r="B880" i="14"/>
  <c r="B850" i="1"/>
  <c r="F851" i="1" s="1"/>
  <c r="I882" i="14" l="1"/>
  <c r="F881" i="14"/>
  <c r="B881" i="14"/>
  <c r="B851" i="1"/>
  <c r="F852" i="1" s="1"/>
  <c r="I883" i="14" l="1"/>
  <c r="F882" i="14"/>
  <c r="B882" i="14"/>
  <c r="B852" i="1"/>
  <c r="F853" i="1" s="1"/>
  <c r="F883" i="14" l="1"/>
  <c r="I884" i="14"/>
  <c r="B883" i="14"/>
  <c r="B853" i="1"/>
  <c r="F854" i="1" s="1"/>
  <c r="I885" i="14" l="1"/>
  <c r="F884" i="14"/>
  <c r="B884" i="14"/>
  <c r="B854" i="1"/>
  <c r="F855" i="1" s="1"/>
  <c r="I886" i="14" l="1"/>
  <c r="F885" i="14"/>
  <c r="B885" i="14"/>
  <c r="B855" i="1"/>
  <c r="F856" i="1" s="1"/>
  <c r="F886" i="14" l="1"/>
  <c r="I887" i="14"/>
  <c r="B886" i="14"/>
  <c r="B856" i="1"/>
  <c r="F857" i="1" s="1"/>
  <c r="I888" i="14" l="1"/>
  <c r="F887" i="14"/>
  <c r="B887" i="14"/>
  <c r="B857" i="1"/>
  <c r="F858" i="1" s="1"/>
  <c r="I889" i="14" l="1"/>
  <c r="F888" i="14"/>
  <c r="B888" i="14"/>
  <c r="B858" i="1"/>
  <c r="F859" i="1" s="1"/>
  <c r="I890" i="14" l="1"/>
  <c r="F889" i="14"/>
  <c r="B889" i="14"/>
  <c r="B859" i="1"/>
  <c r="F860" i="1" s="1"/>
  <c r="F890" i="14" l="1"/>
  <c r="I891" i="14"/>
  <c r="B890" i="14"/>
  <c r="B860" i="1"/>
  <c r="F861" i="1" s="1"/>
  <c r="I892" i="14" l="1"/>
  <c r="F891" i="14"/>
  <c r="B891" i="14"/>
  <c r="B861" i="1"/>
  <c r="F862" i="1" s="1"/>
  <c r="I893" i="14" l="1"/>
  <c r="F892" i="14"/>
  <c r="B892" i="14"/>
  <c r="B862" i="1"/>
  <c r="F863" i="1" s="1"/>
  <c r="I894" i="14" l="1"/>
  <c r="F893" i="14"/>
  <c r="B893" i="14"/>
  <c r="B863" i="1"/>
  <c r="F864" i="1" s="1"/>
  <c r="I895" i="14" l="1"/>
  <c r="F894" i="14"/>
  <c r="B894" i="14"/>
  <c r="B864" i="1"/>
  <c r="F865" i="1" s="1"/>
  <c r="I896" i="14" l="1"/>
  <c r="F895" i="14"/>
  <c r="B895" i="14"/>
  <c r="B865" i="1"/>
  <c r="F866" i="1" s="1"/>
  <c r="I897" i="14" l="1"/>
  <c r="F896" i="14"/>
  <c r="B896" i="14"/>
  <c r="B866" i="1"/>
  <c r="F867" i="1" s="1"/>
  <c r="I898" i="14" l="1"/>
  <c r="F897" i="14"/>
  <c r="B897" i="14"/>
  <c r="B867" i="1"/>
  <c r="F868" i="1" s="1"/>
  <c r="F898" i="14" l="1"/>
  <c r="I899" i="14"/>
  <c r="B898" i="14"/>
  <c r="B868" i="1"/>
  <c r="F869" i="1" s="1"/>
  <c r="F899" i="14" l="1"/>
  <c r="I900" i="14"/>
  <c r="B899" i="14"/>
  <c r="B869" i="1"/>
  <c r="F870" i="1" s="1"/>
  <c r="I901" i="14" l="1"/>
  <c r="F900" i="14"/>
  <c r="B900" i="14"/>
  <c r="B870" i="1"/>
  <c r="F871" i="1" s="1"/>
  <c r="I902" i="14" l="1"/>
  <c r="F901" i="14"/>
  <c r="B901" i="14"/>
  <c r="B871" i="1"/>
  <c r="F872" i="1" s="1"/>
  <c r="I903" i="14" l="1"/>
  <c r="F902" i="14"/>
  <c r="B902" i="14"/>
  <c r="B872" i="1"/>
  <c r="F873" i="1" s="1"/>
  <c r="I904" i="14" l="1"/>
  <c r="F903" i="14"/>
  <c r="B903" i="14"/>
  <c r="B873" i="1"/>
  <c r="F874" i="1" s="1"/>
  <c r="F904" i="14" l="1"/>
  <c r="I905" i="14"/>
  <c r="B904" i="14"/>
  <c r="B874" i="1"/>
  <c r="F875" i="1" s="1"/>
  <c r="I906" i="14" l="1"/>
  <c r="F905" i="14"/>
  <c r="B905" i="14"/>
  <c r="B875" i="1"/>
  <c r="F876" i="1" s="1"/>
  <c r="I907" i="14" l="1"/>
  <c r="F906" i="14"/>
  <c r="B906" i="14"/>
  <c r="B876" i="1"/>
  <c r="F877" i="1" s="1"/>
  <c r="I908" i="14" l="1"/>
  <c r="F907" i="14"/>
  <c r="B907" i="14"/>
  <c r="B877" i="1"/>
  <c r="F878" i="1" s="1"/>
  <c r="I909" i="14" l="1"/>
  <c r="F908" i="14"/>
  <c r="B908" i="14"/>
  <c r="B878" i="1"/>
  <c r="F879" i="1" s="1"/>
  <c r="I910" i="14" l="1"/>
  <c r="F909" i="14"/>
  <c r="B909" i="14"/>
  <c r="B879" i="1"/>
  <c r="F880" i="1" s="1"/>
  <c r="F910" i="14" l="1"/>
  <c r="I911" i="14"/>
  <c r="B910" i="14"/>
  <c r="B880" i="1"/>
  <c r="F881" i="1" s="1"/>
  <c r="I912" i="14" l="1"/>
  <c r="F911" i="14"/>
  <c r="B911" i="14"/>
  <c r="B881" i="1"/>
  <c r="F882" i="1" s="1"/>
  <c r="F912" i="14" l="1"/>
  <c r="I913" i="14"/>
  <c r="B912" i="14"/>
  <c r="B882" i="1"/>
  <c r="F883" i="1" s="1"/>
  <c r="I914" i="14" l="1"/>
  <c r="F913" i="14"/>
  <c r="B913" i="14"/>
  <c r="B883" i="1"/>
  <c r="F884" i="1" s="1"/>
  <c r="I915" i="14" l="1"/>
  <c r="F914" i="14"/>
  <c r="B914" i="14"/>
  <c r="B884" i="1"/>
  <c r="F885" i="1" s="1"/>
  <c r="I916" i="14" l="1"/>
  <c r="F915" i="14"/>
  <c r="B915" i="14"/>
  <c r="B885" i="1"/>
  <c r="F886" i="1" s="1"/>
  <c r="I917" i="14" l="1"/>
  <c r="F916" i="14"/>
  <c r="B916" i="14"/>
  <c r="B886" i="1"/>
  <c r="F887" i="1" s="1"/>
  <c r="I918" i="14" l="1"/>
  <c r="F917" i="14"/>
  <c r="B917" i="14"/>
  <c r="B887" i="1"/>
  <c r="F888" i="1" s="1"/>
  <c r="I919" i="14" l="1"/>
  <c r="F918" i="14"/>
  <c r="B918" i="14"/>
  <c r="B888" i="1"/>
  <c r="F889" i="1" s="1"/>
  <c r="I920" i="14" l="1"/>
  <c r="F919" i="14"/>
  <c r="B919" i="14"/>
  <c r="B889" i="1"/>
  <c r="F890" i="1" s="1"/>
  <c r="I921" i="14" l="1"/>
  <c r="F920" i="14"/>
  <c r="B920" i="14"/>
  <c r="B890" i="1"/>
  <c r="F891" i="1" s="1"/>
  <c r="I922" i="14" l="1"/>
  <c r="F921" i="14"/>
  <c r="B921" i="14"/>
  <c r="B891" i="1"/>
  <c r="F892" i="1" s="1"/>
  <c r="F922" i="14" l="1"/>
  <c r="I923" i="14"/>
  <c r="B922" i="14"/>
  <c r="B892" i="1"/>
  <c r="F893" i="1" s="1"/>
  <c r="F923" i="14" l="1"/>
  <c r="I924" i="14"/>
  <c r="B923" i="14"/>
  <c r="B893" i="1"/>
  <c r="F894" i="1" s="1"/>
  <c r="I925" i="14" l="1"/>
  <c r="F924" i="14"/>
  <c r="B924" i="14"/>
  <c r="B894" i="1"/>
  <c r="F895" i="1" s="1"/>
  <c r="I926" i="14" l="1"/>
  <c r="F925" i="14"/>
  <c r="B925" i="14"/>
  <c r="B895" i="1"/>
  <c r="F896" i="1" s="1"/>
  <c r="I927" i="14" l="1"/>
  <c r="F926" i="14"/>
  <c r="B926" i="14"/>
  <c r="B896" i="1"/>
  <c r="F897" i="1" s="1"/>
  <c r="I928" i="14" l="1"/>
  <c r="F927" i="14"/>
  <c r="B927" i="14"/>
  <c r="B897" i="1"/>
  <c r="F898" i="1" s="1"/>
  <c r="I929" i="14" l="1"/>
  <c r="F928" i="14"/>
  <c r="B928" i="14"/>
  <c r="B898" i="1"/>
  <c r="F899" i="1" s="1"/>
  <c r="I930" i="14" l="1"/>
  <c r="F929" i="14"/>
  <c r="B929" i="14"/>
  <c r="B899" i="1"/>
  <c r="F900" i="1" s="1"/>
  <c r="F930" i="14" l="1"/>
  <c r="I931" i="14"/>
  <c r="B930" i="14"/>
  <c r="B900" i="1"/>
  <c r="F901" i="1" s="1"/>
  <c r="F931" i="14" l="1"/>
  <c r="I932" i="14"/>
  <c r="B931" i="14"/>
  <c r="B901" i="1"/>
  <c r="F902" i="1" s="1"/>
  <c r="I933" i="14" l="1"/>
  <c r="F932" i="14"/>
  <c r="B932" i="14"/>
  <c r="B902" i="1"/>
  <c r="F903" i="1" s="1"/>
  <c r="I934" i="14" l="1"/>
  <c r="F933" i="14"/>
  <c r="B933" i="14"/>
  <c r="B903" i="1"/>
  <c r="F904" i="1" s="1"/>
  <c r="F934" i="14" l="1"/>
  <c r="I935" i="14"/>
  <c r="B934" i="14"/>
  <c r="B904" i="1"/>
  <c r="F905" i="1" s="1"/>
  <c r="I936" i="14" l="1"/>
  <c r="F935" i="14"/>
  <c r="B935" i="14"/>
  <c r="B905" i="1"/>
  <c r="F906" i="1" s="1"/>
  <c r="I937" i="14" l="1"/>
  <c r="F936" i="14"/>
  <c r="B936" i="14"/>
  <c r="B906" i="1"/>
  <c r="F907" i="1" s="1"/>
  <c r="I938" i="14" l="1"/>
  <c r="F937" i="14"/>
  <c r="B937" i="14"/>
  <c r="B907" i="1"/>
  <c r="F908" i="1" s="1"/>
  <c r="I939" i="14" l="1"/>
  <c r="F938" i="14"/>
  <c r="B938" i="14"/>
  <c r="B908" i="1"/>
  <c r="F909" i="1" s="1"/>
  <c r="I940" i="14" l="1"/>
  <c r="F939" i="14"/>
  <c r="B939" i="14"/>
  <c r="B909" i="1"/>
  <c r="F910" i="1" s="1"/>
  <c r="I941" i="14" l="1"/>
  <c r="F940" i="14"/>
  <c r="B940" i="14"/>
  <c r="B910" i="1"/>
  <c r="F911" i="1" s="1"/>
  <c r="I942" i="14" l="1"/>
  <c r="F941" i="14"/>
  <c r="B941" i="14"/>
  <c r="B911" i="1"/>
  <c r="F912" i="1" s="1"/>
  <c r="I943" i="14" l="1"/>
  <c r="F942" i="14"/>
  <c r="B942" i="14"/>
  <c r="B912" i="1"/>
  <c r="F913" i="1" s="1"/>
  <c r="I944" i="14" l="1"/>
  <c r="F943" i="14"/>
  <c r="B943" i="14"/>
  <c r="B913" i="1"/>
  <c r="F914" i="1" s="1"/>
  <c r="I945" i="14" l="1"/>
  <c r="F944" i="14"/>
  <c r="B944" i="14"/>
  <c r="B914" i="1"/>
  <c r="F915" i="1" s="1"/>
  <c r="I946" i="14" l="1"/>
  <c r="F945" i="14"/>
  <c r="B945" i="14"/>
  <c r="B915" i="1"/>
  <c r="F916" i="1" s="1"/>
  <c r="F946" i="14" l="1"/>
  <c r="I947" i="14"/>
  <c r="B946" i="14"/>
  <c r="B916" i="1"/>
  <c r="F917" i="1" s="1"/>
  <c r="I948" i="14" l="1"/>
  <c r="F947" i="14"/>
  <c r="B947" i="14"/>
  <c r="B917" i="1"/>
  <c r="F918" i="1" s="1"/>
  <c r="I949" i="14" l="1"/>
  <c r="F948" i="14"/>
  <c r="B948" i="14"/>
  <c r="B918" i="1"/>
  <c r="F919" i="1" s="1"/>
  <c r="I950" i="14" l="1"/>
  <c r="F949" i="14"/>
  <c r="B949" i="14"/>
  <c r="B919" i="1"/>
  <c r="F920" i="1" s="1"/>
  <c r="I951" i="14" l="1"/>
  <c r="F950" i="14"/>
  <c r="B950" i="14"/>
  <c r="B920" i="1"/>
  <c r="F921" i="1" s="1"/>
  <c r="I952" i="14" l="1"/>
  <c r="F951" i="14"/>
  <c r="B951" i="14"/>
  <c r="B921" i="1"/>
  <c r="F922" i="1" s="1"/>
  <c r="I953" i="14" l="1"/>
  <c r="F952" i="14"/>
  <c r="B952" i="14"/>
  <c r="B922" i="1"/>
  <c r="F923" i="1" s="1"/>
  <c r="I954" i="14" l="1"/>
  <c r="F953" i="14"/>
  <c r="B953" i="14"/>
  <c r="B923" i="1"/>
  <c r="F924" i="1" s="1"/>
  <c r="I955" i="14" l="1"/>
  <c r="F954" i="14"/>
  <c r="B954" i="14"/>
  <c r="B924" i="1"/>
  <c r="F925" i="1" s="1"/>
  <c r="I956" i="14" l="1"/>
  <c r="F955" i="14"/>
  <c r="B955" i="14"/>
  <c r="B925" i="1"/>
  <c r="F926" i="1" s="1"/>
  <c r="I957" i="14" l="1"/>
  <c r="F956" i="14"/>
  <c r="B956" i="14"/>
  <c r="B926" i="1"/>
  <c r="F927" i="1" s="1"/>
  <c r="I958" i="14" l="1"/>
  <c r="F957" i="14"/>
  <c r="B957" i="14"/>
  <c r="B927" i="1"/>
  <c r="F928" i="1" s="1"/>
  <c r="F958" i="14" l="1"/>
  <c r="I959" i="14"/>
  <c r="B958" i="14"/>
  <c r="B928" i="1"/>
  <c r="F929" i="1" s="1"/>
  <c r="I960" i="14" l="1"/>
  <c r="F959" i="14"/>
  <c r="B959" i="14"/>
  <c r="B929" i="1"/>
  <c r="F930" i="1" s="1"/>
  <c r="I961" i="14" l="1"/>
  <c r="F960" i="14"/>
  <c r="B960" i="14"/>
  <c r="B930" i="1"/>
  <c r="F931" i="1" s="1"/>
  <c r="I962" i="14" l="1"/>
  <c r="F961" i="14"/>
  <c r="B961" i="14"/>
  <c r="B931" i="1"/>
  <c r="F932" i="1" s="1"/>
  <c r="I963" i="14" l="1"/>
  <c r="F962" i="14"/>
  <c r="B962" i="14"/>
  <c r="B932" i="1"/>
  <c r="F933" i="1" s="1"/>
  <c r="F963" i="14" l="1"/>
  <c r="I964" i="14"/>
  <c r="B963" i="14"/>
  <c r="B933" i="1"/>
  <c r="F934" i="1" s="1"/>
  <c r="F964" i="14" l="1"/>
  <c r="I965" i="14"/>
  <c r="B964" i="14"/>
  <c r="B934" i="1"/>
  <c r="F935" i="1" s="1"/>
  <c r="I966" i="14" l="1"/>
  <c r="F965" i="14"/>
  <c r="B965" i="14"/>
  <c r="B935" i="1"/>
  <c r="F936" i="1" s="1"/>
  <c r="F966" i="14" l="1"/>
  <c r="I967" i="14"/>
  <c r="B966" i="14"/>
  <c r="B936" i="1"/>
  <c r="F937" i="1" s="1"/>
  <c r="I968" i="14" l="1"/>
  <c r="F967" i="14"/>
  <c r="B967" i="14"/>
  <c r="B937" i="1"/>
  <c r="F938" i="1" s="1"/>
  <c r="I969" i="14" l="1"/>
  <c r="F968" i="14"/>
  <c r="B968" i="14"/>
  <c r="B938" i="1"/>
  <c r="F939" i="1" s="1"/>
  <c r="I970" i="14" l="1"/>
  <c r="F969" i="14"/>
  <c r="B969" i="14"/>
  <c r="B939" i="1"/>
  <c r="F940" i="1" s="1"/>
  <c r="F970" i="14" l="1"/>
  <c r="I971" i="14"/>
  <c r="B970" i="14"/>
  <c r="B940" i="1"/>
  <c r="F941" i="1" s="1"/>
  <c r="F971" i="14" l="1"/>
  <c r="I972" i="14"/>
  <c r="B971" i="14"/>
  <c r="B941" i="1"/>
  <c r="F942" i="1" s="1"/>
  <c r="I973" i="14" l="1"/>
  <c r="F972" i="14"/>
  <c r="B972" i="14"/>
  <c r="B942" i="1"/>
  <c r="F943" i="1" s="1"/>
  <c r="I974" i="14" l="1"/>
  <c r="F973" i="14"/>
  <c r="B973" i="14"/>
  <c r="B943" i="1"/>
  <c r="F944" i="1" s="1"/>
  <c r="I975" i="14" l="1"/>
  <c r="F974" i="14"/>
  <c r="B974" i="14"/>
  <c r="B944" i="1"/>
  <c r="F945" i="1" s="1"/>
  <c r="I976" i="14" l="1"/>
  <c r="F975" i="14"/>
  <c r="B975" i="14"/>
  <c r="B945" i="1"/>
  <c r="F946" i="1" s="1"/>
  <c r="I977" i="14" l="1"/>
  <c r="F976" i="14"/>
  <c r="B976" i="14"/>
  <c r="B946" i="1"/>
  <c r="F947" i="1" s="1"/>
  <c r="I978" i="14" l="1"/>
  <c r="F977" i="14"/>
  <c r="B977" i="14"/>
  <c r="B947" i="1"/>
  <c r="F948" i="1" s="1"/>
  <c r="I979" i="14" l="1"/>
  <c r="F978" i="14"/>
  <c r="B978" i="14"/>
  <c r="B948" i="1"/>
  <c r="F949" i="1" s="1"/>
  <c r="I980" i="14" l="1"/>
  <c r="F979" i="14"/>
  <c r="B979" i="14"/>
  <c r="B949" i="1"/>
  <c r="F950" i="1" s="1"/>
  <c r="I981" i="14" l="1"/>
  <c r="F980" i="14"/>
  <c r="B980" i="14"/>
  <c r="B950" i="1"/>
  <c r="F951" i="1" s="1"/>
  <c r="I982" i="14" l="1"/>
  <c r="F981" i="14"/>
  <c r="B981" i="14"/>
  <c r="B951" i="1"/>
  <c r="F952" i="1" s="1"/>
  <c r="F982" i="14" l="1"/>
  <c r="I983" i="14"/>
  <c r="B982" i="14"/>
  <c r="B952" i="1"/>
  <c r="F953" i="1" s="1"/>
  <c r="F983" i="14" l="1"/>
  <c r="I984" i="14"/>
  <c r="B983" i="14"/>
  <c r="B953" i="1"/>
  <c r="F954" i="1" s="1"/>
  <c r="F984" i="14" l="1"/>
  <c r="I985" i="14"/>
  <c r="B984" i="14"/>
  <c r="B954" i="1"/>
  <c r="F955" i="1" s="1"/>
  <c r="F985" i="14" l="1"/>
  <c r="I986" i="14"/>
  <c r="B985" i="14"/>
  <c r="B955" i="1"/>
  <c r="F956" i="1" s="1"/>
  <c r="I987" i="14" l="1"/>
  <c r="F986" i="14"/>
  <c r="B986" i="14"/>
  <c r="B956" i="1"/>
  <c r="F957" i="1" s="1"/>
  <c r="I988" i="14" l="1"/>
  <c r="F987" i="14"/>
  <c r="B987" i="14"/>
  <c r="B957" i="1"/>
  <c r="F958" i="1" s="1"/>
  <c r="I989" i="14" l="1"/>
  <c r="F988" i="14"/>
  <c r="B988" i="14"/>
  <c r="B958" i="1"/>
  <c r="F959" i="1" s="1"/>
  <c r="I990" i="14" l="1"/>
  <c r="F989" i="14"/>
  <c r="B989" i="14"/>
  <c r="B959" i="1"/>
  <c r="F960" i="1" s="1"/>
  <c r="I991" i="14" l="1"/>
  <c r="F990" i="14"/>
  <c r="B990" i="14"/>
  <c r="B960" i="1"/>
  <c r="F961" i="1" s="1"/>
  <c r="I992" i="14" l="1"/>
  <c r="F991" i="14"/>
  <c r="B991" i="14"/>
  <c r="B961" i="1"/>
  <c r="F962" i="1" s="1"/>
  <c r="F992" i="14" l="1"/>
  <c r="I993" i="14"/>
  <c r="B992" i="14"/>
  <c r="B962" i="1"/>
  <c r="F963" i="1" s="1"/>
  <c r="I994" i="14" l="1"/>
  <c r="F993" i="14"/>
  <c r="B993" i="14"/>
  <c r="B963" i="1"/>
  <c r="F964" i="1" s="1"/>
  <c r="F994" i="14" l="1"/>
  <c r="I995" i="14"/>
  <c r="B994" i="14"/>
  <c r="B964" i="1"/>
  <c r="F965" i="1" s="1"/>
  <c r="I996" i="14" l="1"/>
  <c r="F995" i="14"/>
  <c r="B995" i="14"/>
  <c r="B965" i="1"/>
  <c r="F966" i="1" s="1"/>
  <c r="I997" i="14" l="1"/>
  <c r="F996" i="14"/>
  <c r="B996" i="14"/>
  <c r="B966" i="1"/>
  <c r="F967" i="1" s="1"/>
  <c r="I998" i="14" l="1"/>
  <c r="F997" i="14"/>
  <c r="B997" i="14"/>
  <c r="B967" i="1"/>
  <c r="F968" i="1" s="1"/>
  <c r="I999" i="14" l="1"/>
  <c r="F998" i="14"/>
  <c r="B998" i="14"/>
  <c r="B968" i="1"/>
  <c r="F969" i="1" s="1"/>
  <c r="I1000" i="14" l="1"/>
  <c r="F999" i="14"/>
  <c r="B999" i="14"/>
  <c r="B969" i="1"/>
  <c r="F970" i="1" s="1"/>
  <c r="I1001" i="14" l="1"/>
  <c r="F1000" i="14"/>
  <c r="B1000" i="14"/>
  <c r="B970" i="1"/>
  <c r="F971" i="1" s="1"/>
  <c r="I1002" i="14" l="1"/>
  <c r="F1001" i="14"/>
  <c r="B1001" i="14"/>
  <c r="B971" i="1"/>
  <c r="F972" i="1" s="1"/>
  <c r="I1003" i="14" l="1"/>
  <c r="F1002" i="14"/>
  <c r="B1002" i="14"/>
  <c r="B972" i="1"/>
  <c r="F973" i="1" s="1"/>
  <c r="I1004" i="14" l="1"/>
  <c r="F1003" i="14"/>
  <c r="B1003" i="14"/>
  <c r="B973" i="1"/>
  <c r="F974" i="1" s="1"/>
  <c r="I1005" i="14" l="1"/>
  <c r="F1004" i="14"/>
  <c r="B1004" i="14"/>
  <c r="B974" i="1"/>
  <c r="F975" i="1" s="1"/>
  <c r="I1006" i="14" l="1"/>
  <c r="F1005" i="14"/>
  <c r="B1005" i="14"/>
  <c r="B975" i="1"/>
  <c r="F976" i="1" s="1"/>
  <c r="F1006" i="14" l="1"/>
  <c r="I1007" i="14"/>
  <c r="B1006" i="14"/>
  <c r="B976" i="1"/>
  <c r="F977" i="1" s="1"/>
  <c r="I1008" i="14" l="1"/>
  <c r="F1007" i="14"/>
  <c r="B1007" i="14"/>
  <c r="B977" i="1"/>
  <c r="F978" i="1" s="1"/>
  <c r="F1008" i="14" l="1"/>
  <c r="I1009" i="14"/>
  <c r="B1008" i="14"/>
  <c r="B978" i="1"/>
  <c r="F979" i="1" s="1"/>
  <c r="F1009" i="14" l="1"/>
  <c r="I1010" i="14"/>
  <c r="B1009" i="14"/>
  <c r="B979" i="1"/>
  <c r="F980" i="1" s="1"/>
  <c r="F1010" i="14" l="1"/>
  <c r="I1011" i="14"/>
  <c r="B1010" i="14"/>
  <c r="B980" i="1"/>
  <c r="F981" i="1" s="1"/>
  <c r="I1012" i="14" l="1"/>
  <c r="F1011" i="14"/>
  <c r="B1011" i="14"/>
  <c r="B981" i="1"/>
  <c r="F982" i="1" s="1"/>
  <c r="I1013" i="14" l="1"/>
  <c r="F1012" i="14"/>
  <c r="B1012" i="14"/>
  <c r="B982" i="1"/>
  <c r="F983" i="1" s="1"/>
  <c r="I1014" i="14" l="1"/>
  <c r="F1013" i="14"/>
  <c r="B1013" i="14"/>
  <c r="B983" i="1"/>
  <c r="F984" i="1" s="1"/>
  <c r="F1014" i="14" l="1"/>
  <c r="I1015" i="14"/>
  <c r="B1014" i="14"/>
  <c r="B984" i="1"/>
  <c r="F985" i="1" s="1"/>
  <c r="I1016" i="14" l="1"/>
  <c r="F1015" i="14"/>
  <c r="B1015" i="14"/>
  <c r="B985" i="1"/>
  <c r="F986" i="1" s="1"/>
  <c r="F1016" i="14" l="1"/>
  <c r="I1017" i="14"/>
  <c r="B1016" i="14"/>
  <c r="B986" i="1"/>
  <c r="F987" i="1" s="1"/>
  <c r="I1018" i="14" l="1"/>
  <c r="F1017" i="14"/>
  <c r="B1017" i="14"/>
  <c r="B987" i="1"/>
  <c r="F988" i="1" s="1"/>
  <c r="F1018" i="14" l="1"/>
  <c r="I1019" i="14"/>
  <c r="B1018" i="14"/>
  <c r="B988" i="1"/>
  <c r="F989" i="1" s="1"/>
  <c r="I1020" i="14" l="1"/>
  <c r="F1019" i="14"/>
  <c r="B1019" i="14"/>
  <c r="B989" i="1"/>
  <c r="F990" i="1" s="1"/>
  <c r="F1020" i="14" l="1"/>
  <c r="I1021" i="14"/>
  <c r="B1020" i="14"/>
  <c r="B990" i="1"/>
  <c r="F991" i="1" s="1"/>
  <c r="I1022" i="14" l="1"/>
  <c r="F1021" i="14"/>
  <c r="B1021" i="14"/>
  <c r="B991" i="1"/>
  <c r="F992" i="1" s="1"/>
  <c r="F1022" i="14" l="1"/>
  <c r="I1023" i="14"/>
  <c r="B1022" i="14"/>
  <c r="B992" i="1"/>
  <c r="F993" i="1" s="1"/>
  <c r="F1023" i="14" l="1"/>
  <c r="I1024" i="14"/>
  <c r="B1023" i="14"/>
  <c r="B993" i="1"/>
  <c r="F994" i="1" s="1"/>
  <c r="I1025" i="14" l="1"/>
  <c r="F1024" i="14"/>
  <c r="B1024" i="14"/>
  <c r="B994" i="1"/>
  <c r="F995" i="1" s="1"/>
  <c r="I1026" i="14" l="1"/>
  <c r="F1025" i="14"/>
  <c r="B1025" i="14"/>
  <c r="B995" i="1"/>
  <c r="F996" i="1" s="1"/>
  <c r="I1027" i="14" l="1"/>
  <c r="F1026" i="14"/>
  <c r="B1026" i="14"/>
  <c r="B996" i="1"/>
  <c r="F997" i="1" s="1"/>
  <c r="I1028" i="14" l="1"/>
  <c r="F1027" i="14"/>
  <c r="B1027" i="14"/>
  <c r="B997" i="1"/>
  <c r="F998" i="1" s="1"/>
  <c r="I1029" i="14" l="1"/>
  <c r="F1028" i="14"/>
  <c r="B1028" i="14"/>
  <c r="B998" i="1"/>
  <c r="F999" i="1" s="1"/>
  <c r="I1030" i="14" l="1"/>
  <c r="F1029" i="14"/>
  <c r="B1029" i="14"/>
  <c r="B999" i="1"/>
  <c r="F1000" i="1" s="1"/>
  <c r="F1030" i="14" l="1"/>
  <c r="I1031" i="14"/>
  <c r="B1030" i="14"/>
  <c r="B1000" i="1"/>
  <c r="F1001" i="1" s="1"/>
  <c r="I1032" i="14" l="1"/>
  <c r="F1031" i="14"/>
  <c r="B1031" i="14"/>
  <c r="B1001" i="1"/>
  <c r="F1002" i="1" s="1"/>
  <c r="I1033" i="14" l="1"/>
  <c r="F1032" i="14"/>
  <c r="B1032" i="14"/>
  <c r="B1002" i="1"/>
  <c r="F1003" i="1" s="1"/>
  <c r="I1034" i="14" l="1"/>
  <c r="F1033" i="14"/>
  <c r="B1033" i="14"/>
  <c r="B1003" i="1"/>
  <c r="F1004" i="1" s="1"/>
  <c r="I1035" i="14" l="1"/>
  <c r="F1034" i="14"/>
  <c r="B1034" i="14"/>
  <c r="B1004" i="1"/>
  <c r="F1005" i="1" s="1"/>
  <c r="F1035" i="14" l="1"/>
  <c r="I1036" i="14"/>
  <c r="B1035" i="14"/>
  <c r="B1005" i="1"/>
  <c r="F1006" i="1" s="1"/>
  <c r="F1036" i="14" l="1"/>
  <c r="I1037" i="14"/>
  <c r="B1036" i="14"/>
  <c r="B1006" i="1"/>
  <c r="F1007" i="1" s="1"/>
  <c r="I1038" i="14" l="1"/>
  <c r="F1037" i="14"/>
  <c r="B1037" i="14"/>
  <c r="B1007" i="1"/>
  <c r="F1008" i="1" s="1"/>
  <c r="I1039" i="14" l="1"/>
  <c r="F1038" i="14"/>
  <c r="B1038" i="14"/>
  <c r="B1008" i="1"/>
  <c r="F1009" i="1" s="1"/>
  <c r="I1040" i="14" l="1"/>
  <c r="F1039" i="14"/>
  <c r="B1039" i="14"/>
  <c r="B1009" i="1"/>
  <c r="F1010" i="1" s="1"/>
  <c r="I1041" i="14" l="1"/>
  <c r="F1040" i="14"/>
  <c r="B1040" i="14"/>
  <c r="B1010" i="1"/>
  <c r="F1011" i="1" s="1"/>
  <c r="I1042" i="14" l="1"/>
  <c r="F1041" i="14"/>
  <c r="B1041" i="14"/>
  <c r="B1011" i="1"/>
  <c r="F1012" i="1" s="1"/>
  <c r="F1042" i="14" l="1"/>
  <c r="I1043" i="14"/>
  <c r="B1042" i="14"/>
  <c r="B1012" i="1"/>
  <c r="F1013" i="1" s="1"/>
  <c r="F1043" i="14" l="1"/>
  <c r="I1044" i="14"/>
  <c r="B1043" i="14"/>
  <c r="B1013" i="1"/>
  <c r="F1014" i="1" s="1"/>
  <c r="I1045" i="14" l="1"/>
  <c r="F1044" i="14"/>
  <c r="B1044" i="14"/>
  <c r="B1014" i="1"/>
  <c r="F1015" i="1" s="1"/>
  <c r="F1045" i="14" l="1"/>
  <c r="I1046" i="14"/>
  <c r="B1045" i="14"/>
  <c r="B1015" i="1"/>
  <c r="F1016" i="1" s="1"/>
  <c r="I1047" i="14" l="1"/>
  <c r="F1046" i="14"/>
  <c r="B1046" i="14"/>
  <c r="B1016" i="1"/>
  <c r="F1017" i="1" s="1"/>
  <c r="I1048" i="14" l="1"/>
  <c r="F1047" i="14"/>
  <c r="B1047" i="14"/>
  <c r="B1017" i="1"/>
  <c r="F1018" i="1" s="1"/>
  <c r="I1049" i="14" l="1"/>
  <c r="F1048" i="14"/>
  <c r="B1048" i="14"/>
  <c r="B1018" i="1"/>
  <c r="F1019" i="1" s="1"/>
  <c r="I1050" i="14" l="1"/>
  <c r="F1049" i="14"/>
  <c r="B1049" i="14"/>
  <c r="B1019" i="1"/>
  <c r="F1020" i="1" s="1"/>
  <c r="F1050" i="14" l="1"/>
  <c r="I1051" i="14"/>
  <c r="B1050" i="14"/>
  <c r="B1020" i="1"/>
  <c r="F1021" i="1" s="1"/>
  <c r="I1052" i="14" l="1"/>
  <c r="F1051" i="14"/>
  <c r="B1051" i="14"/>
  <c r="B1021" i="1"/>
  <c r="F1022" i="1" s="1"/>
  <c r="I1053" i="14" l="1"/>
  <c r="F1052" i="14"/>
  <c r="B1052" i="14"/>
  <c r="B1022" i="1"/>
  <c r="F1023" i="1" s="1"/>
  <c r="I1054" i="14" l="1"/>
  <c r="F1053" i="14"/>
  <c r="B1053" i="14"/>
  <c r="B1023" i="1"/>
  <c r="F1024" i="1" s="1"/>
  <c r="F1054" i="14" l="1"/>
  <c r="I1055" i="14"/>
  <c r="B1054" i="14"/>
  <c r="B1024" i="1"/>
  <c r="F1025" i="1" s="1"/>
  <c r="F1055" i="14" l="1"/>
  <c r="I1056" i="14"/>
  <c r="B1055" i="14"/>
  <c r="B1025" i="1"/>
  <c r="F1026" i="1" s="1"/>
  <c r="F1056" i="14" l="1"/>
  <c r="I1057" i="14"/>
  <c r="B1056" i="14"/>
  <c r="B1026" i="1"/>
  <c r="F1027" i="1" s="1"/>
  <c r="I1058" i="14" l="1"/>
  <c r="F1057" i="14"/>
  <c r="B1057" i="14"/>
  <c r="B1027" i="1"/>
  <c r="F1028" i="1" s="1"/>
  <c r="I1059" i="14" l="1"/>
  <c r="F1058" i="14"/>
  <c r="B1058" i="14"/>
  <c r="B1028" i="1"/>
  <c r="F1029" i="1" s="1"/>
  <c r="I1060" i="14" l="1"/>
  <c r="F1059" i="14"/>
  <c r="B1059" i="14"/>
  <c r="B1029" i="1"/>
  <c r="F1030" i="1" s="1"/>
  <c r="I1061" i="14" l="1"/>
  <c r="F1060" i="14"/>
  <c r="B1060" i="14"/>
  <c r="B1030" i="1"/>
  <c r="F1031" i="1" s="1"/>
  <c r="I1062" i="14" l="1"/>
  <c r="F1061" i="14"/>
  <c r="B1061" i="14"/>
  <c r="B1031" i="1"/>
  <c r="F1032" i="1" s="1"/>
  <c r="I1063" i="14" l="1"/>
  <c r="F1062" i="14"/>
  <c r="B1062" i="14"/>
  <c r="B1032" i="1"/>
  <c r="F1033" i="1" s="1"/>
  <c r="I1064" i="14" l="1"/>
  <c r="F1063" i="14"/>
  <c r="B1063" i="14"/>
  <c r="B1033" i="1"/>
  <c r="F1034" i="1" s="1"/>
  <c r="I1065" i="14" l="1"/>
  <c r="F1064" i="14"/>
  <c r="B1064" i="14"/>
  <c r="B1034" i="1"/>
  <c r="F1035" i="1" s="1"/>
  <c r="I1066" i="14" l="1"/>
  <c r="F1065" i="14"/>
  <c r="B1065" i="14"/>
  <c r="B1035" i="1"/>
  <c r="F1036" i="1" s="1"/>
  <c r="F1066" i="14" l="1"/>
  <c r="I1067" i="14"/>
  <c r="B1066" i="14"/>
  <c r="B1036" i="1"/>
  <c r="F1037" i="1" s="1"/>
  <c r="I1068" i="14" l="1"/>
  <c r="F1067" i="14"/>
  <c r="B1067" i="14"/>
  <c r="B1037" i="1"/>
  <c r="F1038" i="1" s="1"/>
  <c r="I1069" i="14" l="1"/>
  <c r="F1068" i="14"/>
  <c r="B1068" i="14"/>
  <c r="B1038" i="1"/>
  <c r="F1039" i="1" s="1"/>
  <c r="I1070" i="14" l="1"/>
  <c r="F1069" i="14"/>
  <c r="B1069" i="14"/>
  <c r="B1039" i="1"/>
  <c r="F1040" i="1" s="1"/>
  <c r="I1071" i="14" l="1"/>
  <c r="F1070" i="14"/>
  <c r="B1070" i="14"/>
  <c r="B1040" i="1"/>
  <c r="F1041" i="1" s="1"/>
  <c r="F1071" i="14" l="1"/>
  <c r="I1072" i="14"/>
  <c r="B1071" i="14"/>
  <c r="B1041" i="1"/>
  <c r="F1042" i="1" s="1"/>
  <c r="I1073" i="14" l="1"/>
  <c r="F1072" i="14"/>
  <c r="B1072" i="14"/>
  <c r="B1042" i="1"/>
  <c r="F1043" i="1" s="1"/>
  <c r="I1074" i="14" l="1"/>
  <c r="F1073" i="14"/>
  <c r="B1073" i="14"/>
  <c r="B1043" i="1"/>
  <c r="F1044" i="1" s="1"/>
  <c r="I1075" i="14" l="1"/>
  <c r="F1074" i="14"/>
  <c r="B1074" i="14"/>
  <c r="B1044" i="1"/>
  <c r="F1045" i="1" s="1"/>
  <c r="I1076" i="14" l="1"/>
  <c r="F1075" i="14"/>
  <c r="B1075" i="14"/>
  <c r="B1045" i="1"/>
  <c r="F1046" i="1" s="1"/>
  <c r="I1077" i="14" l="1"/>
  <c r="F1076" i="14"/>
  <c r="B1076" i="14"/>
  <c r="B1046" i="1"/>
  <c r="F1047" i="1" s="1"/>
  <c r="I1078" i="14" l="1"/>
  <c r="F1077" i="14"/>
  <c r="B1077" i="14"/>
  <c r="B1047" i="1"/>
  <c r="F1048" i="1" s="1"/>
  <c r="F1078" i="14" l="1"/>
  <c r="I1079" i="14"/>
  <c r="B1078" i="14"/>
  <c r="B1048" i="1"/>
  <c r="F1049" i="1" s="1"/>
  <c r="I1080" i="14" l="1"/>
  <c r="F1079" i="14"/>
  <c r="B1079" i="14"/>
  <c r="B1049" i="1"/>
  <c r="F1050" i="1" s="1"/>
  <c r="F1080" i="14" l="1"/>
  <c r="I1081" i="14"/>
  <c r="B1080" i="14"/>
  <c r="B1050" i="1"/>
  <c r="F1051" i="1" s="1"/>
  <c r="I1082" i="14" l="1"/>
  <c r="F1081" i="14"/>
  <c r="B1081" i="14"/>
  <c r="B1051" i="1"/>
  <c r="F1052" i="1" s="1"/>
  <c r="I1083" i="14" l="1"/>
  <c r="F1082" i="14"/>
  <c r="B1082" i="14"/>
  <c r="B1052" i="1"/>
  <c r="F1053" i="1" s="1"/>
  <c r="I1084" i="14" l="1"/>
  <c r="F1083" i="14"/>
  <c r="B1083" i="14"/>
  <c r="B1053" i="1"/>
  <c r="F1054" i="1" s="1"/>
  <c r="F1084" i="14" l="1"/>
  <c r="I1085" i="14"/>
  <c r="B1084" i="14"/>
  <c r="B1054" i="1"/>
  <c r="F1055" i="1" s="1"/>
  <c r="I1086" i="14" l="1"/>
  <c r="F1085" i="14"/>
  <c r="B1085" i="14"/>
  <c r="B1055" i="1"/>
  <c r="F1056" i="1" s="1"/>
  <c r="F1086" i="14" l="1"/>
  <c r="I1087" i="14"/>
  <c r="B1086" i="14"/>
  <c r="B1056" i="1"/>
  <c r="F1057" i="1" s="1"/>
  <c r="I1088" i="14" l="1"/>
  <c r="F1087" i="14"/>
  <c r="B1087" i="14"/>
  <c r="B1057" i="1"/>
  <c r="F1058" i="1" s="1"/>
  <c r="F1088" i="14" l="1"/>
  <c r="I1089" i="14"/>
  <c r="B1088" i="14"/>
  <c r="B1058" i="1"/>
  <c r="F1059" i="1" s="1"/>
  <c r="I1090" i="14" l="1"/>
  <c r="F1089" i="14"/>
  <c r="B1089" i="14"/>
  <c r="B1059" i="1"/>
  <c r="F1060" i="1" s="1"/>
  <c r="F1090" i="14" l="1"/>
  <c r="I1091" i="14"/>
  <c r="B1090" i="14"/>
  <c r="B1060" i="1"/>
  <c r="F1061" i="1" s="1"/>
  <c r="I1092" i="14" l="1"/>
  <c r="F1091" i="14"/>
  <c r="B1091" i="14"/>
  <c r="B1061" i="1"/>
  <c r="F1062" i="1" s="1"/>
  <c r="I1093" i="14" l="1"/>
  <c r="F1092" i="14"/>
  <c r="B1092" i="14"/>
  <c r="B1062" i="1"/>
  <c r="F1063" i="1" s="1"/>
  <c r="I1094" i="14" l="1"/>
  <c r="F1093" i="14"/>
  <c r="B1093" i="14"/>
  <c r="B1063" i="1"/>
  <c r="F1064" i="1" s="1"/>
  <c r="I1095" i="14" l="1"/>
  <c r="F1094" i="14"/>
  <c r="B1094" i="14"/>
  <c r="B1064" i="1"/>
  <c r="F1065" i="1" s="1"/>
  <c r="I1096" i="14" l="1"/>
  <c r="F1095" i="14"/>
  <c r="B1095" i="14"/>
  <c r="B1065" i="1"/>
  <c r="F1066" i="1" s="1"/>
  <c r="I1097" i="14" l="1"/>
  <c r="F1096" i="14"/>
  <c r="B1096" i="14"/>
  <c r="B1066" i="1"/>
  <c r="F1067" i="1" s="1"/>
  <c r="I1098" i="14" l="1"/>
  <c r="F1097" i="14"/>
  <c r="B1097" i="14"/>
  <c r="B1067" i="1"/>
  <c r="F1068" i="1" s="1"/>
  <c r="I1099" i="14" l="1"/>
  <c r="F1098" i="14"/>
  <c r="B1098" i="14"/>
  <c r="B1068" i="1"/>
  <c r="F1069" i="1" s="1"/>
  <c r="I1100" i="14" l="1"/>
  <c r="F1099" i="14"/>
  <c r="B1099" i="14"/>
  <c r="B1069" i="1"/>
  <c r="F1070" i="1" s="1"/>
  <c r="I1101" i="14" l="1"/>
  <c r="F1100" i="14"/>
  <c r="B1100" i="14"/>
  <c r="B1070" i="1"/>
  <c r="F1071" i="1" s="1"/>
  <c r="I1102" i="14" l="1"/>
  <c r="F1101" i="14"/>
  <c r="B1101" i="14"/>
  <c r="B1071" i="1"/>
  <c r="F1072" i="1" s="1"/>
  <c r="F1102" i="14" l="1"/>
  <c r="I1103" i="14"/>
  <c r="B1102" i="14"/>
  <c r="B1072" i="1"/>
  <c r="F1073" i="1" s="1"/>
  <c r="I1104" i="14" l="1"/>
  <c r="F1103" i="14"/>
  <c r="B1103" i="14"/>
  <c r="B1073" i="1"/>
  <c r="F1074" i="1" s="1"/>
  <c r="I1105" i="14" l="1"/>
  <c r="F1104" i="14"/>
  <c r="B1104" i="14"/>
  <c r="B1074" i="1"/>
  <c r="F1075" i="1" s="1"/>
  <c r="I1106" i="14" l="1"/>
  <c r="F1105" i="14"/>
  <c r="B1105" i="14"/>
  <c r="B1075" i="1"/>
  <c r="F1076" i="1" s="1"/>
  <c r="F1106" i="14" l="1"/>
  <c r="I1107" i="14"/>
  <c r="B1106" i="14"/>
  <c r="B1076" i="1"/>
  <c r="F1077" i="1" s="1"/>
  <c r="I1108" i="14" l="1"/>
  <c r="F1107" i="14"/>
  <c r="B1107" i="14"/>
  <c r="B1077" i="1"/>
  <c r="F1078" i="1" s="1"/>
  <c r="I1109" i="14" l="1"/>
  <c r="F1108" i="14"/>
  <c r="B1108" i="14"/>
  <c r="B1078" i="1"/>
  <c r="F1079" i="1" s="1"/>
  <c r="I1110" i="14" l="1"/>
  <c r="F1109" i="14"/>
  <c r="B1109" i="14"/>
  <c r="B1079" i="1"/>
  <c r="F1080" i="1" s="1"/>
  <c r="I1111" i="14" l="1"/>
  <c r="F1110" i="14"/>
  <c r="B1110" i="14"/>
  <c r="B1080" i="1"/>
  <c r="F1081" i="1" s="1"/>
  <c r="I1112" i="14" l="1"/>
  <c r="F1111" i="14"/>
  <c r="B1111" i="14"/>
  <c r="B1081" i="1"/>
  <c r="F1082" i="1" s="1"/>
  <c r="I1113" i="14" l="1"/>
  <c r="F1112" i="14"/>
  <c r="B1112" i="14"/>
  <c r="B1082" i="1"/>
  <c r="F1083" i="1" s="1"/>
  <c r="I1114" i="14" l="1"/>
  <c r="F1113" i="14"/>
  <c r="B1113" i="14"/>
  <c r="B1083" i="1"/>
  <c r="F1084" i="1" s="1"/>
  <c r="F1114" i="14" l="1"/>
  <c r="I1115" i="14"/>
  <c r="B1114" i="14"/>
  <c r="B1084" i="1"/>
  <c r="F1085" i="1" s="1"/>
  <c r="I1116" i="14" l="1"/>
  <c r="F1115" i="14"/>
  <c r="B1115" i="14"/>
  <c r="B1085" i="1"/>
  <c r="F1086" i="1" s="1"/>
  <c r="I1117" i="14" l="1"/>
  <c r="F1116" i="14"/>
  <c r="B1116" i="14"/>
  <c r="B1086" i="1"/>
  <c r="F1087" i="1" s="1"/>
  <c r="I1118" i="14" l="1"/>
  <c r="F1117" i="14"/>
  <c r="B1117" i="14"/>
  <c r="B1087" i="1"/>
  <c r="F1088" i="1" s="1"/>
  <c r="F1118" i="14" l="1"/>
  <c r="I1119" i="14"/>
  <c r="B1118" i="14"/>
  <c r="B1088" i="1"/>
  <c r="F1089" i="1" s="1"/>
  <c r="I1120" i="14" l="1"/>
  <c r="F1119" i="14"/>
  <c r="B1119" i="14"/>
  <c r="B1089" i="1"/>
  <c r="F1090" i="1" s="1"/>
  <c r="F1120" i="14" l="1"/>
  <c r="I1121" i="14"/>
  <c r="B1120" i="14"/>
  <c r="B1090" i="1"/>
  <c r="F1091" i="1" s="1"/>
  <c r="I1122" i="14" l="1"/>
  <c r="F1121" i="14"/>
  <c r="B1121" i="14"/>
  <c r="B1091" i="1"/>
  <c r="F1092" i="1" s="1"/>
  <c r="I1123" i="14" l="1"/>
  <c r="F1122" i="14"/>
  <c r="B1122" i="14"/>
  <c r="B1092" i="1"/>
  <c r="F1093" i="1" s="1"/>
  <c r="I1124" i="14" l="1"/>
  <c r="F1123" i="14"/>
  <c r="B1123" i="14"/>
  <c r="B1093" i="1"/>
  <c r="F1094" i="1" s="1"/>
  <c r="I1125" i="14" l="1"/>
  <c r="F1124" i="14"/>
  <c r="B1124" i="14"/>
  <c r="B1094" i="1"/>
  <c r="F1095" i="1" s="1"/>
  <c r="I1126" i="14" l="1"/>
  <c r="F1125" i="14"/>
  <c r="B1125" i="14"/>
  <c r="B1095" i="1"/>
  <c r="F1096" i="1" s="1"/>
  <c r="F1126" i="14" l="1"/>
  <c r="I1127" i="14"/>
  <c r="B1126" i="14"/>
  <c r="B1096" i="1"/>
  <c r="F1097" i="1" s="1"/>
  <c r="I1128" i="14" l="1"/>
  <c r="F1127" i="14"/>
  <c r="B1127" i="14"/>
  <c r="B1097" i="1"/>
  <c r="F1098" i="1" s="1"/>
  <c r="F1128" i="14" l="1"/>
  <c r="I1129" i="14"/>
  <c r="B1128" i="14"/>
  <c r="B1098" i="1"/>
  <c r="F1099" i="1" s="1"/>
  <c r="I1130" i="14" l="1"/>
  <c r="F1129" i="14"/>
  <c r="B1129" i="14"/>
  <c r="B1099" i="1"/>
  <c r="F1100" i="1" s="1"/>
  <c r="I1131" i="14" l="1"/>
  <c r="F1130" i="14"/>
  <c r="B1130" i="14"/>
  <c r="B1100" i="1"/>
  <c r="F1101" i="1" s="1"/>
  <c r="F1131" i="14" l="1"/>
  <c r="I1132" i="14"/>
  <c r="B1131" i="14"/>
  <c r="B1101" i="1"/>
  <c r="F1102" i="1" s="1"/>
  <c r="I1133" i="14" l="1"/>
  <c r="F1132" i="14"/>
  <c r="B1132" i="14"/>
  <c r="B1102" i="1"/>
  <c r="F1103" i="1" s="1"/>
  <c r="I1134" i="14" l="1"/>
  <c r="F1133" i="14"/>
  <c r="B1133" i="14"/>
  <c r="B1103" i="1"/>
  <c r="F1104" i="1" s="1"/>
  <c r="I1135" i="14" l="1"/>
  <c r="F1134" i="14"/>
  <c r="B1134" i="14"/>
  <c r="B1104" i="1"/>
  <c r="F1105" i="1" s="1"/>
  <c r="I1136" i="14" l="1"/>
  <c r="F1135" i="14"/>
  <c r="B1135" i="14"/>
  <c r="B1105" i="1"/>
  <c r="F1106" i="1" s="1"/>
  <c r="F1136" i="14" l="1"/>
  <c r="I1137" i="14"/>
  <c r="B1136" i="14"/>
  <c r="B1106" i="1"/>
  <c r="F1107" i="1" s="1"/>
  <c r="I1138" i="14" l="1"/>
  <c r="F1137" i="14"/>
  <c r="B1137" i="14"/>
  <c r="B1107" i="1"/>
  <c r="F1108" i="1" s="1"/>
  <c r="F1138" i="14" l="1"/>
  <c r="I1139" i="14"/>
  <c r="B1138" i="14"/>
  <c r="B1108" i="1"/>
  <c r="F1109" i="1" s="1"/>
  <c r="F1139" i="14" l="1"/>
  <c r="I1140" i="14"/>
  <c r="B1139" i="14"/>
  <c r="B1109" i="1"/>
  <c r="F1110" i="1" s="1"/>
  <c r="F1140" i="14" l="1"/>
  <c r="I1141" i="14"/>
  <c r="B1140" i="14"/>
  <c r="B1110" i="1"/>
  <c r="F1111" i="1" s="1"/>
  <c r="I1142" i="14" l="1"/>
  <c r="F1141" i="14"/>
  <c r="B1141" i="14"/>
  <c r="B1111" i="1"/>
  <c r="F1112" i="1" s="1"/>
  <c r="I1143" i="14" l="1"/>
  <c r="F1142" i="14"/>
  <c r="B1142" i="14"/>
  <c r="B1112" i="1"/>
  <c r="F1113" i="1" s="1"/>
  <c r="I1144" i="14" l="1"/>
  <c r="F1143" i="14"/>
  <c r="B1143" i="14"/>
  <c r="B1113" i="1"/>
  <c r="F1114" i="1" s="1"/>
  <c r="I1145" i="14" l="1"/>
  <c r="F1144" i="14"/>
  <c r="B1144" i="14"/>
  <c r="B1114" i="1"/>
  <c r="F1115" i="1" s="1"/>
  <c r="I1146" i="14" l="1"/>
  <c r="F1145" i="14"/>
  <c r="B1145" i="14"/>
  <c r="B1115" i="1"/>
  <c r="F1116" i="1" s="1"/>
  <c r="I1147" i="14" l="1"/>
  <c r="F1146" i="14"/>
  <c r="B1146" i="14"/>
  <c r="B1116" i="1"/>
  <c r="F1117" i="1" s="1"/>
  <c r="F1147" i="14" l="1"/>
  <c r="I1148" i="14"/>
  <c r="B1147" i="14"/>
  <c r="B1117" i="1"/>
  <c r="F1118" i="1" s="1"/>
  <c r="I1149" i="14" l="1"/>
  <c r="F1148" i="14"/>
  <c r="B1148" i="14"/>
  <c r="B1118" i="1"/>
  <c r="F1119" i="1" s="1"/>
  <c r="I1150" i="14" l="1"/>
  <c r="F1149" i="14"/>
  <c r="B1149" i="14"/>
  <c r="B1119" i="1"/>
  <c r="F1120" i="1" s="1"/>
  <c r="F1150" i="14" l="1"/>
  <c r="I1151" i="14"/>
  <c r="B1150" i="14"/>
  <c r="B1120" i="1"/>
  <c r="F1121" i="1" s="1"/>
  <c r="I1152" i="14" l="1"/>
  <c r="F1151" i="14"/>
  <c r="B1151" i="14"/>
  <c r="B1121" i="1"/>
  <c r="F1122" i="1" s="1"/>
  <c r="I1153" i="14" l="1"/>
  <c r="F1152" i="14"/>
  <c r="B1152" i="14"/>
  <c r="B1122" i="1"/>
  <c r="F1123" i="1" s="1"/>
  <c r="I1154" i="14" l="1"/>
  <c r="F1153" i="14"/>
  <c r="B1153" i="14"/>
  <c r="B1123" i="1"/>
  <c r="F1124" i="1" s="1"/>
  <c r="F1154" i="14" l="1"/>
  <c r="I1155" i="14"/>
  <c r="B1154" i="14"/>
  <c r="B1124" i="1"/>
  <c r="F1125" i="1" s="1"/>
  <c r="I1156" i="14" l="1"/>
  <c r="F1155" i="14"/>
  <c r="B1155" i="14"/>
  <c r="B1125" i="1"/>
  <c r="F1126" i="1" s="1"/>
  <c r="I1157" i="14" l="1"/>
  <c r="F1156" i="14"/>
  <c r="B1156" i="14"/>
  <c r="B1126" i="1"/>
  <c r="F1127" i="1" s="1"/>
  <c r="I1158" i="14" l="1"/>
  <c r="F1157" i="14"/>
  <c r="B1157" i="14"/>
  <c r="B1127" i="1"/>
  <c r="F1128" i="1" s="1"/>
  <c r="I1159" i="14" l="1"/>
  <c r="F1158" i="14"/>
  <c r="B1158" i="14"/>
  <c r="B1128" i="1"/>
  <c r="F1129" i="1" s="1"/>
  <c r="I1160" i="14" l="1"/>
  <c r="F1159" i="14"/>
  <c r="B1159" i="14"/>
  <c r="B1129" i="1"/>
  <c r="F1130" i="1" s="1"/>
  <c r="I1161" i="14" l="1"/>
  <c r="F1160" i="14"/>
  <c r="B1160" i="14"/>
  <c r="B1130" i="1"/>
  <c r="F1131" i="1" s="1"/>
  <c r="I1162" i="14" l="1"/>
  <c r="F1161" i="14"/>
  <c r="B1161" i="14"/>
  <c r="B1131" i="1"/>
  <c r="F1132" i="1" s="1"/>
  <c r="F1162" i="14" l="1"/>
  <c r="I1163" i="14"/>
  <c r="B1162" i="14"/>
  <c r="B1132" i="1"/>
  <c r="F1133" i="1" s="1"/>
  <c r="I1164" i="14" l="1"/>
  <c r="F1163" i="14"/>
  <c r="B1163" i="14"/>
  <c r="B1133" i="1"/>
  <c r="F1134" i="1" s="1"/>
  <c r="I1165" i="14" l="1"/>
  <c r="F1164" i="14"/>
  <c r="B1164" i="14"/>
  <c r="B1134" i="1"/>
  <c r="F1135" i="1" s="1"/>
  <c r="I1166" i="14" l="1"/>
  <c r="F1165" i="14"/>
  <c r="B1165" i="14"/>
  <c r="B1135" i="1"/>
  <c r="F1136" i="1" s="1"/>
  <c r="F1166" i="14" l="1"/>
  <c r="I1167" i="14"/>
  <c r="B1166" i="14"/>
  <c r="B1136" i="1"/>
  <c r="F1137" i="1" s="1"/>
  <c r="I1168" i="14" l="1"/>
  <c r="F1167" i="14"/>
  <c r="B1167" i="14"/>
  <c r="B1137" i="1"/>
  <c r="F1138" i="1" s="1"/>
  <c r="I1169" i="14" l="1"/>
  <c r="F1168" i="14"/>
  <c r="B1168" i="14"/>
  <c r="B1138" i="1"/>
  <c r="F1139" i="1" s="1"/>
  <c r="I1170" i="14" l="1"/>
  <c r="F1169" i="14"/>
  <c r="B1169" i="14"/>
  <c r="B1139" i="1"/>
  <c r="F1140" i="1" s="1"/>
  <c r="F1170" i="14" l="1"/>
  <c r="I1171" i="14"/>
  <c r="B1170" i="14"/>
  <c r="B1140" i="1"/>
  <c r="F1141" i="1" s="1"/>
  <c r="F1171" i="14" l="1"/>
  <c r="I1172" i="14"/>
  <c r="B1171" i="14"/>
  <c r="B1141" i="1"/>
  <c r="F1142" i="1" s="1"/>
  <c r="F1172" i="14" l="1"/>
  <c r="I1173" i="14"/>
  <c r="B1172" i="14"/>
  <c r="B1142" i="1"/>
  <c r="F1143" i="1" s="1"/>
  <c r="I1174" i="14" l="1"/>
  <c r="F1173" i="14"/>
  <c r="B1173" i="14"/>
  <c r="B1143" i="1"/>
  <c r="F1144" i="1" s="1"/>
  <c r="F1174" i="14" l="1"/>
  <c r="I1175" i="14"/>
  <c r="B1174" i="14"/>
  <c r="B1144" i="1"/>
  <c r="F1145" i="1" s="1"/>
  <c r="I1176" i="14" l="1"/>
  <c r="F1175" i="14"/>
  <c r="B1175" i="14"/>
  <c r="B1145" i="1"/>
  <c r="F1146" i="1" s="1"/>
  <c r="I1177" i="14" l="1"/>
  <c r="F1176" i="14"/>
  <c r="B1176" i="14"/>
  <c r="B1146" i="1"/>
  <c r="F1147" i="1" s="1"/>
  <c r="I1178" i="14" l="1"/>
  <c r="F1177" i="14"/>
  <c r="B1177" i="14"/>
  <c r="B1147" i="1"/>
  <c r="F1148" i="1" s="1"/>
  <c r="F1178" i="14" l="1"/>
  <c r="I1179" i="14"/>
  <c r="B1178" i="14"/>
  <c r="B1148" i="1"/>
  <c r="F1149" i="1" s="1"/>
  <c r="F1179" i="14" l="1"/>
  <c r="I1180" i="14"/>
  <c r="B1179" i="14"/>
  <c r="B1149" i="1"/>
  <c r="F1150" i="1" s="1"/>
  <c r="F1180" i="14" l="1"/>
  <c r="I1181" i="14"/>
  <c r="B1180" i="14"/>
  <c r="B1150" i="1"/>
  <c r="F1151" i="1" s="1"/>
  <c r="I1182" i="14" l="1"/>
  <c r="F1181" i="14"/>
  <c r="B1181" i="14"/>
  <c r="B1151" i="1"/>
  <c r="F1152" i="1" s="1"/>
  <c r="I1183" i="14" l="1"/>
  <c r="F1182" i="14"/>
  <c r="B1182" i="14"/>
  <c r="B1152" i="1"/>
  <c r="F1153" i="1" s="1"/>
  <c r="I1184" i="14" l="1"/>
  <c r="F1183" i="14"/>
  <c r="B1183" i="14"/>
  <c r="B1153" i="1"/>
  <c r="F1154" i="1" s="1"/>
  <c r="I1185" i="14" l="1"/>
  <c r="F1184" i="14"/>
  <c r="B1184" i="14"/>
  <c r="B1154" i="1"/>
  <c r="F1155" i="1" s="1"/>
  <c r="I1186" i="14" l="1"/>
  <c r="F1185" i="14"/>
  <c r="B1185" i="14"/>
  <c r="B1155" i="1"/>
  <c r="F1156" i="1" s="1"/>
  <c r="F1186" i="14" l="1"/>
  <c r="I1187" i="14"/>
  <c r="B1186" i="14"/>
  <c r="B1156" i="1"/>
  <c r="F1157" i="1" s="1"/>
  <c r="I1188" i="14" l="1"/>
  <c r="F1187" i="14"/>
  <c r="B1187" i="14"/>
  <c r="B1157" i="1"/>
  <c r="F1158" i="1" s="1"/>
  <c r="I1189" i="14" l="1"/>
  <c r="F1188" i="14"/>
  <c r="B1188" i="14"/>
  <c r="B1158" i="1"/>
  <c r="F1159" i="1" s="1"/>
  <c r="I1190" i="14" l="1"/>
  <c r="F1189" i="14"/>
  <c r="B1189" i="14"/>
  <c r="B1159" i="1"/>
  <c r="F1160" i="1" s="1"/>
  <c r="I1191" i="14" l="1"/>
  <c r="F1190" i="14"/>
  <c r="B1190" i="14"/>
  <c r="B1160" i="1"/>
  <c r="F1161" i="1" s="1"/>
  <c r="I1192" i="14" l="1"/>
  <c r="F1191" i="14"/>
  <c r="B1191" i="14"/>
  <c r="B1161" i="1"/>
  <c r="F1162" i="1" s="1"/>
  <c r="F1192" i="14" l="1"/>
  <c r="I1193" i="14"/>
  <c r="B1192" i="14"/>
  <c r="B1162" i="1"/>
  <c r="F1163" i="1" s="1"/>
  <c r="I1194" i="14" l="1"/>
  <c r="F1193" i="14"/>
  <c r="B1193" i="14"/>
  <c r="B1163" i="1"/>
  <c r="F1164" i="1" s="1"/>
  <c r="I1195" i="14" l="1"/>
  <c r="F1194" i="14"/>
  <c r="B1194" i="14"/>
  <c r="B1164" i="1"/>
  <c r="F1165" i="1" s="1"/>
  <c r="F1195" i="14" l="1"/>
  <c r="I1196" i="14"/>
  <c r="B1195" i="14"/>
  <c r="B1165" i="1"/>
  <c r="F1166" i="1" s="1"/>
  <c r="I1197" i="14" l="1"/>
  <c r="F1196" i="14"/>
  <c r="B1196" i="14"/>
  <c r="B1166" i="1"/>
  <c r="F1167" i="1" s="1"/>
  <c r="I1198" i="14" l="1"/>
  <c r="F1197" i="14"/>
  <c r="B1197" i="14"/>
  <c r="B1167" i="1"/>
  <c r="F1168" i="1" s="1"/>
  <c r="F1198" i="14" l="1"/>
  <c r="I1199" i="14"/>
  <c r="B1198" i="14"/>
  <c r="B1168" i="1"/>
  <c r="F1169" i="1" s="1"/>
  <c r="I1200" i="14" l="1"/>
  <c r="F1199" i="14"/>
  <c r="B1199" i="14"/>
  <c r="B1169" i="1"/>
  <c r="F1170" i="1" s="1"/>
  <c r="I1201" i="14" l="1"/>
  <c r="F1200" i="14"/>
  <c r="B1200" i="14"/>
  <c r="B1170" i="1"/>
  <c r="F1171" i="1" s="1"/>
  <c r="I1202" i="14" l="1"/>
  <c r="F1201" i="14"/>
  <c r="B1201" i="14"/>
  <c r="B1171" i="1"/>
  <c r="F1172" i="1" s="1"/>
  <c r="I1203" i="14" l="1"/>
  <c r="F1202" i="14"/>
  <c r="B1202" i="14"/>
  <c r="B1172" i="1"/>
  <c r="F1173" i="1" s="1"/>
  <c r="I1204" i="14" l="1"/>
  <c r="F1203" i="14"/>
  <c r="B1203" i="14"/>
  <c r="B1173" i="1"/>
  <c r="F1174" i="1" s="1"/>
  <c r="I1205" i="14" l="1"/>
  <c r="F1204" i="14"/>
  <c r="B1204" i="14"/>
  <c r="B1174" i="1"/>
  <c r="F1175" i="1" s="1"/>
  <c r="I1206" i="14" l="1"/>
  <c r="F1205" i="14"/>
  <c r="B1205" i="14"/>
  <c r="B1175" i="1"/>
  <c r="F1176" i="1" s="1"/>
  <c r="I1207" i="14" l="1"/>
  <c r="F1206" i="14"/>
  <c r="B1206" i="14"/>
  <c r="B1176" i="1"/>
  <c r="F1177" i="1" s="1"/>
  <c r="F1207" i="14" l="1"/>
  <c r="I1208" i="14"/>
  <c r="B1207" i="14"/>
  <c r="B1177" i="1"/>
  <c r="F1178" i="1" s="1"/>
  <c r="I1209" i="14" l="1"/>
  <c r="F1208" i="14"/>
  <c r="B1208" i="14"/>
  <c r="B1178" i="1"/>
  <c r="F1179" i="1" s="1"/>
  <c r="I1210" i="14" l="1"/>
  <c r="F1209" i="14"/>
  <c r="B1209" i="14"/>
  <c r="B1179" i="1"/>
  <c r="F1180" i="1" s="1"/>
  <c r="F1210" i="14" l="1"/>
  <c r="I1211" i="14"/>
  <c r="B1210" i="14"/>
  <c r="B1180" i="1"/>
  <c r="F1181" i="1" s="1"/>
  <c r="F1211" i="14" l="1"/>
  <c r="I1212" i="14"/>
  <c r="B1211" i="14"/>
  <c r="B1181" i="1"/>
  <c r="F1182" i="1" s="1"/>
  <c r="F1212" i="14" l="1"/>
  <c r="I1213" i="14"/>
  <c r="B1212" i="14"/>
  <c r="B1182" i="1"/>
  <c r="F1183" i="1" s="1"/>
  <c r="I1214" i="14" l="1"/>
  <c r="F1213" i="14"/>
  <c r="B1213" i="14"/>
  <c r="B1183" i="1"/>
  <c r="F1184" i="1" s="1"/>
  <c r="I1215" i="14" l="1"/>
  <c r="F1214" i="14"/>
  <c r="B1214" i="14"/>
  <c r="B1184" i="1"/>
  <c r="F1185" i="1" s="1"/>
  <c r="I1216" i="14" l="1"/>
  <c r="F1215" i="14"/>
  <c r="B1215" i="14"/>
  <c r="B1185" i="1"/>
  <c r="F1186" i="1" s="1"/>
  <c r="I1217" i="14" l="1"/>
  <c r="F1216" i="14"/>
  <c r="B1216" i="14"/>
  <c r="B1186" i="1"/>
  <c r="F1187" i="1" s="1"/>
  <c r="I1218" i="14" l="1"/>
  <c r="F1217" i="14"/>
  <c r="B1217" i="14"/>
  <c r="B1187" i="1"/>
  <c r="F1188" i="1" s="1"/>
  <c r="F1218" i="14" l="1"/>
  <c r="I1219" i="14"/>
  <c r="B1218" i="14"/>
  <c r="B1188" i="1"/>
  <c r="F1189" i="1" s="1"/>
  <c r="I1220" i="14" l="1"/>
  <c r="F1219" i="14"/>
  <c r="B1219" i="14"/>
  <c r="B1189" i="1"/>
  <c r="F1190" i="1" s="1"/>
  <c r="I1221" i="14" l="1"/>
  <c r="F1220" i="14"/>
  <c r="B1220" i="14"/>
  <c r="B1190" i="1"/>
  <c r="F1191" i="1" s="1"/>
  <c r="I1222" i="14" l="1"/>
  <c r="F1221" i="14"/>
  <c r="B1221" i="14"/>
  <c r="B1191" i="1"/>
  <c r="F1192" i="1" s="1"/>
  <c r="F1222" i="14" l="1"/>
  <c r="I1223" i="14"/>
  <c r="B1222" i="14"/>
  <c r="B1192" i="1"/>
  <c r="F1193" i="1" s="1"/>
  <c r="F1223" i="14" l="1"/>
  <c r="I1224" i="14"/>
  <c r="B1223" i="14"/>
  <c r="B1193" i="1"/>
  <c r="F1194" i="1" s="1"/>
  <c r="I1225" i="14" l="1"/>
  <c r="F1224" i="14"/>
  <c r="B1224" i="14"/>
  <c r="B1194" i="1"/>
  <c r="F1195" i="1" s="1"/>
  <c r="I1226" i="14" l="1"/>
  <c r="F1225" i="14"/>
  <c r="B1225" i="14"/>
  <c r="B1195" i="1"/>
  <c r="F1196" i="1" s="1"/>
  <c r="I1227" i="14" l="1"/>
  <c r="F1226" i="14"/>
  <c r="B1226" i="14"/>
  <c r="B1196" i="1"/>
  <c r="F1197" i="1" s="1"/>
  <c r="I1228" i="14" l="1"/>
  <c r="F1227" i="14"/>
  <c r="B1227" i="14"/>
  <c r="B1197" i="1"/>
  <c r="F1198" i="1" s="1"/>
  <c r="I1229" i="14" l="1"/>
  <c r="F1228" i="14"/>
  <c r="B1228" i="14"/>
  <c r="B1198" i="1"/>
  <c r="F1199" i="1" s="1"/>
  <c r="I1230" i="14" l="1"/>
  <c r="F1229" i="14"/>
  <c r="B1229" i="14"/>
  <c r="B1199" i="1"/>
  <c r="F1200" i="1" s="1"/>
  <c r="I1231" i="14" l="1"/>
  <c r="F1230" i="14"/>
  <c r="B1230" i="14"/>
  <c r="B1200" i="1"/>
  <c r="F1201" i="1" s="1"/>
  <c r="I1232" i="14" l="1"/>
  <c r="F1231" i="14"/>
  <c r="B1231" i="14"/>
  <c r="B1201" i="1"/>
  <c r="F1202" i="1" s="1"/>
  <c r="I1233" i="14" l="1"/>
  <c r="F1232" i="14"/>
  <c r="B1232" i="14"/>
  <c r="B1202" i="1"/>
  <c r="F1203" i="1" s="1"/>
  <c r="I1234" i="14" l="1"/>
  <c r="F1233" i="14"/>
  <c r="B1233" i="14"/>
  <c r="B1203" i="1"/>
  <c r="F1204" i="1" s="1"/>
  <c r="I1235" i="14" l="1"/>
  <c r="F1234" i="14"/>
  <c r="B1234" i="14"/>
  <c r="B1204" i="1"/>
  <c r="F1205" i="1" s="1"/>
  <c r="I1236" i="14" l="1"/>
  <c r="F1235" i="14"/>
  <c r="B1235" i="14"/>
  <c r="B1205" i="1"/>
  <c r="F1206" i="1" s="1"/>
  <c r="I1237" i="14" l="1"/>
  <c r="F1236" i="14"/>
  <c r="B1236" i="14"/>
  <c r="B1206" i="1"/>
  <c r="F1207" i="1" s="1"/>
  <c r="I1238" i="14" l="1"/>
  <c r="F1237" i="14"/>
  <c r="B1237" i="14"/>
  <c r="B1207" i="1"/>
  <c r="F1208" i="1" s="1"/>
  <c r="I1239" i="14" l="1"/>
  <c r="F1238" i="14"/>
  <c r="B1238" i="14"/>
  <c r="B1208" i="1"/>
  <c r="F1209" i="1" s="1"/>
  <c r="F1239" i="14" l="1"/>
  <c r="I1240" i="14"/>
  <c r="B1239" i="14"/>
  <c r="B1209" i="1"/>
  <c r="F1210" i="1" s="1"/>
  <c r="F1240" i="14" l="1"/>
  <c r="I1241" i="14"/>
  <c r="B1240" i="14"/>
  <c r="B1210" i="1"/>
  <c r="F1211" i="1" s="1"/>
  <c r="I1242" i="14" l="1"/>
  <c r="F1241" i="14"/>
  <c r="B1241" i="14"/>
  <c r="B1211" i="1"/>
  <c r="F1212" i="1" s="1"/>
  <c r="I1243" i="14" l="1"/>
  <c r="F1242" i="14"/>
  <c r="B1242" i="14"/>
  <c r="B1212" i="1"/>
  <c r="F1213" i="1" s="1"/>
  <c r="F1243" i="14" l="1"/>
  <c r="I1244" i="14"/>
  <c r="B1243" i="14"/>
  <c r="B1213" i="1"/>
  <c r="F1214" i="1" s="1"/>
  <c r="I1245" i="14" l="1"/>
  <c r="F1244" i="14"/>
  <c r="B1244" i="14"/>
  <c r="B1214" i="1"/>
  <c r="F1215" i="1" s="1"/>
  <c r="I1246" i="14" l="1"/>
  <c r="F1245" i="14"/>
  <c r="B1245" i="14"/>
  <c r="B1215" i="1"/>
  <c r="F1216" i="1" s="1"/>
  <c r="I1247" i="14" l="1"/>
  <c r="F1246" i="14"/>
  <c r="B1246" i="14"/>
  <c r="B1216" i="1"/>
  <c r="F1217" i="1" s="1"/>
  <c r="I1248" i="14" l="1"/>
  <c r="F1247" i="14"/>
  <c r="B1247" i="14"/>
  <c r="B1217" i="1"/>
  <c r="F1218" i="1" s="1"/>
  <c r="I1249" i="14" l="1"/>
  <c r="F1248" i="14"/>
  <c r="B1248" i="14"/>
  <c r="B1218" i="1"/>
  <c r="F1219" i="1" s="1"/>
  <c r="I1250" i="14" l="1"/>
  <c r="F1249" i="14"/>
  <c r="B1249" i="14"/>
  <c r="B1219" i="1"/>
  <c r="F1220" i="1" s="1"/>
  <c r="I1251" i="14" l="1"/>
  <c r="F1250" i="14"/>
  <c r="B1250" i="14"/>
  <c r="B1220" i="1"/>
  <c r="F1221" i="1" s="1"/>
  <c r="I1252" i="14" l="1"/>
  <c r="F1251" i="14"/>
  <c r="B1251" i="14"/>
  <c r="B1221" i="1"/>
  <c r="F1222" i="1" s="1"/>
  <c r="F1252" i="14" l="1"/>
  <c r="I1253" i="14"/>
  <c r="B1252" i="14"/>
  <c r="B1222" i="1"/>
  <c r="F1223" i="1" s="1"/>
  <c r="I1254" i="14" l="1"/>
  <c r="F1253" i="14"/>
  <c r="B1253" i="14"/>
  <c r="B1223" i="1"/>
  <c r="F1224" i="1" s="1"/>
  <c r="I1255" i="14" l="1"/>
  <c r="F1254" i="14"/>
  <c r="B1254" i="14"/>
  <c r="B1224" i="1"/>
  <c r="F1225" i="1" s="1"/>
  <c r="I1256" i="14" l="1"/>
  <c r="F1255" i="14"/>
  <c r="B1255" i="14"/>
  <c r="B1225" i="1"/>
  <c r="F1226" i="1" s="1"/>
  <c r="F1256" i="14" l="1"/>
  <c r="I1257" i="14"/>
  <c r="B1256" i="14"/>
  <c r="B1226" i="1"/>
  <c r="F1227" i="1" s="1"/>
  <c r="I1258" i="14" l="1"/>
  <c r="F1257" i="14"/>
  <c r="B1257" i="14"/>
  <c r="B1227" i="1"/>
  <c r="F1228" i="1" s="1"/>
  <c r="F1258" i="14" l="1"/>
  <c r="I1259" i="14"/>
  <c r="B1258" i="14"/>
  <c r="B1228" i="1"/>
  <c r="F1229" i="1" s="1"/>
  <c r="F1259" i="14" l="1"/>
  <c r="I1260" i="14"/>
  <c r="B1259" i="14"/>
  <c r="B1229" i="1"/>
  <c r="F1230" i="1" s="1"/>
  <c r="I1261" i="14" l="1"/>
  <c r="F1260" i="14"/>
  <c r="B1260" i="14"/>
  <c r="B1230" i="1"/>
  <c r="F1231" i="1" s="1"/>
  <c r="I1262" i="14" l="1"/>
  <c r="F1261" i="14"/>
  <c r="B1261" i="14"/>
  <c r="B1231" i="1"/>
  <c r="F1232" i="1" s="1"/>
  <c r="I1263" i="14" l="1"/>
  <c r="F1262" i="14"/>
  <c r="B1262" i="14"/>
  <c r="B1232" i="1"/>
  <c r="F1233" i="1" s="1"/>
  <c r="I1264" i="14" l="1"/>
  <c r="F1263" i="14"/>
  <c r="B1263" i="14"/>
  <c r="B1233" i="1"/>
  <c r="F1234" i="1" s="1"/>
  <c r="I1265" i="14" l="1"/>
  <c r="F1264" i="14"/>
  <c r="B1264" i="14"/>
  <c r="B1234" i="1"/>
  <c r="F1235" i="1" s="1"/>
  <c r="I1266" i="14" l="1"/>
  <c r="F1265" i="14"/>
  <c r="B1265" i="14"/>
  <c r="B1235" i="1"/>
  <c r="F1236" i="1" s="1"/>
  <c r="I1267" i="14" l="1"/>
  <c r="F1266" i="14"/>
  <c r="B1266" i="14"/>
  <c r="B1236" i="1"/>
  <c r="F1237" i="1" s="1"/>
  <c r="F1267" i="14" l="1"/>
  <c r="I1268" i="14"/>
  <c r="B1267" i="14"/>
  <c r="B1237" i="1"/>
  <c r="F1238" i="1" s="1"/>
  <c r="I1269" i="14" l="1"/>
  <c r="F1268" i="14"/>
  <c r="B1268" i="14"/>
  <c r="B1238" i="1"/>
  <c r="F1239" i="1" s="1"/>
  <c r="I1270" i="14" l="1"/>
  <c r="F1269" i="14"/>
  <c r="B1269" i="14"/>
  <c r="B1239" i="1"/>
  <c r="F1240" i="1" s="1"/>
  <c r="I1271" i="14" l="1"/>
  <c r="F1270" i="14"/>
  <c r="B1270" i="14"/>
  <c r="B1240" i="1"/>
  <c r="F1241" i="1" s="1"/>
  <c r="I1272" i="14" l="1"/>
  <c r="F1271" i="14"/>
  <c r="B1271" i="14"/>
  <c r="B1241" i="1"/>
  <c r="F1242" i="1" s="1"/>
  <c r="I1273" i="14" l="1"/>
  <c r="F1272" i="14"/>
  <c r="B1272" i="14"/>
  <c r="B1242" i="1"/>
  <c r="F1243" i="1" s="1"/>
  <c r="I1274" i="14" l="1"/>
  <c r="F1273" i="14"/>
  <c r="B1273" i="14"/>
  <c r="B1243" i="1"/>
  <c r="F1244" i="1" s="1"/>
  <c r="I1275" i="14" l="1"/>
  <c r="F1274" i="14"/>
  <c r="B1274" i="14"/>
  <c r="B1244" i="1"/>
  <c r="F1245" i="1" s="1"/>
  <c r="I1276" i="14" l="1"/>
  <c r="F1275" i="14"/>
  <c r="B1275" i="14"/>
  <c r="B1245" i="1"/>
  <c r="F1246" i="1" s="1"/>
  <c r="I1277" i="14" l="1"/>
  <c r="F1276" i="14"/>
  <c r="B1276" i="14"/>
  <c r="B1246" i="1"/>
  <c r="F1247" i="1" s="1"/>
  <c r="I1278" i="14" l="1"/>
  <c r="F1277" i="14"/>
  <c r="B1277" i="14"/>
  <c r="B1247" i="1"/>
  <c r="F1248" i="1" s="1"/>
  <c r="I1279" i="14" l="1"/>
  <c r="F1278" i="14"/>
  <c r="B1278" i="14"/>
  <c r="B1248" i="1"/>
  <c r="F1249" i="1" s="1"/>
  <c r="F1279" i="14" l="1"/>
  <c r="I1280" i="14"/>
  <c r="B1279" i="14"/>
  <c r="B1249" i="1"/>
  <c r="F1250" i="1" s="1"/>
  <c r="I1281" i="14" l="1"/>
  <c r="F1280" i="14"/>
  <c r="B1280" i="14"/>
  <c r="B1250" i="1"/>
  <c r="F1251" i="1" s="1"/>
  <c r="I1282" i="14" l="1"/>
  <c r="F1281" i="14"/>
  <c r="B1281" i="14"/>
  <c r="B1251" i="1"/>
  <c r="F1252" i="1" s="1"/>
  <c r="I1283" i="14" l="1"/>
  <c r="F1282" i="14"/>
  <c r="B1282" i="14"/>
  <c r="B1252" i="1"/>
  <c r="F1253" i="1" s="1"/>
  <c r="I1284" i="14" l="1"/>
  <c r="F1283" i="14"/>
  <c r="B1283" i="14"/>
  <c r="B1253" i="1"/>
  <c r="F1254" i="1" s="1"/>
  <c r="I1285" i="14" l="1"/>
  <c r="F1284" i="14"/>
  <c r="B1284" i="14"/>
  <c r="B1254" i="1"/>
  <c r="F1255" i="1" s="1"/>
  <c r="I1286" i="14" l="1"/>
  <c r="F1285" i="14"/>
  <c r="B1285" i="14"/>
  <c r="B1255" i="1"/>
  <c r="F1256" i="1" s="1"/>
  <c r="F1286" i="14" l="1"/>
  <c r="I1287" i="14"/>
  <c r="B1286" i="14"/>
  <c r="B1256" i="1"/>
  <c r="F1257" i="1" s="1"/>
  <c r="I1288" i="14" l="1"/>
  <c r="F1287" i="14"/>
  <c r="B1287" i="14"/>
  <c r="B1257" i="1"/>
  <c r="F1258" i="1" s="1"/>
  <c r="I1289" i="14" l="1"/>
  <c r="F1288" i="14"/>
  <c r="B1288" i="14"/>
  <c r="B1258" i="1"/>
  <c r="F1259" i="1" s="1"/>
  <c r="I1290" i="14" l="1"/>
  <c r="F1289" i="14"/>
  <c r="B1289" i="14"/>
  <c r="B1259" i="1"/>
  <c r="F1260" i="1" s="1"/>
  <c r="I1291" i="14" l="1"/>
  <c r="F1290" i="14"/>
  <c r="B1290" i="14"/>
  <c r="B1260" i="1"/>
  <c r="F1261" i="1" s="1"/>
  <c r="I1292" i="14" l="1"/>
  <c r="F1291" i="14"/>
  <c r="B1291" i="14"/>
  <c r="B1261" i="1"/>
  <c r="F1262" i="1" s="1"/>
  <c r="I1293" i="14" l="1"/>
  <c r="F1292" i="14"/>
  <c r="B1292" i="14"/>
  <c r="B1262" i="1"/>
  <c r="F1263" i="1" s="1"/>
  <c r="I1294" i="14" l="1"/>
  <c r="F1293" i="14"/>
  <c r="B1293" i="14"/>
  <c r="B1263" i="1"/>
  <c r="F1264" i="1" s="1"/>
  <c r="I1295" i="14" l="1"/>
  <c r="F1294" i="14"/>
  <c r="B1294" i="14"/>
  <c r="B1264" i="1"/>
  <c r="F1265" i="1" s="1"/>
  <c r="I1296" i="14" l="1"/>
  <c r="F1295" i="14"/>
  <c r="B1295" i="14"/>
  <c r="B1265" i="1"/>
  <c r="F1266" i="1" s="1"/>
  <c r="F1296" i="14" l="1"/>
  <c r="I1297" i="14"/>
  <c r="B1296" i="14"/>
  <c r="B1266" i="1"/>
  <c r="F1267" i="1" s="1"/>
  <c r="I1298" i="14" l="1"/>
  <c r="F1297" i="14"/>
  <c r="B1297" i="14"/>
  <c r="B1267" i="1"/>
  <c r="F1268" i="1" s="1"/>
  <c r="I1299" i="14" l="1"/>
  <c r="F1298" i="14"/>
  <c r="B1298" i="14"/>
  <c r="B1268" i="1"/>
  <c r="F1269" i="1" s="1"/>
  <c r="I1300" i="14" l="1"/>
  <c r="F1299" i="14"/>
  <c r="B1299" i="14"/>
  <c r="B1269" i="1"/>
  <c r="F1270" i="1" s="1"/>
  <c r="I1301" i="14" l="1"/>
  <c r="F1300" i="14"/>
  <c r="B1300" i="14"/>
  <c r="B1270" i="1"/>
  <c r="F1271" i="1" s="1"/>
  <c r="I1302" i="14" l="1"/>
  <c r="F1301" i="14"/>
  <c r="B1301" i="14"/>
  <c r="B1271" i="1"/>
  <c r="F1272" i="1" s="1"/>
  <c r="I1303" i="14" l="1"/>
  <c r="F1302" i="14"/>
  <c r="B1302" i="14"/>
  <c r="B1272" i="1"/>
  <c r="F1273" i="1" s="1"/>
  <c r="I1304" i="14" l="1"/>
  <c r="F1303" i="14"/>
  <c r="B1303" i="14"/>
  <c r="B1273" i="1"/>
  <c r="F1274" i="1" s="1"/>
  <c r="I1305" i="14" l="1"/>
  <c r="F1304" i="14"/>
  <c r="B1304" i="14"/>
  <c r="B1274" i="1"/>
  <c r="F1275" i="1" s="1"/>
  <c r="I1306" i="14" l="1"/>
  <c r="F1305" i="14"/>
  <c r="B1305" i="14"/>
  <c r="B1275" i="1"/>
  <c r="F1276" i="1" s="1"/>
  <c r="I1307" i="14" l="1"/>
  <c r="F1306" i="14"/>
  <c r="B1306" i="14"/>
  <c r="B1276" i="1"/>
  <c r="F1277" i="1" s="1"/>
  <c r="I1308" i="14" l="1"/>
  <c r="F1307" i="14"/>
  <c r="B1307" i="14"/>
  <c r="B1277" i="1"/>
  <c r="F1278" i="1" s="1"/>
  <c r="I1309" i="14" l="1"/>
  <c r="F1308" i="14"/>
  <c r="B1308" i="14"/>
  <c r="B1278" i="1"/>
  <c r="F1279" i="1" s="1"/>
  <c r="I1310" i="14" l="1"/>
  <c r="F1309" i="14"/>
  <c r="B1309" i="14"/>
  <c r="B1279" i="1"/>
  <c r="F1280" i="1" s="1"/>
  <c r="I1311" i="14" l="1"/>
  <c r="F1310" i="14"/>
  <c r="B1310" i="14"/>
  <c r="B1280" i="1"/>
  <c r="F1281" i="1" s="1"/>
  <c r="I1312" i="14" l="1"/>
  <c r="F1311" i="14"/>
  <c r="B1311" i="14"/>
  <c r="B1281" i="1"/>
  <c r="F1282" i="1" s="1"/>
  <c r="I1313" i="14" l="1"/>
  <c r="F1312" i="14"/>
  <c r="B1312" i="14"/>
  <c r="B1282" i="1"/>
  <c r="F1283" i="1" s="1"/>
  <c r="I1314" i="14" l="1"/>
  <c r="F1313" i="14"/>
  <c r="B1313" i="14"/>
  <c r="B1283" i="1"/>
  <c r="F1284" i="1" s="1"/>
  <c r="I1315" i="14" l="1"/>
  <c r="F1314" i="14"/>
  <c r="B1314" i="14"/>
  <c r="B1284" i="1"/>
  <c r="F1285" i="1" s="1"/>
  <c r="F1315" i="14" l="1"/>
  <c r="I1316" i="14"/>
  <c r="B1315" i="14"/>
  <c r="B1285" i="1"/>
  <c r="F1286" i="1" s="1"/>
  <c r="F1316" i="14" l="1"/>
  <c r="I1317" i="14"/>
  <c r="B1316" i="14"/>
  <c r="B1286" i="1"/>
  <c r="F1287" i="1" s="1"/>
  <c r="I1318" i="14" l="1"/>
  <c r="F1317" i="14"/>
  <c r="B1317" i="14"/>
  <c r="B1287" i="1"/>
  <c r="F1288" i="1" s="1"/>
  <c r="I1319" i="14" l="1"/>
  <c r="F1318" i="14"/>
  <c r="B1318" i="14"/>
  <c r="B1288" i="1"/>
  <c r="F1289" i="1" s="1"/>
  <c r="F1319" i="14" l="1"/>
  <c r="I1320" i="14"/>
  <c r="B1319" i="14"/>
  <c r="B1289" i="1"/>
  <c r="F1290" i="1" s="1"/>
  <c r="F1320" i="14" l="1"/>
  <c r="I1321" i="14"/>
  <c r="B1320" i="14"/>
  <c r="B1290" i="1"/>
  <c r="F1291" i="1" s="1"/>
  <c r="I1322" i="14" l="1"/>
  <c r="F1321" i="14"/>
  <c r="B1321" i="14"/>
  <c r="B1291" i="1"/>
  <c r="F1292" i="1" s="1"/>
  <c r="I1323" i="14" l="1"/>
  <c r="F1322" i="14"/>
  <c r="B1322" i="14"/>
  <c r="B1292" i="1"/>
  <c r="F1293" i="1" s="1"/>
  <c r="I1324" i="14" l="1"/>
  <c r="F1323" i="14"/>
  <c r="B1323" i="14"/>
  <c r="B1293" i="1"/>
  <c r="F1294" i="1" s="1"/>
  <c r="I1325" i="14" l="1"/>
  <c r="F1324" i="14"/>
  <c r="B1324" i="14"/>
  <c r="B1294" i="1"/>
  <c r="F1295" i="1" s="1"/>
  <c r="I1326" i="14" l="1"/>
  <c r="F1325" i="14"/>
  <c r="B1325" i="14"/>
  <c r="B1295" i="1"/>
  <c r="F1296" i="1" s="1"/>
  <c r="I1327" i="14" l="1"/>
  <c r="F1326" i="14"/>
  <c r="B1326" i="14"/>
  <c r="B1296" i="1"/>
  <c r="F1297" i="1" s="1"/>
  <c r="F1327" i="14" l="1"/>
  <c r="I1328" i="14"/>
  <c r="B1327" i="14"/>
  <c r="B1297" i="1"/>
  <c r="F1298" i="1" s="1"/>
  <c r="I1329" i="14" l="1"/>
  <c r="F1328" i="14"/>
  <c r="B1328" i="14"/>
  <c r="B1298" i="1"/>
  <c r="F1299" i="1" s="1"/>
  <c r="I1330" i="14" l="1"/>
  <c r="F1329" i="14"/>
  <c r="B1329" i="14"/>
  <c r="B1299" i="1"/>
  <c r="F1300" i="1" s="1"/>
  <c r="F1330" i="14" l="1"/>
  <c r="I1331" i="14"/>
  <c r="B1330" i="14"/>
  <c r="B1300" i="1"/>
  <c r="F1301" i="1" s="1"/>
  <c r="I1332" i="14" l="1"/>
  <c r="F1331" i="14"/>
  <c r="B1331" i="14"/>
  <c r="B1301" i="1"/>
  <c r="F1302" i="1" s="1"/>
  <c r="I1333" i="14" l="1"/>
  <c r="F1332" i="14"/>
  <c r="B1332" i="14"/>
  <c r="B1302" i="1"/>
  <c r="F1303" i="1" s="1"/>
  <c r="F1333" i="14" l="1"/>
  <c r="I1334" i="14"/>
  <c r="B1333" i="14"/>
  <c r="B1303" i="1"/>
  <c r="F1304" i="1" s="1"/>
  <c r="I1335" i="14" l="1"/>
  <c r="F1334" i="14"/>
  <c r="B1334" i="14"/>
  <c r="B1304" i="1"/>
  <c r="F1305" i="1" s="1"/>
  <c r="I1336" i="14" l="1"/>
  <c r="F1335" i="14"/>
  <c r="B1335" i="14"/>
  <c r="B1305" i="1"/>
  <c r="F1306" i="1" s="1"/>
  <c r="I1337" i="14" l="1"/>
  <c r="F1336" i="14"/>
  <c r="B1336" i="14"/>
  <c r="B1306" i="1"/>
  <c r="F1307" i="1" s="1"/>
  <c r="I1338" i="14" l="1"/>
  <c r="F1337" i="14"/>
  <c r="B1337" i="14"/>
  <c r="B1307" i="1"/>
  <c r="F1308" i="1" s="1"/>
  <c r="I1339" i="14" l="1"/>
  <c r="F1338" i="14"/>
  <c r="B1338" i="14"/>
  <c r="B1308" i="1"/>
  <c r="F1309" i="1" s="1"/>
  <c r="F1339" i="14" l="1"/>
  <c r="I1340" i="14"/>
  <c r="B1339" i="14"/>
  <c r="B1309" i="1"/>
  <c r="F1310" i="1" s="1"/>
  <c r="I1341" i="14" l="1"/>
  <c r="F1340" i="14"/>
  <c r="B1340" i="14"/>
  <c r="B1310" i="1"/>
  <c r="F1311" i="1" s="1"/>
  <c r="I1342" i="14" l="1"/>
  <c r="F1341" i="14"/>
  <c r="B1341" i="14"/>
  <c r="B1311" i="1"/>
  <c r="F1312" i="1" s="1"/>
  <c r="F1342" i="14" l="1"/>
  <c r="I1343" i="14"/>
  <c r="B1342" i="14"/>
  <c r="B1312" i="1"/>
  <c r="F1313" i="1" s="1"/>
  <c r="I1344" i="14" l="1"/>
  <c r="F1343" i="14"/>
  <c r="B1343" i="14"/>
  <c r="B1313" i="1"/>
  <c r="F1314" i="1" s="1"/>
  <c r="F1344" i="14" l="1"/>
  <c r="I1345" i="14"/>
  <c r="B1344" i="14"/>
  <c r="B1314" i="1"/>
  <c r="F1315" i="1" s="1"/>
  <c r="I1346" i="14" l="1"/>
  <c r="F1345" i="14"/>
  <c r="B1345" i="14"/>
  <c r="B1315" i="1"/>
  <c r="F1316" i="1" s="1"/>
  <c r="I1347" i="14" l="1"/>
  <c r="F1346" i="14"/>
  <c r="B1346" i="14"/>
  <c r="B1316" i="1"/>
  <c r="F1317" i="1" s="1"/>
  <c r="I1348" i="14" l="1"/>
  <c r="F1347" i="14"/>
  <c r="B1347" i="14"/>
  <c r="B1317" i="1"/>
  <c r="F1318" i="1" s="1"/>
  <c r="I1349" i="14" l="1"/>
  <c r="F1348" i="14"/>
  <c r="B1348" i="14"/>
  <c r="B1318" i="1"/>
  <c r="F1319" i="1" s="1"/>
  <c r="I1350" i="14" l="1"/>
  <c r="F1349" i="14"/>
  <c r="B1349" i="14"/>
  <c r="B1319" i="1"/>
  <c r="F1320" i="1" s="1"/>
  <c r="I1351" i="14" l="1"/>
  <c r="F1350" i="14"/>
  <c r="B1350" i="14"/>
  <c r="B1320" i="1"/>
  <c r="F1321" i="1" s="1"/>
  <c r="I1352" i="14" l="1"/>
  <c r="F1351" i="14"/>
  <c r="B1351" i="14"/>
  <c r="B1321" i="1"/>
  <c r="F1322" i="1" s="1"/>
  <c r="I1353" i="14" l="1"/>
  <c r="F1352" i="14"/>
  <c r="B1352" i="14"/>
  <c r="B1322" i="1"/>
  <c r="F1323" i="1" s="1"/>
  <c r="I1354" i="14" l="1"/>
  <c r="F1353" i="14"/>
  <c r="B1353" i="14"/>
  <c r="B1323" i="1"/>
  <c r="F1324" i="1" s="1"/>
  <c r="I1355" i="14" l="1"/>
  <c r="F1354" i="14"/>
  <c r="B1354" i="14"/>
  <c r="B1324" i="1"/>
  <c r="F1325" i="1" s="1"/>
  <c r="F1355" i="14" l="1"/>
  <c r="I1356" i="14"/>
  <c r="B1355" i="14"/>
  <c r="B1325" i="1"/>
  <c r="F1326" i="1" s="1"/>
  <c r="I1357" i="14" l="1"/>
  <c r="F1356" i="14"/>
  <c r="B1356" i="14"/>
  <c r="B1326" i="1"/>
  <c r="F1327" i="1" s="1"/>
  <c r="I1358" i="14" l="1"/>
  <c r="F1357" i="14"/>
  <c r="B1357" i="14"/>
  <c r="B1327" i="1"/>
  <c r="F1328" i="1" s="1"/>
  <c r="I1359" i="14" l="1"/>
  <c r="F1358" i="14"/>
  <c r="B1358" i="14"/>
  <c r="B1328" i="1"/>
  <c r="F1329" i="1" s="1"/>
  <c r="I1360" i="14" l="1"/>
  <c r="F1359" i="14"/>
  <c r="B1359" i="14"/>
  <c r="B1329" i="1"/>
  <c r="F1330" i="1" s="1"/>
  <c r="I1361" i="14" l="1"/>
  <c r="F1360" i="14"/>
  <c r="B1360" i="14"/>
  <c r="B1330" i="1"/>
  <c r="F1331" i="1" s="1"/>
  <c r="I1362" i="14" l="1"/>
  <c r="F1361" i="14"/>
  <c r="B1361" i="14"/>
  <c r="B1331" i="1"/>
  <c r="F1332" i="1" s="1"/>
  <c r="I1363" i="14" l="1"/>
  <c r="F1362" i="14"/>
  <c r="B1362" i="14"/>
  <c r="B1332" i="1"/>
  <c r="F1333" i="1" s="1"/>
  <c r="F1363" i="14" l="1"/>
  <c r="I1364" i="14"/>
  <c r="B1363" i="14"/>
  <c r="B1333" i="1"/>
  <c r="F1334" i="1" s="1"/>
  <c r="I1365" i="14" l="1"/>
  <c r="F1364" i="14"/>
  <c r="B1364" i="14"/>
  <c r="B1334" i="1"/>
  <c r="F1335" i="1" s="1"/>
  <c r="I1366" i="14" l="1"/>
  <c r="F1365" i="14"/>
  <c r="B1365" i="14"/>
  <c r="B1335" i="1"/>
  <c r="F1336" i="1" s="1"/>
  <c r="F1366" i="14" l="1"/>
  <c r="I1367" i="14"/>
  <c r="B1366" i="14"/>
  <c r="B1336" i="1"/>
  <c r="F1337" i="1" s="1"/>
  <c r="I1368" i="14" l="1"/>
  <c r="F1367" i="14"/>
  <c r="B1367" i="14"/>
  <c r="B1337" i="1"/>
  <c r="F1338" i="1" s="1"/>
  <c r="F1368" i="14" l="1"/>
  <c r="I1369" i="14"/>
  <c r="B1368" i="14"/>
  <c r="B1338" i="1"/>
  <c r="F1339" i="1" s="1"/>
  <c r="I1370" i="14" l="1"/>
  <c r="F1369" i="14"/>
  <c r="B1369" i="14"/>
  <c r="B1339" i="1"/>
  <c r="F1340" i="1" s="1"/>
  <c r="I1371" i="14" l="1"/>
  <c r="F1370" i="14"/>
  <c r="B1370" i="14"/>
  <c r="B1340" i="1"/>
  <c r="F1341" i="1" s="1"/>
  <c r="I1372" i="14" l="1"/>
  <c r="F1371" i="14"/>
  <c r="B1371" i="14"/>
  <c r="B1341" i="1"/>
  <c r="F1342" i="1" s="1"/>
  <c r="I1373" i="14" l="1"/>
  <c r="F1372" i="14"/>
  <c r="B1372" i="14"/>
  <c r="B1342" i="1"/>
  <c r="F1343" i="1" s="1"/>
  <c r="I1374" i="14" l="1"/>
  <c r="F1373" i="14"/>
  <c r="B1373" i="14"/>
  <c r="B1343" i="1"/>
  <c r="F1344" i="1" s="1"/>
  <c r="I1375" i="14" l="1"/>
  <c r="F1374" i="14"/>
  <c r="B1374" i="14"/>
  <c r="B1344" i="1"/>
  <c r="F1345" i="1" s="1"/>
  <c r="I1376" i="14" l="1"/>
  <c r="F1375" i="14"/>
  <c r="B1375" i="14"/>
  <c r="B1345" i="1"/>
  <c r="F1346" i="1" s="1"/>
  <c r="I1377" i="14" l="1"/>
  <c r="F1376" i="14"/>
  <c r="B1376" i="14"/>
  <c r="B1346" i="1"/>
  <c r="F1347" i="1" s="1"/>
  <c r="I1378" i="14" l="1"/>
  <c r="F1377" i="14"/>
  <c r="B1377" i="14"/>
  <c r="B1347" i="1"/>
  <c r="F1348" i="1" s="1"/>
  <c r="I1379" i="14" l="1"/>
  <c r="F1378" i="14"/>
  <c r="B1378" i="14"/>
  <c r="B1348" i="1"/>
  <c r="F1349" i="1" s="1"/>
  <c r="I1380" i="14" l="1"/>
  <c r="F1379" i="14"/>
  <c r="B1379" i="14"/>
  <c r="B1349" i="1"/>
  <c r="F1350" i="1" s="1"/>
  <c r="F1380" i="14" l="1"/>
  <c r="I1381" i="14"/>
  <c r="B1380" i="14"/>
  <c r="B1350" i="1"/>
  <c r="F1351" i="1" s="1"/>
  <c r="F1381" i="14" l="1"/>
  <c r="I1382" i="14"/>
  <c r="B1381" i="14"/>
  <c r="B1351" i="1"/>
  <c r="F1352" i="1" s="1"/>
  <c r="F1382" i="14" l="1"/>
  <c r="I1383" i="14"/>
  <c r="B1382" i="14"/>
  <c r="B1352" i="1"/>
  <c r="F1353" i="1" s="1"/>
  <c r="I1384" i="14" l="1"/>
  <c r="F1383" i="14"/>
  <c r="B1383" i="14"/>
  <c r="B1353" i="1"/>
  <c r="F1354" i="1" s="1"/>
  <c r="I1385" i="14" l="1"/>
  <c r="F1384" i="14"/>
  <c r="B1384" i="14"/>
  <c r="B1354" i="1"/>
  <c r="F1355" i="1" s="1"/>
  <c r="I1386" i="14" l="1"/>
  <c r="F1385" i="14"/>
  <c r="B1385" i="14"/>
  <c r="B1355" i="1"/>
  <c r="F1356" i="1" s="1"/>
  <c r="I1387" i="14" l="1"/>
  <c r="F1386" i="14"/>
  <c r="B1386" i="14"/>
  <c r="B1356" i="1"/>
  <c r="F1357" i="1" s="1"/>
  <c r="F1387" i="14" l="1"/>
  <c r="I1388" i="14"/>
  <c r="B1387" i="14"/>
  <c r="B1357" i="1"/>
  <c r="F1358" i="1" s="1"/>
  <c r="I1389" i="14" l="1"/>
  <c r="F1388" i="14"/>
  <c r="B1388" i="14"/>
  <c r="B1358" i="1"/>
  <c r="F1359" i="1" s="1"/>
  <c r="I1390" i="14" l="1"/>
  <c r="F1389" i="14"/>
  <c r="B1389" i="14"/>
  <c r="B1359" i="1"/>
  <c r="F1360" i="1" s="1"/>
  <c r="I1391" i="14" l="1"/>
  <c r="F1390" i="14"/>
  <c r="B1390" i="14"/>
  <c r="B1360" i="1"/>
  <c r="F1361" i="1" s="1"/>
  <c r="I1392" i="14" l="1"/>
  <c r="F1391" i="14"/>
  <c r="B1391" i="14"/>
  <c r="B1361" i="1"/>
  <c r="F1362" i="1" s="1"/>
  <c r="I1393" i="14" l="1"/>
  <c r="F1392" i="14"/>
  <c r="B1392" i="14"/>
  <c r="B1362" i="1"/>
  <c r="F1363" i="1" s="1"/>
  <c r="I1394" i="14" l="1"/>
  <c r="F1393" i="14"/>
  <c r="B1393" i="14"/>
  <c r="B1363" i="1"/>
  <c r="F1364" i="1" s="1"/>
  <c r="F1394" i="14" l="1"/>
  <c r="I1395" i="14"/>
  <c r="B1394" i="14"/>
  <c r="B1364" i="1"/>
  <c r="F1365" i="1" s="1"/>
  <c r="F1395" i="14" l="1"/>
  <c r="I1396" i="14"/>
  <c r="B1395" i="14"/>
  <c r="B1365" i="1"/>
  <c r="F1366" i="1" s="1"/>
  <c r="F1396" i="14" l="1"/>
  <c r="I1397" i="14"/>
  <c r="B1396" i="14"/>
  <c r="B1366" i="1"/>
  <c r="F1367" i="1" s="1"/>
  <c r="F1397" i="14" l="1"/>
  <c r="I1398" i="14"/>
  <c r="B1397" i="14"/>
  <c r="B1367" i="1"/>
  <c r="F1368" i="1" s="1"/>
  <c r="F1398" i="14" l="1"/>
  <c r="I1399" i="14"/>
  <c r="B1398" i="14"/>
  <c r="B1368" i="1"/>
  <c r="F1369" i="1" s="1"/>
  <c r="I1400" i="14" l="1"/>
  <c r="F1399" i="14"/>
  <c r="B1399" i="14"/>
  <c r="B1369" i="1"/>
  <c r="F1370" i="1" s="1"/>
  <c r="I1401" i="14" l="1"/>
  <c r="F1400" i="14"/>
  <c r="B1400" i="14"/>
  <c r="B1370" i="1"/>
  <c r="F1371" i="1" s="1"/>
  <c r="F1401" i="14" l="1"/>
  <c r="I1402" i="14"/>
  <c r="B1401" i="14"/>
  <c r="B1371" i="1"/>
  <c r="F1372" i="1" s="1"/>
  <c r="I1403" i="14" l="1"/>
  <c r="F1402" i="14"/>
  <c r="B1402" i="14"/>
  <c r="B1372" i="1"/>
  <c r="F1373" i="1" s="1"/>
  <c r="I1404" i="14" l="1"/>
  <c r="F1403" i="14"/>
  <c r="B1403" i="14"/>
  <c r="B1373" i="1"/>
  <c r="F1374" i="1" s="1"/>
  <c r="I1405" i="14" l="1"/>
  <c r="F1404" i="14"/>
  <c r="B1404" i="14"/>
  <c r="B1374" i="1"/>
  <c r="F1375" i="1" s="1"/>
  <c r="I1406" i="14" l="1"/>
  <c r="F1405" i="14"/>
  <c r="B1405" i="14"/>
  <c r="B1375" i="1"/>
  <c r="F1376" i="1" s="1"/>
  <c r="I1407" i="14" l="1"/>
  <c r="F1406" i="14"/>
  <c r="B1406" i="14"/>
  <c r="B1376" i="1"/>
  <c r="F1377" i="1" s="1"/>
  <c r="F1407" i="14" l="1"/>
  <c r="I1408" i="14"/>
  <c r="B1407" i="14"/>
  <c r="B1377" i="1"/>
  <c r="F1378" i="1" s="1"/>
  <c r="I1409" i="14" l="1"/>
  <c r="F1408" i="14"/>
  <c r="B1408" i="14"/>
  <c r="B1378" i="1"/>
  <c r="F1379" i="1" s="1"/>
  <c r="I1410" i="14" l="1"/>
  <c r="F1409" i="14"/>
  <c r="B1409" i="14"/>
  <c r="B1379" i="1"/>
  <c r="F1380" i="1" s="1"/>
  <c r="I1411" i="14" l="1"/>
  <c r="F1410" i="14"/>
  <c r="B1410" i="14"/>
  <c r="B1380" i="1"/>
  <c r="F1381" i="1" s="1"/>
  <c r="F1411" i="14" l="1"/>
  <c r="I1412" i="14"/>
  <c r="B1411" i="14"/>
  <c r="B1381" i="1"/>
  <c r="F1382" i="1" s="1"/>
  <c r="I1413" i="14" l="1"/>
  <c r="F1412" i="14"/>
  <c r="B1412" i="14"/>
  <c r="B1382" i="1"/>
  <c r="F1383" i="1" s="1"/>
  <c r="I1414" i="14" l="1"/>
  <c r="F1413" i="14"/>
  <c r="B1413" i="14"/>
  <c r="B1383" i="1"/>
  <c r="F1384" i="1" s="1"/>
  <c r="I1415" i="14" l="1"/>
  <c r="F1414" i="14"/>
  <c r="B1414" i="14"/>
  <c r="B1384" i="1"/>
  <c r="F1385" i="1" s="1"/>
  <c r="I1416" i="14" l="1"/>
  <c r="F1415" i="14"/>
  <c r="B1415" i="14"/>
  <c r="B1385" i="1"/>
  <c r="F1386" i="1" s="1"/>
  <c r="I1417" i="14" l="1"/>
  <c r="F1416" i="14"/>
  <c r="B1416" i="14"/>
  <c r="B1386" i="1"/>
  <c r="F1387" i="1" s="1"/>
  <c r="I1418" i="14" l="1"/>
  <c r="F1417" i="14"/>
  <c r="B1417" i="14"/>
  <c r="B1387" i="1"/>
  <c r="F1388" i="1" s="1"/>
  <c r="I1419" i="14" l="1"/>
  <c r="F1418" i="14"/>
  <c r="B1418" i="14"/>
  <c r="B1388" i="1"/>
  <c r="F1389" i="1" s="1"/>
  <c r="I1420" i="14" l="1"/>
  <c r="F1419" i="14"/>
  <c r="B1419" i="14"/>
  <c r="B1389" i="1"/>
  <c r="F1390" i="1" s="1"/>
  <c r="F1420" i="14" l="1"/>
  <c r="I1421" i="14"/>
  <c r="B1420" i="14"/>
  <c r="B1390" i="1"/>
  <c r="F1391" i="1" s="1"/>
  <c r="I1422" i="14" l="1"/>
  <c r="F1421" i="14"/>
  <c r="B1421" i="14"/>
  <c r="B1391" i="1"/>
  <c r="F1392" i="1" s="1"/>
  <c r="F1422" i="14" l="1"/>
  <c r="I1423" i="14"/>
  <c r="B1422" i="14"/>
  <c r="B1392" i="1"/>
  <c r="F1393" i="1" s="1"/>
  <c r="F1423" i="14" l="1"/>
  <c r="I1424" i="14"/>
  <c r="B1423" i="14"/>
  <c r="B1393" i="1"/>
  <c r="F1394" i="1" s="1"/>
  <c r="I1425" i="14" l="1"/>
  <c r="F1424" i="14"/>
  <c r="B1424" i="14"/>
  <c r="B1394" i="1"/>
  <c r="F1395" i="1" s="1"/>
  <c r="F1425" i="14" l="1"/>
  <c r="I1426" i="14"/>
  <c r="B1425" i="14"/>
  <c r="B1395" i="1"/>
  <c r="F1396" i="1" s="1"/>
  <c r="I1427" i="14" l="1"/>
  <c r="F1426" i="14"/>
  <c r="B1426" i="14"/>
  <c r="B1396" i="1"/>
  <c r="F1397" i="1" s="1"/>
  <c r="I1428" i="14" l="1"/>
  <c r="F1427" i="14"/>
  <c r="B1427" i="14"/>
  <c r="B1397" i="1"/>
  <c r="F1398" i="1" s="1"/>
  <c r="I1429" i="14" l="1"/>
  <c r="F1428" i="14"/>
  <c r="B1428" i="14"/>
  <c r="B1398" i="1"/>
  <c r="F1399" i="1" s="1"/>
  <c r="F1429" i="14" l="1"/>
  <c r="I1430" i="14"/>
  <c r="B1429" i="14"/>
  <c r="B1399" i="1"/>
  <c r="F1400" i="1" s="1"/>
  <c r="I1431" i="14" l="1"/>
  <c r="F1430" i="14"/>
  <c r="B1430" i="14"/>
  <c r="B1400" i="1"/>
  <c r="F1401" i="1" s="1"/>
  <c r="I1432" i="14" l="1"/>
  <c r="F1431" i="14"/>
  <c r="B1431" i="14"/>
  <c r="B1401" i="1"/>
  <c r="F1402" i="1" s="1"/>
  <c r="I1433" i="14" l="1"/>
  <c r="F1432" i="14"/>
  <c r="B1432" i="14"/>
  <c r="B1402" i="1"/>
  <c r="F1403" i="1" s="1"/>
  <c r="I1434" i="14" l="1"/>
  <c r="F1433" i="14"/>
  <c r="B1433" i="14"/>
  <c r="B1403" i="1"/>
  <c r="F1404" i="1" s="1"/>
  <c r="I1435" i="14" l="1"/>
  <c r="F1434" i="14"/>
  <c r="B1434" i="14"/>
  <c r="B1404" i="1"/>
  <c r="F1405" i="1" s="1"/>
  <c r="F1435" i="14" l="1"/>
  <c r="I1436" i="14"/>
  <c r="B1435" i="14"/>
  <c r="B1405" i="1"/>
  <c r="F1406" i="1" s="1"/>
  <c r="I1437" i="14" l="1"/>
  <c r="F1436" i="14"/>
  <c r="B1436" i="14"/>
  <c r="B1406" i="1"/>
  <c r="F1407" i="1" s="1"/>
  <c r="I1438" i="14" l="1"/>
  <c r="F1437" i="14"/>
  <c r="B1437" i="14"/>
  <c r="B1407" i="1"/>
  <c r="F1408" i="1" s="1"/>
  <c r="I1439" i="14" l="1"/>
  <c r="F1438" i="14"/>
  <c r="B1438" i="14"/>
  <c r="B1408" i="1"/>
  <c r="F1409" i="1" s="1"/>
  <c r="I1440" i="14" l="1"/>
  <c r="F1439" i="14"/>
  <c r="B1439" i="14"/>
  <c r="B1409" i="1"/>
  <c r="F1410" i="1" s="1"/>
  <c r="I1441" i="14" l="1"/>
  <c r="F1440" i="14"/>
  <c r="B1440" i="14"/>
  <c r="B1410" i="1"/>
  <c r="F1411" i="1" s="1"/>
  <c r="I1442" i="14" l="1"/>
  <c r="F1441" i="14"/>
  <c r="B1441" i="14"/>
  <c r="B1411" i="1"/>
  <c r="F1412" i="1" s="1"/>
  <c r="I1443" i="14" l="1"/>
  <c r="F1442" i="14"/>
  <c r="B1442" i="14"/>
  <c r="B1412" i="1"/>
  <c r="F1413" i="1" s="1"/>
  <c r="I1444" i="14" l="1"/>
  <c r="F1443" i="14"/>
  <c r="B1443" i="14"/>
  <c r="B1413" i="1"/>
  <c r="F1414" i="1" s="1"/>
  <c r="I1445" i="14" l="1"/>
  <c r="F1444" i="14"/>
  <c r="B1444" i="14"/>
  <c r="B1414" i="1"/>
  <c r="F1415" i="1" s="1"/>
  <c r="F1445" i="14" l="1"/>
  <c r="I1446" i="14"/>
  <c r="B1445" i="14"/>
  <c r="B1415" i="1"/>
  <c r="F1416" i="1" s="1"/>
  <c r="I1447" i="14" l="1"/>
  <c r="F1446" i="14"/>
  <c r="B1446" i="14"/>
  <c r="B1416" i="1"/>
  <c r="F1417" i="1" s="1"/>
  <c r="I1448" i="14" l="1"/>
  <c r="F1447" i="14"/>
  <c r="B1447" i="14"/>
  <c r="B1417" i="1"/>
  <c r="F1418" i="1" s="1"/>
  <c r="I1449" i="14" l="1"/>
  <c r="F1448" i="14"/>
  <c r="B1448" i="14"/>
  <c r="B1418" i="1"/>
  <c r="F1419" i="1" s="1"/>
  <c r="F1449" i="14" l="1"/>
  <c r="I1450" i="14"/>
  <c r="B1449" i="14"/>
  <c r="B1419" i="1"/>
  <c r="F1420" i="1" s="1"/>
  <c r="I1451" i="14" l="1"/>
  <c r="F1450" i="14"/>
  <c r="B1450" i="14"/>
  <c r="B1420" i="1"/>
  <c r="F1421" i="1" s="1"/>
  <c r="I1452" i="14" l="1"/>
  <c r="F1451" i="14"/>
  <c r="B1451" i="14"/>
  <c r="B1421" i="1"/>
  <c r="F1422" i="1" s="1"/>
  <c r="I1453" i="14" l="1"/>
  <c r="F1452" i="14"/>
  <c r="B1452" i="14"/>
  <c r="B1422" i="1"/>
  <c r="F1423" i="1" s="1"/>
  <c r="I1454" i="14" l="1"/>
  <c r="F1453" i="14"/>
  <c r="B1453" i="14"/>
  <c r="B1423" i="1"/>
  <c r="F1424" i="1" s="1"/>
  <c r="I1455" i="14" l="1"/>
  <c r="F1454" i="14"/>
  <c r="B1454" i="14"/>
  <c r="B1424" i="1"/>
  <c r="F1425" i="1" s="1"/>
  <c r="I1456" i="14" l="1"/>
  <c r="F1455" i="14"/>
  <c r="B1455" i="14"/>
  <c r="B1425" i="1"/>
  <c r="F1426" i="1" s="1"/>
  <c r="I1457" i="14" l="1"/>
  <c r="F1456" i="14"/>
  <c r="B1456" i="14"/>
  <c r="B1426" i="1"/>
  <c r="F1427" i="1" s="1"/>
  <c r="F1457" i="14" l="1"/>
  <c r="I1458" i="14"/>
  <c r="B1457" i="14"/>
  <c r="B1427" i="1"/>
  <c r="F1428" i="1" s="1"/>
  <c r="F1458" i="14" l="1"/>
  <c r="I1459" i="14"/>
  <c r="B1458" i="14"/>
  <c r="B1428" i="1"/>
  <c r="F1429" i="1" s="1"/>
  <c r="I1460" i="14" l="1"/>
  <c r="F1459" i="14"/>
  <c r="B1459" i="14"/>
  <c r="B1429" i="1"/>
  <c r="F1430" i="1" s="1"/>
  <c r="I1461" i="14" l="1"/>
  <c r="F1460" i="14"/>
  <c r="B1460" i="14"/>
  <c r="B1430" i="1"/>
  <c r="F1431" i="1" s="1"/>
  <c r="I1462" i="14" l="1"/>
  <c r="F1461" i="14"/>
  <c r="B1461" i="14"/>
  <c r="B1431" i="1"/>
  <c r="F1432" i="1" s="1"/>
  <c r="I1463" i="14" l="1"/>
  <c r="F1462" i="14"/>
  <c r="B1462" i="14"/>
  <c r="B1432" i="1"/>
  <c r="F1433" i="1" s="1"/>
  <c r="I1464" i="14" l="1"/>
  <c r="F1463" i="14"/>
  <c r="B1463" i="14"/>
  <c r="B1433" i="1"/>
  <c r="F1434" i="1" s="1"/>
  <c r="I1465" i="14" l="1"/>
  <c r="F1464" i="14"/>
  <c r="B1464" i="14"/>
  <c r="B1434" i="1"/>
  <c r="F1435" i="1" s="1"/>
  <c r="I1466" i="14" l="1"/>
  <c r="F1465" i="14"/>
  <c r="B1465" i="14"/>
  <c r="B1435" i="1"/>
  <c r="F1436" i="1" s="1"/>
  <c r="I1467" i="14" l="1"/>
  <c r="F1466" i="14"/>
  <c r="B1466" i="14"/>
  <c r="B1436" i="1"/>
  <c r="F1437" i="1" s="1"/>
  <c r="I1468" i="14" l="1"/>
  <c r="F1467" i="14"/>
  <c r="B1467" i="14"/>
  <c r="B1437" i="1"/>
  <c r="F1438" i="1" s="1"/>
  <c r="I1469" i="14" l="1"/>
  <c r="F1468" i="14"/>
  <c r="B1468" i="14"/>
  <c r="B1438" i="1"/>
  <c r="F1439" i="1" s="1"/>
  <c r="I1470" i="14" l="1"/>
  <c r="F1469" i="14"/>
  <c r="B1469" i="14"/>
  <c r="B1439" i="1"/>
  <c r="F1440" i="1" s="1"/>
  <c r="I1471" i="14" l="1"/>
  <c r="F1470" i="14"/>
  <c r="B1470" i="14"/>
  <c r="B1440" i="1"/>
  <c r="F1441" i="1" s="1"/>
  <c r="F1471" i="14" l="1"/>
  <c r="I1472" i="14"/>
  <c r="B1471" i="14"/>
  <c r="B1441" i="1"/>
  <c r="F1442" i="1" s="1"/>
  <c r="I1473" i="14" l="1"/>
  <c r="F1472" i="14"/>
  <c r="B1472" i="14"/>
  <c r="B1442" i="1"/>
  <c r="F1443" i="1" s="1"/>
  <c r="I1474" i="14" l="1"/>
  <c r="F1473" i="14"/>
  <c r="B1473" i="14"/>
  <c r="B1443" i="1"/>
  <c r="F1444" i="1" s="1"/>
  <c r="F1474" i="14" l="1"/>
  <c r="I1475" i="14"/>
  <c r="B1474" i="14"/>
  <c r="B1444" i="1"/>
  <c r="F1445" i="1" s="1"/>
  <c r="I1476" i="14" l="1"/>
  <c r="F1475" i="14"/>
  <c r="B1475" i="14"/>
  <c r="B1445" i="1"/>
  <c r="F1446" i="1" s="1"/>
  <c r="F1476" i="14" l="1"/>
  <c r="I1477" i="14"/>
  <c r="B1476" i="14"/>
  <c r="B1446" i="1"/>
  <c r="F1447" i="1" s="1"/>
  <c r="I1478" i="14" l="1"/>
  <c r="F1477" i="14"/>
  <c r="B1477" i="14"/>
  <c r="B1447" i="1"/>
  <c r="F1448" i="1" s="1"/>
  <c r="I1479" i="14" l="1"/>
  <c r="F1478" i="14"/>
  <c r="B1478" i="14"/>
  <c r="B1448" i="1"/>
  <c r="F1449" i="1" s="1"/>
  <c r="I1480" i="14" l="1"/>
  <c r="F1479" i="14"/>
  <c r="B1479" i="14"/>
  <c r="B1449" i="1"/>
  <c r="F1450" i="1" s="1"/>
  <c r="I1481" i="14" l="1"/>
  <c r="F1480" i="14"/>
  <c r="B1480" i="14"/>
  <c r="B1450" i="1"/>
  <c r="F1451" i="1" s="1"/>
  <c r="F1481" i="14" l="1"/>
  <c r="I1482" i="14"/>
  <c r="B1481" i="14"/>
  <c r="B1451" i="1"/>
  <c r="F1452" i="1" s="1"/>
  <c r="I1483" i="14" l="1"/>
  <c r="F1482" i="14"/>
  <c r="B1482" i="14"/>
  <c r="B1452" i="1"/>
  <c r="F1453" i="1" s="1"/>
  <c r="F1483" i="14" l="1"/>
  <c r="I1484" i="14"/>
  <c r="B1483" i="14"/>
  <c r="B1453" i="1"/>
  <c r="F1454" i="1" s="1"/>
  <c r="I1485" i="14" l="1"/>
  <c r="F1484" i="14"/>
  <c r="B1484" i="14"/>
  <c r="B1454" i="1"/>
  <c r="F1455" i="1" s="1"/>
  <c r="I1486" i="14" l="1"/>
  <c r="F1485" i="14"/>
  <c r="B1485" i="14"/>
  <c r="B1455" i="1"/>
  <c r="F1456" i="1" s="1"/>
  <c r="F1486" i="14" l="1"/>
  <c r="I1487" i="14"/>
  <c r="B1486" i="14"/>
  <c r="B1456" i="1"/>
  <c r="F1457" i="1" s="1"/>
  <c r="I1488" i="14" l="1"/>
  <c r="F1487" i="14"/>
  <c r="B1487" i="14"/>
  <c r="B1457" i="1"/>
  <c r="F1458" i="1" s="1"/>
  <c r="F1488" i="14" l="1"/>
  <c r="I1489" i="14"/>
  <c r="B1488" i="14"/>
  <c r="B1458" i="1"/>
  <c r="F1459" i="1" s="1"/>
  <c r="I1490" i="14" l="1"/>
  <c r="F1489" i="14"/>
  <c r="B1489" i="14"/>
  <c r="B1459" i="1"/>
  <c r="F1460" i="1" s="1"/>
  <c r="I1491" i="14" l="1"/>
  <c r="F1490" i="14"/>
  <c r="B1490" i="14"/>
  <c r="B1460" i="1"/>
  <c r="F1461" i="1" s="1"/>
  <c r="I1492" i="14" l="1"/>
  <c r="F1491" i="14"/>
  <c r="B1491" i="14"/>
  <c r="B1461" i="1"/>
  <c r="F1462" i="1" s="1"/>
  <c r="I1493" i="14" l="1"/>
  <c r="F1492" i="14"/>
  <c r="B1492" i="14"/>
  <c r="B1462" i="1"/>
  <c r="F1463" i="1" s="1"/>
  <c r="I1494" i="14" l="1"/>
  <c r="F1493" i="14"/>
  <c r="B1493" i="14"/>
  <c r="B1463" i="1"/>
  <c r="F1464" i="1" s="1"/>
  <c r="I1495" i="14" l="1"/>
  <c r="F1494" i="14"/>
  <c r="B1494" i="14"/>
  <c r="B1464" i="1"/>
  <c r="F1465" i="1" s="1"/>
  <c r="I1496" i="14" l="1"/>
  <c r="F1495" i="14"/>
  <c r="B1495" i="14"/>
  <c r="B1465" i="1"/>
  <c r="F1466" i="1" s="1"/>
  <c r="I1497" i="14" l="1"/>
  <c r="F1496" i="14"/>
  <c r="B1496" i="14"/>
  <c r="B1466" i="1"/>
  <c r="F1467" i="1" s="1"/>
  <c r="I1498" i="14" l="1"/>
  <c r="F1497" i="14"/>
  <c r="B1497" i="14"/>
  <c r="B1467" i="1"/>
  <c r="F1468" i="1" s="1"/>
  <c r="I1499" i="14" l="1"/>
  <c r="F1498" i="14"/>
  <c r="B1498" i="14"/>
  <c r="B1468" i="1"/>
  <c r="F1469" i="1" s="1"/>
  <c r="I1500" i="14" l="1"/>
  <c r="F1499" i="14"/>
  <c r="B1499" i="14"/>
  <c r="B1469" i="1"/>
  <c r="F1470" i="1" s="1"/>
  <c r="I1501" i="14" l="1"/>
  <c r="F1500" i="14"/>
  <c r="B1500" i="14"/>
  <c r="B1470" i="1"/>
  <c r="F1471" i="1" s="1"/>
  <c r="F1501" i="14" l="1"/>
  <c r="I1502" i="14"/>
  <c r="B1501" i="14"/>
  <c r="B1471" i="1"/>
  <c r="F1472" i="1" s="1"/>
  <c r="F1502" i="14" l="1"/>
  <c r="I1503" i="14"/>
  <c r="B1502" i="14"/>
  <c r="B1472" i="1"/>
  <c r="F1473" i="1" s="1"/>
  <c r="I1504" i="14" l="1"/>
  <c r="F1503" i="14"/>
  <c r="B1503" i="14"/>
  <c r="B1473" i="1"/>
  <c r="F1474" i="1" s="1"/>
  <c r="I1505" i="14" l="1"/>
  <c r="F1504" i="14"/>
  <c r="B1504" i="14"/>
  <c r="B1474" i="1"/>
  <c r="F1475" i="1" s="1"/>
  <c r="I1506" i="14" l="1"/>
  <c r="F1505" i="14"/>
  <c r="B1505" i="14"/>
  <c r="B1475" i="1"/>
  <c r="F1476" i="1" s="1"/>
  <c r="F1506" i="14" l="1"/>
  <c r="I1507" i="14"/>
  <c r="B1506" i="14"/>
  <c r="B1476" i="1"/>
  <c r="F1477" i="1" s="1"/>
  <c r="F1507" i="14" l="1"/>
  <c r="I1508" i="14"/>
  <c r="B1507" i="14"/>
  <c r="B1477" i="1"/>
  <c r="F1478" i="1" s="1"/>
  <c r="I1509" i="14" l="1"/>
  <c r="F1508" i="14"/>
  <c r="B1508" i="14"/>
  <c r="B1478" i="1"/>
  <c r="F1479" i="1" s="1"/>
  <c r="F1509" i="14" l="1"/>
  <c r="I1510" i="14"/>
  <c r="B1509" i="14"/>
  <c r="B1479" i="1"/>
  <c r="F1480" i="1" s="1"/>
  <c r="I1511" i="14" l="1"/>
  <c r="F1510" i="14"/>
  <c r="B1510" i="14"/>
  <c r="B1480" i="1"/>
  <c r="F1481" i="1" s="1"/>
  <c r="I1512" i="14" l="1"/>
  <c r="F1511" i="14"/>
  <c r="B1511" i="14"/>
  <c r="B1481" i="1"/>
  <c r="F1482" i="1" s="1"/>
  <c r="I1513" i="14" l="1"/>
  <c r="F1512" i="14"/>
  <c r="B1512" i="14"/>
  <c r="B1482" i="1"/>
  <c r="F1483" i="1" s="1"/>
  <c r="I1514" i="14" l="1"/>
  <c r="F1513" i="14"/>
  <c r="B1513" i="14"/>
  <c r="B1483" i="1"/>
  <c r="F1484" i="1" s="1"/>
  <c r="I1515" i="14" l="1"/>
  <c r="F1514" i="14"/>
  <c r="B1514" i="14"/>
  <c r="B1484" i="1"/>
  <c r="F1485" i="1" s="1"/>
  <c r="I1516" i="14" l="1"/>
  <c r="F1515" i="14"/>
  <c r="B1515" i="14"/>
  <c r="B1485" i="1"/>
  <c r="F1486" i="1" s="1"/>
  <c r="I1517" i="14" l="1"/>
  <c r="F1516" i="14"/>
  <c r="B1516" i="14"/>
  <c r="B1486" i="1"/>
  <c r="F1487" i="1" s="1"/>
  <c r="I1518" i="14" l="1"/>
  <c r="F1517" i="14"/>
  <c r="B1517" i="14"/>
  <c r="B1487" i="1"/>
  <c r="F1488" i="1" s="1"/>
  <c r="I1519" i="14" l="1"/>
  <c r="F1518" i="14"/>
  <c r="B1518" i="14"/>
  <c r="B1488" i="1"/>
  <c r="F1489" i="1" s="1"/>
  <c r="I1520" i="14" l="1"/>
  <c r="F1519" i="14"/>
  <c r="B1519" i="14"/>
  <c r="B1489" i="1"/>
  <c r="F1490" i="1" s="1"/>
  <c r="I1521" i="14" l="1"/>
  <c r="F1520" i="14"/>
  <c r="B1520" i="14"/>
  <c r="B1490" i="1"/>
  <c r="F1491" i="1" s="1"/>
  <c r="I1522" i="14" l="1"/>
  <c r="F1521" i="14"/>
  <c r="B1521" i="14"/>
  <c r="B1491" i="1"/>
  <c r="F1492" i="1" s="1"/>
  <c r="F1522" i="14" l="1"/>
  <c r="I1523" i="14"/>
  <c r="B1522" i="14"/>
  <c r="B1492" i="1"/>
  <c r="F1493" i="1" s="1"/>
  <c r="I1524" i="14" l="1"/>
  <c r="F1523" i="14"/>
  <c r="B1523" i="14"/>
  <c r="B1493" i="1"/>
  <c r="F1494" i="1" s="1"/>
  <c r="I1525" i="14" l="1"/>
  <c r="F1524" i="14"/>
  <c r="B1524" i="14"/>
  <c r="B1494" i="1"/>
  <c r="F1495" i="1" s="1"/>
  <c r="F1525" i="14" l="1"/>
  <c r="I1526" i="14"/>
  <c r="B1525" i="14"/>
  <c r="B1495" i="1"/>
  <c r="F1496" i="1" s="1"/>
  <c r="I1527" i="14" l="1"/>
  <c r="F1526" i="14"/>
  <c r="B1526" i="14"/>
  <c r="B1496" i="1"/>
  <c r="F1497" i="1" s="1"/>
  <c r="F1527" i="14" l="1"/>
  <c r="I1528" i="14"/>
  <c r="B1527" i="14"/>
  <c r="B1497" i="1"/>
  <c r="F1498" i="1" s="1"/>
  <c r="F1528" i="14" l="1"/>
  <c r="I1529" i="14"/>
  <c r="B1528" i="14"/>
  <c r="B1498" i="1"/>
  <c r="F1499" i="1" s="1"/>
  <c r="I1530" i="14" l="1"/>
  <c r="F1529" i="14"/>
  <c r="B1529" i="14"/>
  <c r="B1499" i="1"/>
  <c r="F1500" i="1" s="1"/>
  <c r="I1531" i="14" l="1"/>
  <c r="F1530" i="14"/>
  <c r="B1530" i="14"/>
  <c r="B1500" i="1"/>
  <c r="F1501" i="1" s="1"/>
  <c r="F1531" i="14" l="1"/>
  <c r="I1532" i="14"/>
  <c r="B1531" i="14"/>
  <c r="B1501" i="1"/>
  <c r="F1502" i="1" s="1"/>
  <c r="I1533" i="14" l="1"/>
  <c r="F1532" i="14"/>
  <c r="B1532" i="14"/>
  <c r="B1502" i="1"/>
  <c r="F1503" i="1" s="1"/>
  <c r="I1534" i="14" l="1"/>
  <c r="F1533" i="14"/>
  <c r="B1533" i="14"/>
  <c r="B1503" i="1"/>
  <c r="F1504" i="1" s="1"/>
  <c r="I1535" i="14" l="1"/>
  <c r="F1534" i="14"/>
  <c r="B1534" i="14"/>
  <c r="B1504" i="1"/>
  <c r="F1505" i="1" s="1"/>
  <c r="I1536" i="14" l="1"/>
  <c r="F1535" i="14"/>
  <c r="B1535" i="14"/>
  <c r="B1505" i="1"/>
  <c r="F1506" i="1" s="1"/>
  <c r="I1537" i="14" l="1"/>
  <c r="F1536" i="14"/>
  <c r="B1536" i="14"/>
  <c r="B1506" i="1"/>
  <c r="F1507" i="1" s="1"/>
  <c r="I1538" i="14" l="1"/>
  <c r="F1537" i="14"/>
  <c r="B1537" i="14"/>
  <c r="B1507" i="1"/>
  <c r="F1508" i="1" s="1"/>
  <c r="F1538" i="14" l="1"/>
  <c r="I1539" i="14"/>
  <c r="B1538" i="14"/>
  <c r="B1508" i="1"/>
  <c r="F1509" i="1" s="1"/>
  <c r="F1539" i="14" l="1"/>
  <c r="I1540" i="14"/>
  <c r="B1539" i="14"/>
  <c r="B1509" i="1"/>
  <c r="F1510" i="1" s="1"/>
  <c r="F1540" i="14" l="1"/>
  <c r="I1541" i="14"/>
  <c r="B1540" i="14"/>
  <c r="B1510" i="1"/>
  <c r="F1511" i="1" s="1"/>
  <c r="I1542" i="14" l="1"/>
  <c r="F1541" i="14"/>
  <c r="B1541" i="14"/>
  <c r="B1511" i="1"/>
  <c r="F1512" i="1" s="1"/>
  <c r="I1543" i="14" l="1"/>
  <c r="F1542" i="14"/>
  <c r="B1542" i="14"/>
  <c r="B1512" i="1"/>
  <c r="F1513" i="1" s="1"/>
  <c r="F1543" i="14" l="1"/>
  <c r="I1544" i="14"/>
  <c r="B1543" i="14"/>
  <c r="B1513" i="1"/>
  <c r="F1514" i="1" s="1"/>
  <c r="I1545" i="14" l="1"/>
  <c r="F1544" i="14"/>
  <c r="B1544" i="14"/>
  <c r="B1514" i="1"/>
  <c r="F1515" i="1" s="1"/>
  <c r="I1546" i="14" l="1"/>
  <c r="F1545" i="14"/>
  <c r="B1545" i="14"/>
  <c r="B1515" i="1"/>
  <c r="F1516" i="1" s="1"/>
  <c r="I1547" i="14" l="1"/>
  <c r="F1546" i="14"/>
  <c r="B1546" i="14"/>
  <c r="B1516" i="1"/>
  <c r="F1517" i="1" s="1"/>
  <c r="I1548" i="14" l="1"/>
  <c r="F1547" i="14"/>
  <c r="B1547" i="14"/>
  <c r="B1517" i="1"/>
  <c r="F1518" i="1" s="1"/>
  <c r="I1549" i="14" l="1"/>
  <c r="F1548" i="14"/>
  <c r="B1548" i="14"/>
  <c r="B1518" i="1"/>
  <c r="F1519" i="1" s="1"/>
  <c r="I1550" i="14" l="1"/>
  <c r="F1549" i="14"/>
  <c r="B1549" i="14"/>
  <c r="B1519" i="1"/>
  <c r="F1520" i="1" s="1"/>
  <c r="I1551" i="14" l="1"/>
  <c r="F1550" i="14"/>
  <c r="B1550" i="14"/>
  <c r="B1520" i="1"/>
  <c r="F1521" i="1" s="1"/>
  <c r="F1551" i="14" l="1"/>
  <c r="I1552" i="14"/>
  <c r="B1551" i="14"/>
  <c r="B1521" i="1"/>
  <c r="F1522" i="1" s="1"/>
  <c r="I1553" i="14" l="1"/>
  <c r="F1552" i="14"/>
  <c r="B1552" i="14"/>
  <c r="B1522" i="1"/>
  <c r="F1523" i="1" s="1"/>
  <c r="F1553" i="14" l="1"/>
  <c r="I1554" i="14"/>
  <c r="B1553" i="14"/>
  <c r="B1523" i="1"/>
  <c r="F1524" i="1" s="1"/>
  <c r="F1554" i="14" l="1"/>
  <c r="I1555" i="14"/>
  <c r="B1554" i="14"/>
  <c r="B1524" i="1"/>
  <c r="F1525" i="1" s="1"/>
  <c r="F1555" i="14" l="1"/>
  <c r="I1556" i="14"/>
  <c r="B1555" i="14"/>
  <c r="B1525" i="1"/>
  <c r="F1526" i="1" s="1"/>
  <c r="I1557" i="14" l="1"/>
  <c r="F1556" i="14"/>
  <c r="B1556" i="14"/>
  <c r="B1526" i="1"/>
  <c r="F1527" i="1" s="1"/>
  <c r="F1557" i="14" l="1"/>
  <c r="I1558" i="14"/>
  <c r="B1557" i="14"/>
  <c r="B1527" i="1"/>
  <c r="F1528" i="1" s="1"/>
  <c r="I1559" i="14" l="1"/>
  <c r="F1558" i="14"/>
  <c r="B1558" i="14"/>
  <c r="B1528" i="1"/>
  <c r="F1529" i="1" s="1"/>
  <c r="I1560" i="14" l="1"/>
  <c r="F1559" i="14"/>
  <c r="B1559" i="14"/>
  <c r="B1529" i="1"/>
  <c r="F1530" i="1" s="1"/>
  <c r="I1561" i="14" l="1"/>
  <c r="F1560" i="14"/>
  <c r="B1560" i="14"/>
  <c r="B1530" i="1"/>
  <c r="F1531" i="1" s="1"/>
  <c r="I1562" i="14" l="1"/>
  <c r="F1561" i="14"/>
  <c r="B1561" i="14"/>
  <c r="B1531" i="1"/>
  <c r="F1532" i="1" s="1"/>
  <c r="I1563" i="14" l="1"/>
  <c r="F1562" i="14"/>
  <c r="B1562" i="14"/>
  <c r="B1532" i="1"/>
  <c r="F1533" i="1" s="1"/>
  <c r="I1564" i="14" l="1"/>
  <c r="F1563" i="14"/>
  <c r="B1563" i="14"/>
  <c r="B1533" i="1"/>
  <c r="F1534" i="1" s="1"/>
  <c r="I1565" i="14" l="1"/>
  <c r="F1564" i="14"/>
  <c r="B1564" i="14"/>
  <c r="B1534" i="1"/>
  <c r="F1535" i="1" s="1"/>
  <c r="F1565" i="14" l="1"/>
  <c r="I1566" i="14"/>
  <c r="B1565" i="14"/>
  <c r="B1535" i="1"/>
  <c r="F1536" i="1" s="1"/>
  <c r="F1566" i="14" l="1"/>
  <c r="I1567" i="14"/>
  <c r="B1566" i="14"/>
  <c r="B1536" i="1"/>
  <c r="F1537" i="1" s="1"/>
  <c r="F1567" i="14" l="1"/>
  <c r="I1568" i="14"/>
  <c r="B1567" i="14"/>
  <c r="B1537" i="1"/>
  <c r="F1538" i="1" s="1"/>
  <c r="I1569" i="14" l="1"/>
  <c r="F1568" i="14"/>
  <c r="B1568" i="14"/>
  <c r="B1538" i="1"/>
  <c r="F1539" i="1" s="1"/>
  <c r="F1569" i="14" l="1"/>
  <c r="I1570" i="14"/>
  <c r="B1569" i="14"/>
  <c r="B1539" i="1"/>
  <c r="F1540" i="1" s="1"/>
  <c r="I1571" i="14" l="1"/>
  <c r="F1570" i="14"/>
  <c r="B1570" i="14"/>
  <c r="B1540" i="1"/>
  <c r="F1541" i="1" s="1"/>
  <c r="I1572" i="14" l="1"/>
  <c r="F1571" i="14"/>
  <c r="B1571" i="14"/>
  <c r="B1541" i="1"/>
  <c r="F1542" i="1" s="1"/>
  <c r="I1573" i="14" l="1"/>
  <c r="F1572" i="14"/>
  <c r="B1572" i="14"/>
  <c r="B1542" i="1"/>
  <c r="F1543" i="1" s="1"/>
  <c r="I1574" i="14" l="1"/>
  <c r="F1573" i="14"/>
  <c r="B1573" i="14"/>
  <c r="B1543" i="1"/>
  <c r="F1544" i="1" s="1"/>
  <c r="I1575" i="14" l="1"/>
  <c r="F1574" i="14"/>
  <c r="B1574" i="14"/>
  <c r="B1544" i="1"/>
  <c r="F1545" i="1" s="1"/>
  <c r="I1576" i="14" l="1"/>
  <c r="F1575" i="14"/>
  <c r="B1575" i="14"/>
  <c r="B1545" i="1"/>
  <c r="F1546" i="1" s="1"/>
  <c r="I1577" i="14" l="1"/>
  <c r="F1576" i="14"/>
  <c r="B1576" i="14"/>
  <c r="B1546" i="1"/>
  <c r="F1547" i="1" s="1"/>
  <c r="F1577" i="14" l="1"/>
  <c r="I1578" i="14"/>
  <c r="B1577" i="14"/>
  <c r="B1547" i="1"/>
  <c r="F1548" i="1" s="1"/>
  <c r="I1579" i="14" l="1"/>
  <c r="F1578" i="14"/>
  <c r="B1578" i="14"/>
  <c r="B1548" i="1"/>
  <c r="F1549" i="1" s="1"/>
  <c r="I1580" i="14" l="1"/>
  <c r="F1579" i="14"/>
  <c r="B1579" i="14"/>
  <c r="B1549" i="1"/>
  <c r="F1550" i="1" s="1"/>
  <c r="F1580" i="14" l="1"/>
  <c r="I1581" i="14"/>
  <c r="B1580" i="14"/>
  <c r="B1550" i="1"/>
  <c r="F1551" i="1" s="1"/>
  <c r="I1582" i="14" l="1"/>
  <c r="F1581" i="14"/>
  <c r="B1581" i="14"/>
  <c r="B1551" i="1"/>
  <c r="F1552" i="1" s="1"/>
  <c r="I1583" i="14" l="1"/>
  <c r="F1582" i="14"/>
  <c r="B1582" i="14"/>
  <c r="B1552" i="1"/>
  <c r="F1553" i="1" s="1"/>
  <c r="I1584" i="14" l="1"/>
  <c r="F1583" i="14"/>
  <c r="B1583" i="14"/>
  <c r="B1553" i="1"/>
  <c r="F1554" i="1" s="1"/>
  <c r="F1584" i="14" l="1"/>
  <c r="I1585" i="14"/>
  <c r="B1584" i="14"/>
  <c r="B1554" i="1"/>
  <c r="F1555" i="1" s="1"/>
  <c r="I1586" i="14" l="1"/>
  <c r="F1585" i="14"/>
  <c r="B1585" i="14"/>
  <c r="B1555" i="1"/>
  <c r="F1556" i="1" s="1"/>
  <c r="F1586" i="14" l="1"/>
  <c r="I1587" i="14"/>
  <c r="B1586" i="14"/>
  <c r="B1556" i="1"/>
  <c r="F1557" i="1" s="1"/>
  <c r="F1587" i="14" l="1"/>
  <c r="I1588" i="14"/>
  <c r="B1587" i="14"/>
  <c r="B1557" i="1"/>
  <c r="F1558" i="1" s="1"/>
  <c r="I1589" i="14" l="1"/>
  <c r="F1588" i="14"/>
  <c r="B1588" i="14"/>
  <c r="B1558" i="1"/>
  <c r="F1559" i="1" s="1"/>
  <c r="I1590" i="14" l="1"/>
  <c r="F1589" i="14"/>
  <c r="B1589" i="14"/>
  <c r="B1559" i="1"/>
  <c r="F1560" i="1" s="1"/>
  <c r="I1591" i="14" l="1"/>
  <c r="F1590" i="14"/>
  <c r="B1590" i="14"/>
  <c r="B1560" i="1"/>
  <c r="F1561" i="1" s="1"/>
  <c r="F1591" i="14" l="1"/>
  <c r="I1592" i="14"/>
  <c r="B1591" i="14"/>
  <c r="B1561" i="1"/>
  <c r="F1562" i="1" s="1"/>
  <c r="I1593" i="14" l="1"/>
  <c r="F1592" i="14"/>
  <c r="B1592" i="14"/>
  <c r="B1562" i="1"/>
  <c r="F1563" i="1" s="1"/>
  <c r="I1594" i="14" l="1"/>
  <c r="F1593" i="14"/>
  <c r="B1593" i="14"/>
  <c r="B1563" i="1"/>
  <c r="F1564" i="1" s="1"/>
  <c r="I1595" i="14" l="1"/>
  <c r="F1594" i="14"/>
  <c r="B1594" i="14"/>
  <c r="B1564" i="1"/>
  <c r="F1565" i="1" s="1"/>
  <c r="I1596" i="14" l="1"/>
  <c r="F1595" i="14"/>
  <c r="B1595" i="14"/>
  <c r="B1565" i="1"/>
  <c r="F1566" i="1" s="1"/>
  <c r="I1597" i="14" l="1"/>
  <c r="F1596" i="14"/>
  <c r="B1596" i="14"/>
  <c r="B1566" i="1"/>
  <c r="F1567" i="1" s="1"/>
  <c r="I1598" i="14" l="1"/>
  <c r="F1597" i="14"/>
  <c r="B1597" i="14"/>
  <c r="B1567" i="1"/>
  <c r="F1568" i="1" s="1"/>
  <c r="I1599" i="14" l="1"/>
  <c r="F1598" i="14"/>
  <c r="B1598" i="14"/>
  <c r="B1568" i="1"/>
  <c r="F1569" i="1" s="1"/>
  <c r="I1600" i="14" l="1"/>
  <c r="F1599" i="14"/>
  <c r="B1599" i="14"/>
  <c r="B1569" i="1"/>
  <c r="F1570" i="1" s="1"/>
  <c r="F1600" i="14" l="1"/>
  <c r="I1601" i="14"/>
  <c r="B1600" i="14"/>
  <c r="B1570" i="1"/>
  <c r="F1571" i="1" s="1"/>
  <c r="I1602" i="14" l="1"/>
  <c r="F1601" i="14"/>
  <c r="B1601" i="14"/>
  <c r="B1571" i="1"/>
  <c r="F1572" i="1" s="1"/>
  <c r="F1602" i="14" l="1"/>
  <c r="I1603" i="14"/>
  <c r="B1602" i="14"/>
  <c r="B1572" i="1"/>
  <c r="F1573" i="1" s="1"/>
  <c r="F1603" i="14" l="1"/>
  <c r="I1604" i="14"/>
  <c r="B1603" i="14"/>
  <c r="B1573" i="1"/>
  <c r="F1574" i="1" s="1"/>
  <c r="F1604" i="14" l="1"/>
  <c r="I1605" i="14"/>
  <c r="B1604" i="14"/>
  <c r="B1574" i="1"/>
  <c r="F1575" i="1" s="1"/>
  <c r="F1605" i="14" l="1"/>
  <c r="I1606" i="14"/>
  <c r="B1605" i="14"/>
  <c r="B1575" i="1"/>
  <c r="F1576" i="1" s="1"/>
  <c r="F1606" i="14" l="1"/>
  <c r="I1607" i="14"/>
  <c r="B1606" i="14"/>
  <c r="B1576" i="1"/>
  <c r="F1577" i="1" s="1"/>
  <c r="I1608" i="14" l="1"/>
  <c r="F1607" i="14"/>
  <c r="B1607" i="14"/>
  <c r="B1577" i="1"/>
  <c r="F1578" i="1" s="1"/>
  <c r="I1609" i="14" l="1"/>
  <c r="F1608" i="14"/>
  <c r="B1608" i="14"/>
  <c r="B1578" i="1"/>
  <c r="F1579" i="1" s="1"/>
  <c r="I1610" i="14" l="1"/>
  <c r="F1609" i="14"/>
  <c r="B1609" i="14"/>
  <c r="B1579" i="1"/>
  <c r="F1580" i="1" s="1"/>
  <c r="I1611" i="14" l="1"/>
  <c r="F1610" i="14"/>
  <c r="B1610" i="14"/>
  <c r="F1611" i="14" s="1"/>
  <c r="B1580" i="1"/>
  <c r="F1581" i="1" s="1"/>
  <c r="B1611" i="14" l="1"/>
  <c r="B1581" i="1"/>
  <c r="F1582" i="1" s="1"/>
  <c r="B1582" i="1" l="1"/>
  <c r="F1583" i="1" s="1"/>
  <c r="B1583" i="1" l="1"/>
  <c r="F1584" i="1" s="1"/>
  <c r="B1584" i="1" l="1"/>
  <c r="F1585" i="1" s="1"/>
  <c r="B1585" i="1" l="1"/>
  <c r="F1586" i="1" s="1"/>
  <c r="B1586" i="1" l="1"/>
  <c r="F1587" i="1" s="1"/>
  <c r="B1587" i="1" l="1"/>
  <c r="F1588" i="1" s="1"/>
  <c r="B1588" i="1" l="1"/>
  <c r="F1589" i="1" s="1"/>
  <c r="B1589" i="1" l="1"/>
  <c r="F1590" i="1" s="1"/>
  <c r="B1590" i="1" l="1"/>
  <c r="F1591" i="1" s="1"/>
  <c r="B1591" i="1" l="1"/>
  <c r="F1592" i="1" s="1"/>
  <c r="B1592" i="1" l="1"/>
  <c r="F1593" i="1" s="1"/>
  <c r="B1593" i="1" l="1"/>
  <c r="F1594" i="1" s="1"/>
  <c r="B1594" i="1" l="1"/>
  <c r="F1595" i="1" s="1"/>
  <c r="B1595" i="1" l="1"/>
  <c r="F1596" i="1" s="1"/>
  <c r="B1596" i="1" l="1"/>
  <c r="F1597" i="1" s="1"/>
  <c r="B1597" i="1" l="1"/>
  <c r="F1598" i="1" s="1"/>
  <c r="B1598" i="1" l="1"/>
  <c r="F1599" i="1" s="1"/>
  <c r="B1599" i="1" l="1"/>
  <c r="F1600" i="1" s="1"/>
  <c r="B1600" i="1" l="1"/>
  <c r="F1601" i="1" s="1"/>
  <c r="B1601" i="1" l="1"/>
  <c r="F1602" i="1" s="1"/>
  <c r="B1602" i="1" l="1"/>
  <c r="F1603" i="1" s="1"/>
  <c r="B1603" i="1" l="1"/>
  <c r="F1604" i="1" s="1"/>
  <c r="B1604" i="1" l="1"/>
  <c r="F1605" i="1" s="1"/>
  <c r="B1605" i="1" l="1"/>
  <c r="F1606" i="1" s="1"/>
  <c r="B1606" i="1" l="1"/>
  <c r="F1607" i="1" s="1"/>
  <c r="B1607" i="1" l="1"/>
  <c r="F1608" i="1" s="1"/>
  <c r="B1608" i="1" l="1"/>
  <c r="F1609" i="1" s="1"/>
  <c r="B1609" i="1" l="1"/>
  <c r="F1610" i="1" s="1"/>
  <c r="B1610" i="1" l="1"/>
  <c r="F1611" i="1" s="1"/>
  <c r="B1611" i="1" l="1"/>
  <c r="F18" i="4"/>
  <c r="F3" i="4" s="1"/>
  <c r="B6" i="16"/>
  <c r="C14" i="16"/>
  <c r="C6" i="16" s="1"/>
  <c r="H6" i="16" s="1"/>
  <c r="O6" i="16" l="1"/>
</calcChain>
</file>

<file path=xl/sharedStrings.xml><?xml version="1.0" encoding="utf-8"?>
<sst xmlns="http://schemas.openxmlformats.org/spreadsheetml/2006/main" count="914" uniqueCount="212">
  <si>
    <t>INCC Base</t>
  </si>
  <si>
    <t>Data Base</t>
  </si>
  <si>
    <t>Valor da Taxa (Orç)</t>
  </si>
  <si>
    <t>Valor da Taxa (Reaj)</t>
  </si>
  <si>
    <t>Unna</t>
  </si>
  <si>
    <t>Mês</t>
  </si>
  <si>
    <t>INCC</t>
  </si>
  <si>
    <t>INCC (Calc)</t>
  </si>
  <si>
    <t>Valor Base</t>
  </si>
  <si>
    <t>Valor Reajustado (Cobrado)</t>
  </si>
  <si>
    <t>Diferença</t>
  </si>
  <si>
    <t>Vizione</t>
  </si>
  <si>
    <t>-</t>
  </si>
  <si>
    <t>Solenne</t>
  </si>
  <si>
    <t>Jardim dos Manacás</t>
  </si>
  <si>
    <t>Croma</t>
  </si>
  <si>
    <t>Floripa Shopping</t>
  </si>
  <si>
    <t>PDV Buenos Aires</t>
  </si>
  <si>
    <t>Valor Gasto (GRD)</t>
  </si>
  <si>
    <t>Origens</t>
  </si>
  <si>
    <t>Hall Design</t>
  </si>
  <si>
    <t>Valor Líquido</t>
  </si>
  <si>
    <t>Aretha</t>
  </si>
  <si>
    <t>Valor Orçado</t>
  </si>
  <si>
    <t>Medição</t>
  </si>
  <si>
    <t>Assistência técnica S.A</t>
  </si>
  <si>
    <t>Caseiros - Piemonte Ltda</t>
  </si>
  <si>
    <t>Caseiro Biguaçu</t>
  </si>
  <si>
    <t>Caseiro Cantu Fortaleza</t>
  </si>
  <si>
    <t>Caseiro Parque das Artes</t>
  </si>
  <si>
    <t>Taxa Cantu mensal</t>
  </si>
  <si>
    <t>Descrição</t>
  </si>
  <si>
    <t>Valor</t>
  </si>
  <si>
    <t>OBS:
- INCC MÊS ANTERIOR;
- EMITE ND NO MÊS;
- PAGAMENTO PRÓXIMO MÊS.</t>
  </si>
  <si>
    <t>SALDO</t>
  </si>
  <si>
    <t>ACUMULADO</t>
  </si>
  <si>
    <t>1° MEDIÇÃO</t>
  </si>
  <si>
    <t>2° MEDIÇÃO</t>
  </si>
  <si>
    <t>3° MEDIÇÃO</t>
  </si>
  <si>
    <t>4° MEDIÇÃO</t>
  </si>
  <si>
    <t>5° MEDIÇÃO</t>
  </si>
  <si>
    <t>6° MEDIÇÃO</t>
  </si>
  <si>
    <t>7° MEDIÇÃO</t>
  </si>
  <si>
    <t>8° MEDIÇÃO</t>
  </si>
  <si>
    <t>9° MEDIÇÃO</t>
  </si>
  <si>
    <t>10° MEDIÇÃO</t>
  </si>
  <si>
    <t>11° MEDIÇÃO</t>
  </si>
  <si>
    <t>12° MEDIÇÃO</t>
  </si>
  <si>
    <t>13° MEDIÇÃO</t>
  </si>
  <si>
    <t>TAXA DE ADMINISTRAÇÃO</t>
  </si>
  <si>
    <t>UNIDADE</t>
  </si>
  <si>
    <t>QUANTIDADE</t>
  </si>
  <si>
    <t>VALOR UNITÁRIO</t>
  </si>
  <si>
    <t>VALOR TOTAL</t>
  </si>
  <si>
    <t>QTD</t>
  </si>
  <si>
    <t>R$</t>
  </si>
  <si>
    <t>PARCELAS FIXAS E MENSAIS</t>
  </si>
  <si>
    <t>MES</t>
  </si>
  <si>
    <t>PARCELA FIXA (30 DIAS APÓS A CONCLUSÃO)</t>
  </si>
  <si>
    <t>PARCELA REAJUSTADA (60 DIAS APÓS A CONCLUSÃO)</t>
  </si>
  <si>
    <t>14° MEDIÇÃO</t>
  </si>
  <si>
    <t>Locação Manitu (Manacás)</t>
  </si>
  <si>
    <t>Locação Bobcat (Limpeza terreno)</t>
  </si>
  <si>
    <t>15° MEDIÇÃO</t>
  </si>
  <si>
    <t>Caução</t>
  </si>
  <si>
    <t>Permuta</t>
  </si>
  <si>
    <t>16° MEDIÇÃO</t>
  </si>
  <si>
    <t>PERMUTA</t>
  </si>
  <si>
    <t>%</t>
  </si>
  <si>
    <t>17° MEDIÇÃO</t>
  </si>
  <si>
    <t>Comporta</t>
  </si>
  <si>
    <t>CONTRATO FAS</t>
  </si>
  <si>
    <t>Valor Cobrado</t>
  </si>
  <si>
    <t>Saldo</t>
  </si>
  <si>
    <t>18° MEDIÇÃO</t>
  </si>
  <si>
    <t>19° MEDIÇÃO</t>
  </si>
  <si>
    <t>Pace</t>
  </si>
  <si>
    <t>Piemonte</t>
  </si>
  <si>
    <t>Valor Total Taxa ADM</t>
  </si>
  <si>
    <t>Medição Acumulada</t>
  </si>
  <si>
    <t>Valor Total Taxa Medido</t>
  </si>
  <si>
    <t>Valor Taxa ADM</t>
  </si>
  <si>
    <t>Pereira &amp; Decol</t>
  </si>
  <si>
    <t>pegar informações com o Gustavo e validar com o Luis</t>
  </si>
  <si>
    <t>20° MEDIÇÃO</t>
  </si>
  <si>
    <t>Valor contrato FAS</t>
  </si>
  <si>
    <t>Contrato Piemonte 8%</t>
  </si>
  <si>
    <t>Medição Miguel</t>
  </si>
  <si>
    <t>OBS:
- VALOR FIXO;
- EMITE ATÉ DIA 17;
- PAGAMENTO NO DIA 5 PRÓXIMO MÊS;
- LANÇA NO PROTHEUS;
- FAZ MEDIÇÃO NO RM.</t>
  </si>
  <si>
    <t>MO Assist. Técnica</t>
  </si>
  <si>
    <t>21° MEDIÇÃO</t>
  </si>
  <si>
    <t>Terrenos LTDA</t>
  </si>
  <si>
    <t>SPE Biguaçu</t>
  </si>
  <si>
    <t>Cantu FORTALEZA</t>
  </si>
  <si>
    <t>Ass. Téc CANTU</t>
  </si>
  <si>
    <t>SPE Parque das Artes</t>
  </si>
  <si>
    <t>Bobcat Manacás</t>
  </si>
  <si>
    <t>Bobcat Lotes Campo Santana</t>
  </si>
  <si>
    <t>Finalizado</t>
  </si>
  <si>
    <t>22° MEDIÇÃO</t>
  </si>
  <si>
    <t>Qoya</t>
  </si>
  <si>
    <t>Nova curva</t>
  </si>
  <si>
    <t>Realizado</t>
  </si>
  <si>
    <t>Previsto</t>
  </si>
  <si>
    <t>distribuido igualmente diferença de junho</t>
  </si>
  <si>
    <t>Cancelado!</t>
  </si>
  <si>
    <t>Cancelado</t>
  </si>
  <si>
    <t>Taxa cfe execução e ajuste em Dez</t>
  </si>
  <si>
    <t>Sem taxa até Dez</t>
  </si>
  <si>
    <t>23° MEDIÇÃO</t>
  </si>
  <si>
    <t>era pra ter sido cobrado</t>
  </si>
  <si>
    <t>cobrado</t>
  </si>
  <si>
    <t>diferença</t>
  </si>
  <si>
    <t>em 26/07</t>
  </si>
  <si>
    <t>OBS:
- INCC M MÊS ANTERIOR;
- EMITE ND NO MÊS;
- PAGAMENTO PRÓXIMO MÊS.</t>
  </si>
  <si>
    <t>Aram Aba Resumo (coluna AA)</t>
  </si>
  <si>
    <t>24° MEDIÇÃO</t>
  </si>
  <si>
    <t>aba financ compet.</t>
  </si>
  <si>
    <t>Manitou Poty</t>
  </si>
  <si>
    <t>Manitou Manacás</t>
  </si>
  <si>
    <t>25° MEDIÇÃO</t>
  </si>
  <si>
    <t>Taxa Realizado Reajustado</t>
  </si>
  <si>
    <t>Taxa Fixa Reajustada</t>
  </si>
  <si>
    <t>26° MEDIÇÃO</t>
  </si>
  <si>
    <t>Valor Previsto</t>
  </si>
  <si>
    <t>Medição Prevista</t>
  </si>
  <si>
    <t>Valor Reajustado</t>
  </si>
  <si>
    <t>Valor Previsto Total</t>
  </si>
  <si>
    <t>INCC DI (n-1)</t>
  </si>
  <si>
    <t>Lior</t>
  </si>
  <si>
    <t>Poty</t>
  </si>
  <si>
    <t>Nizza</t>
  </si>
  <si>
    <t>INCC M (n-1)</t>
  </si>
  <si>
    <t>Reserva Vivere</t>
  </si>
  <si>
    <t>INCC M</t>
  </si>
  <si>
    <t>INCC DI (n-2)</t>
  </si>
  <si>
    <t>Valor Orçado c/ Aditivos</t>
  </si>
  <si>
    <t>Aditivos Incorporação</t>
  </si>
  <si>
    <t>Valor Previsto Piemonte</t>
  </si>
  <si>
    <t>Valor Previsto Pereira</t>
  </si>
  <si>
    <t>Amíz</t>
  </si>
  <si>
    <t>27° MEDIÇÃO</t>
  </si>
  <si>
    <t>28° MEDIÇÃO</t>
  </si>
  <si>
    <t>29° MEDIÇÃO</t>
  </si>
  <si>
    <t>30° MEDIÇÃO</t>
  </si>
  <si>
    <t>Valor Taxa ADM Base</t>
  </si>
  <si>
    <t>Valor Taxa ADM Reajustado</t>
  </si>
  <si>
    <t>Saldo Taxa ADM (a)</t>
  </si>
  <si>
    <t>Variação INCC no Ano (b)</t>
  </si>
  <si>
    <t xml:space="preserve">Total Taxa ADM Reajustado </t>
  </si>
  <si>
    <t>Δ Diferença 5,00% (c)</t>
  </si>
  <si>
    <t>Reajuste (d)
(a) * (c)</t>
  </si>
  <si>
    <t>saldo</t>
  </si>
  <si>
    <t>FINALIZADO</t>
  </si>
  <si>
    <t>Shopping</t>
  </si>
  <si>
    <t>CUB Base</t>
  </si>
  <si>
    <t>Medição Piemonte</t>
  </si>
  <si>
    <t>Medição Voss</t>
  </si>
  <si>
    <t>CUB</t>
  </si>
  <si>
    <t>Valor Total</t>
  </si>
  <si>
    <t>Valor Cobrado Piemonte</t>
  </si>
  <si>
    <t>Valor Cobrado Voss</t>
  </si>
  <si>
    <t>Valor da Taxa</t>
  </si>
  <si>
    <t>Posto Campo Largo</t>
  </si>
  <si>
    <t>Reforma Nova Frota</t>
  </si>
  <si>
    <t>Reserva Amati</t>
  </si>
  <si>
    <t>PDV Alberi</t>
  </si>
  <si>
    <t>Valor Taxa</t>
  </si>
  <si>
    <t>Varanda ADM</t>
  </si>
  <si>
    <t>Mudar</t>
  </si>
  <si>
    <t>Platea</t>
  </si>
  <si>
    <t>Competência (R$)</t>
  </si>
  <si>
    <t>Taxa ADM (R$)</t>
  </si>
  <si>
    <t>Taxa ADM (INCC)</t>
  </si>
  <si>
    <t>Saldo (INCC)</t>
  </si>
  <si>
    <t>Valor da Taxa (R$)</t>
  </si>
  <si>
    <t>Valor da Taxa (INCC)</t>
  </si>
  <si>
    <t>COBRADO SOMENTE A PERMUTA</t>
  </si>
  <si>
    <t>Orç Base</t>
  </si>
  <si>
    <t>Aditivo Vidro</t>
  </si>
  <si>
    <t>Aditivo Praça Alim</t>
  </si>
  <si>
    <t xml:space="preserve">Previsto </t>
  </si>
  <si>
    <t>Taxa ADM</t>
  </si>
  <si>
    <t>Acumulado</t>
  </si>
  <si>
    <t>Pereira</t>
  </si>
  <si>
    <t>Icaro_F01</t>
  </si>
  <si>
    <t>Aditivo Marcenaria</t>
  </si>
  <si>
    <t>TOTAL PAGO TAXA</t>
  </si>
  <si>
    <t>SALDO TAXA</t>
  </si>
  <si>
    <t>% ABATIMENTO</t>
  </si>
  <si>
    <t>Alberi</t>
  </si>
  <si>
    <t>Ristreto</t>
  </si>
  <si>
    <t>Data</t>
  </si>
  <si>
    <t>O aditivo de MO para aplicação de cimento queimado foi necessário devido a modificação de especificação de produto.</t>
  </si>
  <si>
    <t>O aditivo é referente aos ajustes e solicitações de itens de bancada de interiores não apresentados em projeto.</t>
  </si>
  <si>
    <t>Distrato dos muros referente ao reaproveitamento do muro existente na obraADITIVO</t>
  </si>
  <si>
    <t>Necessidade de aprovação de aditivo devido a divergências entre os revestimentos utilizados para a execução do orçamento e os revestimentos descritos no projeto executivo que temos em obraADITIVO</t>
  </si>
  <si>
    <t>Execução em forro (material + mão de obra)</t>
  </si>
  <si>
    <t>Execução em textura rolada (material + mão de obra)</t>
  </si>
  <si>
    <t>DISTRATO REFERENTE AOS 32 MISTURADORES DA COZINHA</t>
  </si>
  <si>
    <t>Mudança banheira duplex</t>
  </si>
  <si>
    <t>Aditivo e-mail 14/05</t>
  </si>
  <si>
    <t>Quebra duto chaminé</t>
  </si>
  <si>
    <t>GLB</t>
  </si>
  <si>
    <t>Centro de Eventos Unna</t>
  </si>
  <si>
    <t>Valor da Taxa (Reaj) Piemonte</t>
  </si>
  <si>
    <t>Valor da Taxa (Reaj) Voss</t>
  </si>
  <si>
    <t>Valor Permuta</t>
  </si>
  <si>
    <t>Valor Cobrado Permuta</t>
  </si>
  <si>
    <t>Valor Cobrado Liquido</t>
  </si>
  <si>
    <t>Valor Permuta (Reaj)</t>
  </si>
  <si>
    <t>Valor Liquido (Reaj)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</si>
</sst>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mmmm/yyyy"/>
    <numFmt numFmtId="165" formatCode="#,##0.000"/>
    <numFmt numFmtId="166" formatCode="0.000"/>
    <numFmt numFmtId="167" formatCode="_(* #,##0.00_);_(* \(#,##0.00\);_(* &quot;-&quot;??_);_(@_)"/>
    <numFmt numFmtId="168" formatCode="[$-416]mmm\-yy;@"/>
    <numFmt numFmtId="169" formatCode="_(&quot;R$ &quot;* #,##0.00_);_(&quot;R$ &quot;* \(#,##0.00\);_(&quot;R$ &quot;* &quot;-&quot;??_);_(@_)"/>
    <numFmt numFmtId="170" formatCode="_-&quot;R$&quot;* #,##0.00_-;\-&quot;R$&quot;* #,##0.00_-;_-&quot;R$&quot;* &quot;-&quot;??_-;_-@_-"/>
    <numFmt numFmtId="171" formatCode="_(&quot;$&quot;* #,##0.00_);_(&quot;$&quot;* \(#,##0.00\);_(&quot;$&quot;* &quot;-&quot;??_);_(@_)"/>
    <numFmt numFmtId="172" formatCode="0.000%"/>
    <numFmt numFmtId="173" formatCode="_-* #,##0.000_-;\-* #,##0.000_-;_-* &quot;-&quot;???_-;_-@_-"/>
    <numFmt numFmtId="174" formatCode="_-&quot;R$&quot;\ * #,##0.000_-;\-&quot;R$&quot;\ * #,##0.000_-;_-&quot;R$&quot;\ * &quot;-&quot;???_-;_-@_-"/>
    <numFmt numFmtId="175" formatCode="0.000000000000%"/>
    <numFmt numFmtId="176" formatCode="0.00000000%"/>
    <numFmt numFmtId="177" formatCode="0.000000000%"/>
    <numFmt numFmtId="178" formatCode="0.0000%"/>
    <numFmt numFmtId="179" formatCode="0.0000000%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0"/>
      <name val="Verdana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MS Sans Serif"/>
      <family val="2"/>
    </font>
    <font>
      <sz val="8"/>
      <name val="Courier New"/>
      <family val="3"/>
    </font>
    <font>
      <sz val="11"/>
      <color rgb="FF000000"/>
      <name val="Calibri"/>
      <family val="2"/>
      <scheme val="minor"/>
    </font>
    <font>
      <sz val="11"/>
      <color theme="1"/>
      <name val="Verdana"/>
      <family val="2"/>
    </font>
    <font>
      <sz val="11"/>
      <color rgb="FF00B867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ptos"/>
      <family val="2"/>
    </font>
    <font>
      <b/>
      <sz val="12"/>
      <color theme="1"/>
      <name val="Gravity"/>
      <family val="3"/>
    </font>
    <font>
      <b/>
      <sz val="10"/>
      <color theme="1"/>
      <name val="Verdana"/>
      <family val="2"/>
    </font>
    <font>
      <sz val="10"/>
      <color indexed="8"/>
      <name val="MS Sans Serif"/>
    </font>
    <font>
      <sz val="11"/>
      <name val="Arial"/>
      <family val="1"/>
    </font>
    <font>
      <b/>
      <sz val="12"/>
      <color theme="0"/>
      <name val="Gravity"/>
      <family val="3"/>
    </font>
    <font>
      <b/>
      <sz val="11"/>
      <color theme="0"/>
      <name val="Gravity"/>
      <family val="3"/>
    </font>
    <font>
      <b/>
      <sz val="10"/>
      <name val="Gravity"/>
      <family val="3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DAF9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medium">
        <color indexed="64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 style="medium">
        <color indexed="64"/>
      </bottom>
      <diagonal/>
    </border>
    <border>
      <left style="hair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8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2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8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11" fillId="0" borderId="0"/>
    <xf numFmtId="0" fontId="1" fillId="0" borderId="0"/>
    <xf numFmtId="170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2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242">
    <xf numFmtId="0" fontId="0" fillId="0" borderId="0" xfId="0"/>
    <xf numFmtId="164" fontId="0" fillId="0" borderId="1" xfId="0" applyNumberFormat="1" applyBorder="1"/>
    <xf numFmtId="165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4" fontId="4" fillId="0" borderId="1" xfId="0" applyNumberFormat="1" applyFont="1" applyBorder="1"/>
    <xf numFmtId="165" fontId="4" fillId="0" borderId="2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/>
    <xf numFmtId="165" fontId="4" fillId="0" borderId="0" xfId="0" applyNumberFormat="1" applyFont="1"/>
    <xf numFmtId="165" fontId="2" fillId="0" borderId="0" xfId="0" applyNumberFormat="1" applyFont="1" applyAlignment="1">
      <alignment horizontal="center"/>
    </xf>
    <xf numFmtId="164" fontId="2" fillId="0" borderId="1" xfId="0" applyNumberFormat="1" applyFont="1" applyBorder="1"/>
    <xf numFmtId="165" fontId="2" fillId="0" borderId="2" xfId="0" applyNumberFormat="1" applyFont="1" applyBorder="1" applyAlignment="1">
      <alignment horizontal="center"/>
    </xf>
    <xf numFmtId="0" fontId="2" fillId="0" borderId="0" xfId="0" applyFont="1"/>
    <xf numFmtId="0" fontId="0" fillId="0" borderId="3" xfId="0" applyBorder="1"/>
    <xf numFmtId="0" fontId="0" fillId="3" borderId="3" xfId="0" applyFill="1" applyBorder="1"/>
    <xf numFmtId="17" fontId="0" fillId="0" borderId="3" xfId="0" applyNumberFormat="1" applyBorder="1"/>
    <xf numFmtId="44" fontId="0" fillId="0" borderId="3" xfId="0" applyNumberFormat="1" applyBorder="1"/>
    <xf numFmtId="44" fontId="0" fillId="0" borderId="3" xfId="1" applyFont="1" applyBorder="1"/>
    <xf numFmtId="0" fontId="0" fillId="5" borderId="3" xfId="0" applyFill="1" applyBorder="1"/>
    <xf numFmtId="17" fontId="0" fillId="6" borderId="3" xfId="0" applyNumberFormat="1" applyFill="1" applyBorder="1"/>
    <xf numFmtId="0" fontId="0" fillId="6" borderId="3" xfId="0" applyFill="1" applyBorder="1"/>
    <xf numFmtId="44" fontId="0" fillId="2" borderId="3" xfId="0" applyNumberFormat="1" applyFill="1" applyBorder="1"/>
    <xf numFmtId="17" fontId="0" fillId="7" borderId="3" xfId="0" applyNumberFormat="1" applyFill="1" applyBorder="1"/>
    <xf numFmtId="0" fontId="0" fillId="7" borderId="3" xfId="0" applyFill="1" applyBorder="1"/>
    <xf numFmtId="44" fontId="0" fillId="7" borderId="3" xfId="1" applyFont="1" applyFill="1" applyBorder="1"/>
    <xf numFmtId="44" fontId="0" fillId="7" borderId="3" xfId="0" applyNumberFormat="1" applyFill="1" applyBorder="1"/>
    <xf numFmtId="17" fontId="4" fillId="0" borderId="3" xfId="0" applyNumberFormat="1" applyFont="1" applyBorder="1" applyAlignment="1">
      <alignment horizontal="center"/>
    </xf>
    <xf numFmtId="44" fontId="4" fillId="0" borderId="3" xfId="1" applyFont="1" applyBorder="1"/>
    <xf numFmtId="44" fontId="0" fillId="3" borderId="3" xfId="1" applyFont="1" applyFill="1" applyBorder="1"/>
    <xf numFmtId="44" fontId="4" fillId="0" borderId="3" xfId="1" applyFont="1" applyFill="1" applyBorder="1"/>
    <xf numFmtId="44" fontId="0" fillId="0" borderId="3" xfId="1" applyFont="1" applyFill="1" applyBorder="1"/>
    <xf numFmtId="17" fontId="4" fillId="7" borderId="3" xfId="0" applyNumberFormat="1" applyFont="1" applyFill="1" applyBorder="1" applyAlignment="1">
      <alignment horizontal="center"/>
    </xf>
    <xf numFmtId="44" fontId="4" fillId="7" borderId="3" xfId="1" applyFont="1" applyFill="1" applyBorder="1"/>
    <xf numFmtId="166" fontId="0" fillId="0" borderId="3" xfId="0" applyNumberFormat="1" applyBorder="1"/>
    <xf numFmtId="166" fontId="0" fillId="3" borderId="3" xfId="0" applyNumberFormat="1" applyFill="1" applyBorder="1"/>
    <xf numFmtId="10" fontId="0" fillId="0" borderId="0" xfId="3" applyNumberFormat="1" applyFont="1"/>
    <xf numFmtId="8" fontId="0" fillId="2" borderId="3" xfId="0" applyNumberFormat="1" applyFill="1" applyBorder="1"/>
    <xf numFmtId="17" fontId="3" fillId="5" borderId="3" xfId="0" applyNumberFormat="1" applyFont="1" applyFill="1" applyBorder="1"/>
    <xf numFmtId="0" fontId="3" fillId="5" borderId="3" xfId="0" applyFont="1" applyFill="1" applyBorder="1"/>
    <xf numFmtId="0" fontId="0" fillId="0" borderId="0" xfId="0" quotePrefix="1" applyAlignment="1">
      <alignment vertical="top" wrapText="1"/>
    </xf>
    <xf numFmtId="0" fontId="0" fillId="0" borderId="0" xfId="0" applyAlignment="1">
      <alignment vertical="top" wrapText="1"/>
    </xf>
    <xf numFmtId="10" fontId="0" fillId="0" borderId="3" xfId="3" applyNumberFormat="1" applyFont="1" applyFill="1" applyBorder="1"/>
    <xf numFmtId="0" fontId="3" fillId="0" borderId="0" xfId="0" applyFont="1"/>
    <xf numFmtId="0" fontId="5" fillId="8" borderId="7" xfId="0" applyFont="1" applyFill="1" applyBorder="1" applyAlignment="1">
      <alignment vertical="center"/>
    </xf>
    <xf numFmtId="0" fontId="5" fillId="8" borderId="11" xfId="0" applyFont="1" applyFill="1" applyBorder="1" applyAlignment="1">
      <alignment vertical="center"/>
    </xf>
    <xf numFmtId="0" fontId="5" fillId="8" borderId="8" xfId="0" applyFont="1" applyFill="1" applyBorder="1" applyAlignment="1">
      <alignment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right" vertical="center"/>
    </xf>
    <xf numFmtId="4" fontId="7" fillId="0" borderId="14" xfId="0" applyNumberFormat="1" applyFont="1" applyBorder="1" applyAlignment="1">
      <alignment horizontal="right" vertical="center"/>
    </xf>
    <xf numFmtId="4" fontId="6" fillId="0" borderId="12" xfId="0" applyNumberFormat="1" applyFont="1" applyBorder="1" applyAlignment="1">
      <alignment horizontal="right" vertical="center"/>
    </xf>
    <xf numFmtId="4" fontId="6" fillId="0" borderId="14" xfId="0" applyNumberFormat="1" applyFont="1" applyBorder="1" applyAlignment="1">
      <alignment horizontal="right" vertical="center"/>
    </xf>
    <xf numFmtId="4" fontId="6" fillId="0" borderId="15" xfId="0" applyNumberFormat="1" applyFont="1" applyBorder="1" applyAlignment="1">
      <alignment horizontal="right" vertical="center"/>
    </xf>
    <xf numFmtId="0" fontId="0" fillId="0" borderId="16" xfId="0" applyBorder="1"/>
    <xf numFmtId="0" fontId="0" fillId="0" borderId="9" xfId="0" applyBorder="1"/>
    <xf numFmtId="0" fontId="6" fillId="0" borderId="17" xfId="0" applyFont="1" applyBorder="1" applyAlignment="1">
      <alignment horizontal="center" vertical="center"/>
    </xf>
    <xf numFmtId="4" fontId="6" fillId="0" borderId="17" xfId="0" applyNumberFormat="1" applyFont="1" applyBorder="1" applyAlignment="1">
      <alignment horizontal="right" vertical="center"/>
    </xf>
    <xf numFmtId="4" fontId="7" fillId="0" borderId="18" xfId="0" applyNumberFormat="1" applyFont="1" applyBorder="1" applyAlignment="1">
      <alignment horizontal="right" vertical="center"/>
    </xf>
    <xf numFmtId="4" fontId="6" fillId="0" borderId="19" xfId="0" applyNumberFormat="1" applyFont="1" applyBorder="1" applyAlignment="1">
      <alignment horizontal="right" vertical="center"/>
    </xf>
    <xf numFmtId="4" fontId="6" fillId="0" borderId="18" xfId="0" applyNumberFormat="1" applyFont="1" applyBorder="1" applyAlignment="1">
      <alignment horizontal="right" vertical="center"/>
    </xf>
    <xf numFmtId="4" fontId="6" fillId="0" borderId="20" xfId="0" applyNumberFormat="1" applyFont="1" applyBorder="1" applyAlignment="1">
      <alignment horizontal="right" vertical="center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center"/>
    </xf>
    <xf numFmtId="44" fontId="0" fillId="0" borderId="0" xfId="1" applyFont="1"/>
    <xf numFmtId="4" fontId="0" fillId="0" borderId="0" xfId="0" applyNumberFormat="1"/>
    <xf numFmtId="8" fontId="0" fillId="0" borderId="0" xfId="0" applyNumberFormat="1"/>
    <xf numFmtId="44" fontId="0" fillId="0" borderId="0" xfId="0" applyNumberFormat="1"/>
    <xf numFmtId="0" fontId="0" fillId="0" borderId="3" xfId="0" applyBorder="1" applyAlignment="1">
      <alignment horizontal="center"/>
    </xf>
    <xf numFmtId="17" fontId="4" fillId="3" borderId="3" xfId="0" applyNumberFormat="1" applyFont="1" applyFill="1" applyBorder="1" applyAlignment="1">
      <alignment horizontal="center"/>
    </xf>
    <xf numFmtId="44" fontId="4" fillId="3" borderId="3" xfId="1" applyFont="1" applyFill="1" applyBorder="1"/>
    <xf numFmtId="17" fontId="0" fillId="3" borderId="3" xfId="0" applyNumberFormat="1" applyFill="1" applyBorder="1"/>
    <xf numFmtId="44" fontId="0" fillId="3" borderId="3" xfId="0" applyNumberFormat="1" applyFill="1" applyBorder="1"/>
    <xf numFmtId="43" fontId="0" fillId="0" borderId="0" xfId="8" applyFont="1"/>
    <xf numFmtId="43" fontId="0" fillId="0" borderId="0" xfId="0" applyNumberFormat="1"/>
    <xf numFmtId="0" fontId="0" fillId="5" borderId="25" xfId="0" applyFill="1" applyBorder="1"/>
    <xf numFmtId="10" fontId="0" fillId="2" borderId="3" xfId="3" applyNumberFormat="1" applyFont="1" applyFill="1" applyBorder="1"/>
    <xf numFmtId="43" fontId="0" fillId="0" borderId="3" xfId="8" applyFont="1" applyFill="1" applyBorder="1"/>
    <xf numFmtId="43" fontId="0" fillId="3" borderId="3" xfId="8" applyFont="1" applyFill="1" applyBorder="1"/>
    <xf numFmtId="43" fontId="0" fillId="2" borderId="3" xfId="8" applyFont="1" applyFill="1" applyBorder="1"/>
    <xf numFmtId="168" fontId="0" fillId="0" borderId="3" xfId="0" applyNumberFormat="1" applyBorder="1"/>
    <xf numFmtId="10" fontId="0" fillId="3" borderId="3" xfId="3" applyNumberFormat="1" applyFont="1" applyFill="1" applyBorder="1"/>
    <xf numFmtId="17" fontId="0" fillId="0" borderId="3" xfId="0" applyNumberFormat="1" applyBorder="1" applyAlignment="1">
      <alignment horizontal="center" vertical="center"/>
    </xf>
    <xf numFmtId="168" fontId="0" fillId="3" borderId="3" xfId="0" applyNumberFormat="1" applyFill="1" applyBorder="1"/>
    <xf numFmtId="44" fontId="0" fillId="0" borderId="0" xfId="1" applyFont="1" applyFill="1" applyBorder="1"/>
    <xf numFmtId="10" fontId="0" fillId="0" borderId="0" xfId="0" applyNumberFormat="1"/>
    <xf numFmtId="10" fontId="9" fillId="0" borderId="0" xfId="0" applyNumberFormat="1" applyFont="1" applyAlignment="1">
      <alignment horizontal="right" vertical="center"/>
    </xf>
    <xf numFmtId="17" fontId="3" fillId="5" borderId="24" xfId="0" applyNumberFormat="1" applyFont="1" applyFill="1" applyBorder="1"/>
    <xf numFmtId="0" fontId="3" fillId="5" borderId="24" xfId="0" applyFont="1" applyFill="1" applyBorder="1"/>
    <xf numFmtId="0" fontId="0" fillId="3" borderId="3" xfId="0" applyFill="1" applyBorder="1" applyAlignment="1">
      <alignment vertical="center"/>
    </xf>
    <xf numFmtId="44" fontId="1" fillId="0" borderId="3" xfId="1" applyFont="1" applyBorder="1"/>
    <xf numFmtId="0" fontId="10" fillId="0" borderId="0" xfId="0" applyFont="1"/>
    <xf numFmtId="44" fontId="3" fillId="0" borderId="3" xfId="1" applyFont="1" applyFill="1" applyBorder="1"/>
    <xf numFmtId="44" fontId="3" fillId="3" borderId="3" xfId="1" applyFont="1" applyFill="1" applyBorder="1"/>
    <xf numFmtId="44" fontId="3" fillId="7" borderId="3" xfId="1" applyFont="1" applyFill="1" applyBorder="1"/>
    <xf numFmtId="44" fontId="3" fillId="0" borderId="3" xfId="1" applyFont="1" applyBorder="1"/>
    <xf numFmtId="44" fontId="3" fillId="0" borderId="4" xfId="1" applyFont="1" applyBorder="1"/>
    <xf numFmtId="44" fontId="3" fillId="5" borderId="3" xfId="1" applyFont="1" applyFill="1" applyBorder="1"/>
    <xf numFmtId="4" fontId="7" fillId="2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" fontId="3" fillId="2" borderId="21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17" fontId="0" fillId="10" borderId="3" xfId="0" applyNumberFormat="1" applyFill="1" applyBorder="1"/>
    <xf numFmtId="0" fontId="0" fillId="10" borderId="3" xfId="0" applyFill="1" applyBorder="1"/>
    <xf numFmtId="44" fontId="0" fillId="10" borderId="3" xfId="1" applyFont="1" applyFill="1" applyBorder="1"/>
    <xf numFmtId="44" fontId="3" fillId="10" borderId="3" xfId="1" applyFont="1" applyFill="1" applyBorder="1"/>
    <xf numFmtId="44" fontId="0" fillId="10" borderId="3" xfId="0" applyNumberFormat="1" applyFill="1" applyBorder="1"/>
    <xf numFmtId="44" fontId="2" fillId="2" borderId="0" xfId="0" applyNumberFormat="1" applyFont="1" applyFill="1"/>
    <xf numFmtId="168" fontId="0" fillId="0" borderId="0" xfId="0" applyNumberFormat="1"/>
    <xf numFmtId="10" fontId="9" fillId="0" borderId="0" xfId="3" applyNumberFormat="1" applyFont="1" applyAlignment="1">
      <alignment horizontal="right" vertical="center"/>
    </xf>
    <xf numFmtId="44" fontId="3" fillId="11" borderId="3" xfId="1" applyFont="1" applyFill="1" applyBorder="1"/>
    <xf numFmtId="43" fontId="0" fillId="11" borderId="0" xfId="8" applyFont="1" applyFill="1"/>
    <xf numFmtId="10" fontId="2" fillId="0" borderId="0" xfId="0" applyNumberFormat="1" applyFont="1"/>
    <xf numFmtId="44" fontId="3" fillId="12" borderId="3" xfId="1" applyFont="1" applyFill="1" applyBorder="1"/>
    <xf numFmtId="44" fontId="10" fillId="0" borderId="3" xfId="1" applyFont="1" applyFill="1" applyBorder="1"/>
    <xf numFmtId="10" fontId="0" fillId="12" borderId="0" xfId="3" applyNumberFormat="1" applyFont="1" applyFill="1"/>
    <xf numFmtId="44" fontId="2" fillId="0" borderId="0" xfId="0" applyNumberFormat="1" applyFont="1"/>
    <xf numFmtId="44" fontId="3" fillId="12" borderId="0" xfId="0" applyNumberFormat="1" applyFont="1" applyFill="1"/>
    <xf numFmtId="43" fontId="3" fillId="12" borderId="0" xfId="8" applyFont="1" applyFill="1"/>
    <xf numFmtId="44" fontId="3" fillId="13" borderId="0" xfId="0" applyNumberFormat="1" applyFont="1" applyFill="1"/>
    <xf numFmtId="17" fontId="4" fillId="14" borderId="3" xfId="0" applyNumberFormat="1" applyFont="1" applyFill="1" applyBorder="1" applyAlignment="1">
      <alignment horizontal="center"/>
    </xf>
    <xf numFmtId="0" fontId="0" fillId="14" borderId="3" xfId="0" applyFill="1" applyBorder="1"/>
    <xf numFmtId="44" fontId="4" fillId="14" borderId="3" xfId="1" applyFont="1" applyFill="1" applyBorder="1"/>
    <xf numFmtId="44" fontId="3" fillId="14" borderId="3" xfId="1" applyFont="1" applyFill="1" applyBorder="1"/>
    <xf numFmtId="44" fontId="0" fillId="14" borderId="3" xfId="1" applyFont="1" applyFill="1" applyBorder="1"/>
    <xf numFmtId="0" fontId="3" fillId="0" borderId="26" xfId="0" applyFont="1" applyBorder="1"/>
    <xf numFmtId="0" fontId="10" fillId="0" borderId="0" xfId="0" applyFont="1" applyAlignment="1">
      <alignment horizontal="center"/>
    </xf>
    <xf numFmtId="0" fontId="0" fillId="12" borderId="0" xfId="0" applyFill="1"/>
    <xf numFmtId="0" fontId="14" fillId="0" borderId="0" xfId="0" applyFont="1"/>
    <xf numFmtId="0" fontId="0" fillId="3" borderId="27" xfId="0" applyFill="1" applyBorder="1" applyAlignment="1">
      <alignment vertical="center"/>
    </xf>
    <xf numFmtId="44" fontId="4" fillId="0" borderId="24" xfId="1" applyFont="1" applyBorder="1"/>
    <xf numFmtId="44" fontId="4" fillId="0" borderId="25" xfId="1" applyFont="1" applyBorder="1"/>
    <xf numFmtId="0" fontId="0" fillId="5" borderId="26" xfId="0" applyFill="1" applyBorder="1" applyAlignment="1">
      <alignment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4" fontId="4" fillId="0" borderId="3" xfId="1" applyFont="1" applyFill="1" applyBorder="1" applyAlignment="1">
      <alignment vertical="center"/>
    </xf>
    <xf numFmtId="10" fontId="4" fillId="3" borderId="3" xfId="3" applyNumberFormat="1" applyFont="1" applyFill="1" applyBorder="1"/>
    <xf numFmtId="44" fontId="1" fillId="0" borderId="3" xfId="1" applyFont="1" applyFill="1" applyBorder="1"/>
    <xf numFmtId="166" fontId="0" fillId="6" borderId="3" xfId="0" applyNumberFormat="1" applyFill="1" applyBorder="1"/>
    <xf numFmtId="43" fontId="1" fillId="0" borderId="3" xfId="8" applyFont="1" applyFill="1" applyBorder="1"/>
    <xf numFmtId="44" fontId="0" fillId="2" borderId="0" xfId="0" applyNumberFormat="1" applyFill="1"/>
    <xf numFmtId="43" fontId="0" fillId="0" borderId="0" xfId="8" applyFont="1" applyAlignment="1">
      <alignment vertical="center" wrapText="1"/>
    </xf>
    <xf numFmtId="8" fontId="2" fillId="0" borderId="0" xfId="0" applyNumberFormat="1" applyFont="1"/>
    <xf numFmtId="0" fontId="0" fillId="0" borderId="0" xfId="0" quotePrefix="1" applyAlignment="1">
      <alignment vertical="center" wrapText="1"/>
    </xf>
    <xf numFmtId="17" fontId="0" fillId="0" borderId="0" xfId="0" applyNumberFormat="1"/>
    <xf numFmtId="10" fontId="4" fillId="0" borderId="3" xfId="3" applyNumberFormat="1" applyFont="1" applyFill="1" applyBorder="1"/>
    <xf numFmtId="10" fontId="1" fillId="0" borderId="3" xfId="3" applyNumberFormat="1" applyFont="1" applyFill="1" applyBorder="1"/>
    <xf numFmtId="0" fontId="15" fillId="0" borderId="0" xfId="0" applyFont="1"/>
    <xf numFmtId="44" fontId="0" fillId="12" borderId="0" xfId="1" applyFont="1" applyFill="1"/>
    <xf numFmtId="44" fontId="0" fillId="0" borderId="0" xfId="3" applyNumberFormat="1" applyFont="1"/>
    <xf numFmtId="10" fontId="5" fillId="0" borderId="0" xfId="0" applyNumberFormat="1" applyFont="1"/>
    <xf numFmtId="172" fontId="2" fillId="0" borderId="0" xfId="0" applyNumberFormat="1" applyFont="1"/>
    <xf numFmtId="173" fontId="0" fillId="0" borderId="0" xfId="0" applyNumberFormat="1"/>
    <xf numFmtId="10" fontId="0" fillId="0" borderId="3" xfId="3" applyNumberFormat="1" applyFont="1" applyBorder="1"/>
    <xf numFmtId="10" fontId="0" fillId="0" borderId="0" xfId="8" applyNumberFormat="1" applyFont="1" applyAlignment="1">
      <alignment vertical="center" wrapText="1"/>
    </xf>
    <xf numFmtId="8" fontId="5" fillId="0" borderId="0" xfId="0" applyNumberFormat="1" applyFont="1"/>
    <xf numFmtId="174" fontId="2" fillId="0" borderId="0" xfId="0" applyNumberFormat="1" applyFont="1"/>
    <xf numFmtId="44" fontId="0" fillId="2" borderId="0" xfId="1" applyFont="1" applyFill="1"/>
    <xf numFmtId="44" fontId="5" fillId="0" borderId="0" xfId="0" applyNumberFormat="1" applyFont="1"/>
    <xf numFmtId="10" fontId="0" fillId="7" borderId="3" xfId="3" applyNumberFormat="1" applyFont="1" applyFill="1" applyBorder="1"/>
    <xf numFmtId="43" fontId="0" fillId="0" borderId="3" xfId="8" applyFont="1" applyBorder="1"/>
    <xf numFmtId="0" fontId="0" fillId="2" borderId="3" xfId="0" applyFill="1" applyBorder="1"/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10" fontId="17" fillId="0" borderId="0" xfId="0" applyNumberFormat="1" applyFont="1"/>
    <xf numFmtId="168" fontId="0" fillId="7" borderId="3" xfId="0" applyNumberFormat="1" applyFill="1" applyBorder="1"/>
    <xf numFmtId="43" fontId="1" fillId="7" borderId="3" xfId="8" applyFont="1" applyFill="1" applyBorder="1"/>
    <xf numFmtId="43" fontId="0" fillId="7" borderId="3" xfId="8" applyFont="1" applyFill="1" applyBorder="1"/>
    <xf numFmtId="44" fontId="0" fillId="12" borderId="0" xfId="1" applyFont="1" applyFill="1" applyBorder="1"/>
    <xf numFmtId="44" fontId="0" fillId="2" borderId="0" xfId="1" applyFont="1" applyFill="1" applyBorder="1"/>
    <xf numFmtId="10" fontId="4" fillId="7" borderId="3" xfId="3" applyNumberFormat="1" applyFont="1" applyFill="1" applyBorder="1"/>
    <xf numFmtId="166" fontId="0" fillId="7" borderId="3" xfId="0" applyNumberFormat="1" applyFill="1" applyBorder="1"/>
    <xf numFmtId="44" fontId="1" fillId="7" borderId="3" xfId="1" applyFont="1" applyFill="1" applyBorder="1"/>
    <xf numFmtId="17" fontId="4" fillId="0" borderId="3" xfId="0" applyNumberFormat="1" applyFont="1" applyBorder="1"/>
    <xf numFmtId="0" fontId="4" fillId="0" borderId="3" xfId="0" applyFont="1" applyBorder="1"/>
    <xf numFmtId="175" fontId="0" fillId="0" borderId="0" xfId="0" applyNumberFormat="1"/>
    <xf numFmtId="44" fontId="0" fillId="12" borderId="0" xfId="0" applyNumberFormat="1" applyFill="1"/>
    <xf numFmtId="10" fontId="18" fillId="0" borderId="0" xfId="0" applyNumberFormat="1" applyFont="1"/>
    <xf numFmtId="44" fontId="0" fillId="2" borderId="3" xfId="1" applyFont="1" applyFill="1" applyBorder="1"/>
    <xf numFmtId="0" fontId="0" fillId="5" borderId="27" xfId="0" applyFill="1" applyBorder="1"/>
    <xf numFmtId="44" fontId="0" fillId="12" borderId="3" xfId="1" applyFont="1" applyFill="1" applyBorder="1"/>
    <xf numFmtId="10" fontId="1" fillId="7" borderId="3" xfId="3" applyNumberFormat="1" applyFont="1" applyFill="1" applyBorder="1"/>
    <xf numFmtId="176" fontId="0" fillId="0" borderId="0" xfId="0" applyNumberFormat="1"/>
    <xf numFmtId="177" fontId="18" fillId="0" borderId="0" xfId="0" applyNumberFormat="1" applyFont="1"/>
    <xf numFmtId="177" fontId="0" fillId="0" borderId="0" xfId="0" applyNumberFormat="1"/>
    <xf numFmtId="43" fontId="2" fillId="2" borderId="0" xfId="8" applyFont="1" applyFill="1"/>
    <xf numFmtId="0" fontId="2" fillId="2" borderId="0" xfId="0" applyFont="1" applyFill="1"/>
    <xf numFmtId="0" fontId="0" fillId="5" borderId="4" xfId="0" applyFill="1" applyBorder="1"/>
    <xf numFmtId="44" fontId="0" fillId="2" borderId="4" xfId="0" applyNumberFormat="1" applyFill="1" applyBorder="1"/>
    <xf numFmtId="166" fontId="0" fillId="0" borderId="3" xfId="8" applyNumberFormat="1" applyFont="1" applyBorder="1"/>
    <xf numFmtId="43" fontId="0" fillId="0" borderId="3" xfId="0" applyNumberFormat="1" applyBorder="1"/>
    <xf numFmtId="0" fontId="0" fillId="4" borderId="3" xfId="0" applyFill="1" applyBorder="1"/>
    <xf numFmtId="43" fontId="0" fillId="5" borderId="3" xfId="8" applyFont="1" applyFill="1" applyBorder="1"/>
    <xf numFmtId="43" fontId="3" fillId="5" borderId="3" xfId="8" applyFont="1" applyFill="1" applyBorder="1"/>
    <xf numFmtId="10" fontId="19" fillId="0" borderId="0" xfId="0" applyNumberFormat="1" applyFont="1"/>
    <xf numFmtId="179" fontId="0" fillId="0" borderId="0" xfId="0" applyNumberFormat="1"/>
    <xf numFmtId="178" fontId="0" fillId="0" borderId="0" xfId="0" applyNumberFormat="1"/>
    <xf numFmtId="0" fontId="0" fillId="0" borderId="0" xfId="0" quotePrefix="1"/>
    <xf numFmtId="9" fontId="0" fillId="0" borderId="0" xfId="0" applyNumberFormat="1"/>
    <xf numFmtId="0" fontId="0" fillId="5" borderId="26" xfId="0" applyFill="1" applyBorder="1"/>
    <xf numFmtId="9" fontId="0" fillId="0" borderId="0" xfId="3" applyFont="1"/>
    <xf numFmtId="0" fontId="0" fillId="5" borderId="3" xfId="0" applyFill="1" applyBorder="1" applyAlignment="1">
      <alignment horizontal="center"/>
    </xf>
    <xf numFmtId="43" fontId="8" fillId="3" borderId="0" xfId="8" applyFont="1" applyFill="1"/>
    <xf numFmtId="14" fontId="1" fillId="0" borderId="3" xfId="1" applyNumberFormat="1" applyFont="1" applyFill="1" applyBorder="1"/>
    <xf numFmtId="10" fontId="19" fillId="0" borderId="10" xfId="0" applyNumberFormat="1" applyFont="1" applyBorder="1" applyAlignment="1">
      <alignment horizontal="center" vertical="center"/>
    </xf>
    <xf numFmtId="43" fontId="24" fillId="3" borderId="21" xfId="8" applyFont="1" applyFill="1" applyBorder="1" applyAlignment="1">
      <alignment horizontal="center" vertical="center"/>
    </xf>
    <xf numFmtId="10" fontId="24" fillId="3" borderId="21" xfId="3" applyNumberFormat="1" applyFont="1" applyFill="1" applyBorder="1" applyAlignment="1">
      <alignment horizontal="center" vertical="center"/>
    </xf>
    <xf numFmtId="0" fontId="22" fillId="3" borderId="0" xfId="5" applyFont="1" applyFill="1" applyAlignment="1">
      <alignment horizontal="center" vertical="center"/>
    </xf>
    <xf numFmtId="0" fontId="23" fillId="15" borderId="21" xfId="0" applyFont="1" applyFill="1" applyBorder="1" applyAlignment="1">
      <alignment horizontal="center" vertical="center"/>
    </xf>
    <xf numFmtId="0" fontId="23" fillId="15" borderId="3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0" borderId="0" xfId="0" quotePrefix="1" applyAlignment="1">
      <alignment horizontal="left" vertical="center" wrapText="1"/>
    </xf>
    <xf numFmtId="43" fontId="0" fillId="11" borderId="26" xfId="8" applyFont="1" applyFill="1" applyBorder="1" applyAlignment="1">
      <alignment horizontal="left"/>
    </xf>
    <xf numFmtId="17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7" fontId="0" fillId="0" borderId="5" xfId="0" applyNumberFormat="1" applyBorder="1" applyAlignment="1">
      <alignment horizontal="center" vertical="center"/>
    </xf>
    <xf numFmtId="17" fontId="0" fillId="0" borderId="6" xfId="0" applyNumberFormat="1" applyBorder="1" applyAlignment="1">
      <alignment horizontal="center" vertical="center"/>
    </xf>
    <xf numFmtId="17" fontId="0" fillId="0" borderId="9" xfId="0" applyNumberFormat="1" applyBorder="1" applyAlignment="1">
      <alignment horizontal="center" vertical="center"/>
    </xf>
    <xf numFmtId="17" fontId="0" fillId="0" borderId="10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43" fontId="0" fillId="0" borderId="22" xfId="8" applyFont="1" applyFill="1" applyBorder="1" applyAlignment="1">
      <alignment horizontal="center"/>
    </xf>
    <xf numFmtId="43" fontId="0" fillId="0" borderId="4" xfId="8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9" borderId="24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7" fontId="3" fillId="5" borderId="3" xfId="0" applyNumberFormat="1" applyFont="1" applyFill="1" applyBorder="1" applyAlignment="1">
      <alignment horizontal="center"/>
    </xf>
  </cellXfs>
  <cellStyles count="223">
    <cellStyle name="Moeda" xfId="1" builtinId="4"/>
    <cellStyle name="Moeda 10" xfId="67" xr:uid="{8267989D-A5DD-453B-BB0C-9BFA0C9CF301}"/>
    <cellStyle name="Moeda 2" xfId="15" xr:uid="{2BD27526-4CEE-4A3D-8A48-D9469939476D}"/>
    <cellStyle name="Moeda 2 2" xfId="17" xr:uid="{55FA5444-8D03-4C03-BF4A-B8885831C3E1}"/>
    <cellStyle name="Moeda 2 2 2" xfId="23" xr:uid="{2237BA3B-0CF5-4DD7-818C-3EBDD3CDFD00}"/>
    <cellStyle name="Moeda 2 2 3" xfId="35" xr:uid="{DC0B379E-E985-46EC-971D-FDC5A7D92E67}"/>
    <cellStyle name="Moeda 2 2 3 2" xfId="58" xr:uid="{65B26B2F-D79C-46CD-B92F-AB12A91A1D9B}"/>
    <cellStyle name="Moeda 2 2 3 2 2" xfId="210" xr:uid="{E1885FE3-4CF8-4C2C-83D2-23F06E696716}"/>
    <cellStyle name="Moeda 2 2 3 2 3" xfId="122" xr:uid="{8DCACA3F-A2AC-4F32-A363-F583CEEEEAB0}"/>
    <cellStyle name="Moeda 2 2 3 3" xfId="150" xr:uid="{BAD75B0D-7D34-4338-83A4-AB34F8FF65DB}"/>
    <cellStyle name="Moeda 2 2 3 4" xfId="177" xr:uid="{38582A28-6A85-415F-BD64-99D97FB49B64}"/>
    <cellStyle name="Moeda 2 2 3 5" xfId="89" xr:uid="{DEEC0809-B8AF-4792-9FE5-3DE91057639C}"/>
    <cellStyle name="Moeda 2 2 4" xfId="47" xr:uid="{47CC1813-1E8B-466B-978C-DD8DEDF0D4F4}"/>
    <cellStyle name="Moeda 2 2 4 2" xfId="194" xr:uid="{E6A6F288-76BD-4C21-8DFC-FCDA2A4BF310}"/>
    <cellStyle name="Moeda 2 2 4 3" xfId="106" xr:uid="{2C60F2A3-8386-498A-9F28-FCD433955C53}"/>
    <cellStyle name="Moeda 2 2 5" xfId="139" xr:uid="{08FC0CA2-A7A9-47FD-86A8-83F356644CD6}"/>
    <cellStyle name="Moeda 2 2 6" xfId="161" xr:uid="{F180BFA5-DB04-49C0-9A3E-1B7E74BC8B70}"/>
    <cellStyle name="Moeda 2 2 7" xfId="70" xr:uid="{A90A82A5-66E9-4C0B-B871-7E542B18539E}"/>
    <cellStyle name="Moeda 2 3" xfId="34" xr:uid="{209B8A54-49A8-4E42-AA1F-083FBDCC4B11}"/>
    <cellStyle name="Moeda 2 3 2" xfId="57" xr:uid="{C2D59B69-A782-4538-948F-356DAB2946A5}"/>
    <cellStyle name="Moeda 2 3 2 2" xfId="133" xr:uid="{E53B2113-66BA-4460-9C81-B79D854343A1}"/>
    <cellStyle name="Moeda 2 3 2 2 2" xfId="221" xr:uid="{C479F8CF-B94B-4DF8-A86C-932EF2316217}"/>
    <cellStyle name="Moeda 2 3 2 3" xfId="188" xr:uid="{7472A21E-B6D0-4069-B660-AF10F543E484}"/>
    <cellStyle name="Moeda 2 3 2 4" xfId="100" xr:uid="{70A358FD-D190-4410-AC60-1091296EE51E}"/>
    <cellStyle name="Moeda 2 3 3" xfId="116" xr:uid="{1F8BDB5D-62F6-4343-BD35-C6FEF57F8CB0}"/>
    <cellStyle name="Moeda 2 3 3 2" xfId="204" xr:uid="{01FBA1FB-9A94-48EB-B552-0DEF8B59C1D4}"/>
    <cellStyle name="Moeda 2 3 4" xfId="149" xr:uid="{C339AFEF-4E6C-4ADA-BEA8-60BFC18853F9}"/>
    <cellStyle name="Moeda 2 3 5" xfId="171" xr:uid="{0AFE184B-4990-4A29-951A-02E089EBC49B}"/>
    <cellStyle name="Moeda 2 3 6" xfId="81" xr:uid="{24A8A58F-8294-4644-9460-01F23760085F}"/>
    <cellStyle name="Moeda 2 4" xfId="46" xr:uid="{9EE64807-A372-4C90-A9A1-BFAFCA8C9245}"/>
    <cellStyle name="Moeda 2 4 2" xfId="121" xr:uid="{5DF1A61A-FD24-4019-89B5-886F63AC2E64}"/>
    <cellStyle name="Moeda 2 4 2 2" xfId="209" xr:uid="{463423F0-E0A5-47DD-A117-7BA0E0B07440}"/>
    <cellStyle name="Moeda 2 4 3" xfId="176" xr:uid="{D4D03143-DCBC-40CB-9497-477F6D693261}"/>
    <cellStyle name="Moeda 2 4 4" xfId="88" xr:uid="{0A09B6B9-A460-48CB-ABB2-D892130E2364}"/>
    <cellStyle name="Moeda 2 5" xfId="105" xr:uid="{39BD87A2-8467-4864-87ED-51985854025E}"/>
    <cellStyle name="Moeda 2 5 2" xfId="193" xr:uid="{D6E2CFA3-28B6-4973-AF0B-6BC9C9DA7D84}"/>
    <cellStyle name="Moeda 2 6" xfId="138" xr:uid="{DE47B38F-B0A2-4866-9744-AF5223C84A3A}"/>
    <cellStyle name="Moeda 2 7" xfId="160" xr:uid="{90C2317A-3EAE-4E6B-B837-6A4A68766FDC}"/>
    <cellStyle name="Moeda 2 8" xfId="69" xr:uid="{7D852F63-D6BC-4F59-BFF4-7E7CB477B91E}"/>
    <cellStyle name="Moeda 3" xfId="25" xr:uid="{B061DF5B-31F4-4C8F-A51F-8EFC8363D800}"/>
    <cellStyle name="Moeda 4" xfId="28" xr:uid="{3EE90DF6-4963-4050-A2E4-E0921C346F4A}"/>
    <cellStyle name="Moeda 4 2" xfId="40" xr:uid="{07816653-CEC9-4D6F-A0D9-E27B5A0CA13B}"/>
    <cellStyle name="Moeda 4 2 2" xfId="63" xr:uid="{536DECF0-BDF4-4A05-B7B2-4E52F77D6D51}"/>
    <cellStyle name="Moeda 4 2 2 2" xfId="215" xr:uid="{382244D7-AC5F-4FBF-8C7D-1F9AD4CA4792}"/>
    <cellStyle name="Moeda 4 2 2 3" xfId="127" xr:uid="{AE03F6DA-BE6C-474A-8B64-6EB624993432}"/>
    <cellStyle name="Moeda 4 2 3" xfId="155" xr:uid="{AF48CA80-E925-4784-AB64-0E0172D1BAC8}"/>
    <cellStyle name="Moeda 4 2 4" xfId="182" xr:uid="{E5BDDBEA-ED92-4F4A-AD5F-6407671ED7D8}"/>
    <cellStyle name="Moeda 4 2 5" xfId="94" xr:uid="{78CBD586-FF29-4FC6-9D1A-8D6EB0D1B9B7}"/>
    <cellStyle name="Moeda 4 3" xfId="52" xr:uid="{35248F79-771D-45B5-9A92-6D4263782F03}"/>
    <cellStyle name="Moeda 4 3 2" xfId="199" xr:uid="{FF6595FB-9A72-4E8D-A641-B6F02970A043}"/>
    <cellStyle name="Moeda 4 3 3" xfId="111" xr:uid="{77AD69B0-9450-4940-976B-4BFE2178A43E}"/>
    <cellStyle name="Moeda 4 4" xfId="144" xr:uid="{8B288BBB-3377-4FB5-8BE2-54470CBA46A9}"/>
    <cellStyle name="Moeda 4 5" xfId="166" xr:uid="{4DBDA3D0-CE72-4BC3-ACFD-98CBE4C5DF31}"/>
    <cellStyle name="Moeda 4 6" xfId="75" xr:uid="{A93B1493-652E-4617-8BBC-97A596DDFE1A}"/>
    <cellStyle name="Moeda 5" xfId="32" xr:uid="{274827CD-EB0B-4875-B0EC-26D42A0F1425}"/>
    <cellStyle name="Moeda 5 2" xfId="55" xr:uid="{7CBA340B-E922-4097-863A-837FCD24CA38}"/>
    <cellStyle name="Moeda 5 2 2" xfId="207" xr:uid="{316D18A8-92A6-49F1-A9CB-B4CB4589FE7F}"/>
    <cellStyle name="Moeda 5 2 3" xfId="119" xr:uid="{A0C30823-DD4C-40A2-B720-2D3171DB0656}"/>
    <cellStyle name="Moeda 5 3" xfId="147" xr:uid="{DF424976-01CB-4E5C-86BE-9EE947012776}"/>
    <cellStyle name="Moeda 5 4" xfId="174" xr:uid="{30FF4FEC-E553-42C3-9525-38622484D9EC}"/>
    <cellStyle name="Moeda 5 5" xfId="86" xr:uid="{192A3FDF-7359-4441-AD67-8747CE800D44}"/>
    <cellStyle name="Moeda 6" xfId="13" xr:uid="{B23A5D1F-F6D1-4CDC-BD35-F0EDB9D899B1}"/>
    <cellStyle name="Moeda 7" xfId="10" xr:uid="{EABF2D4C-D8DC-4319-86CB-16E5741D9547}"/>
    <cellStyle name="Moeda 7 2" xfId="191" xr:uid="{7AB93657-7D56-4E5E-8E3C-1D50F15FF36D}"/>
    <cellStyle name="Moeda 7 3" xfId="103" xr:uid="{11CEF9BF-EF10-4530-9C6F-A46B2992E3D7}"/>
    <cellStyle name="Moeda 8" xfId="44" xr:uid="{744DF8CD-8AE3-47D8-8A45-E85C4112508A}"/>
    <cellStyle name="Moeda 8 2" xfId="136" xr:uid="{2E46405E-9709-48F7-9AA1-886748817BA7}"/>
    <cellStyle name="Moeda 9" xfId="158" xr:uid="{40FF926B-F648-46E8-BA01-0C2BF3A54ECC}"/>
    <cellStyle name="Normal" xfId="0" builtinId="0"/>
    <cellStyle name="Normal 14" xfId="11" xr:uid="{B36DA7E7-20C9-4198-BD40-EF05F5C9F78F}"/>
    <cellStyle name="Normal 2" xfId="26" xr:uid="{ABEC70F3-E15B-4EC8-82C1-FE9C32D85661}"/>
    <cellStyle name="Normal 2 2" xfId="21" xr:uid="{2174231D-949F-4031-AE1D-39E3E44A4E6C}"/>
    <cellStyle name="Normal 2 2 2" xfId="20" xr:uid="{B1B5D55D-8E72-4F20-A12A-B28F4BFF58D4}"/>
    <cellStyle name="Normal 2 2 3" xfId="79" xr:uid="{79B5F926-E96B-4FC7-B0FE-0A1A39DABA9D}"/>
    <cellStyle name="Normal 2 3" xfId="83" xr:uid="{DA840A80-DF5E-4589-A4A3-110503FA8AE7}"/>
    <cellStyle name="Normal 3" xfId="84" xr:uid="{E195C0C9-588D-4883-877A-02A99E13BAC0}"/>
    <cellStyle name="Normal 3 3" xfId="14" xr:uid="{C18D05C1-3D00-4059-B113-AB94FBE2CB59}"/>
    <cellStyle name="Normal 4 2" xfId="5" xr:uid="{655F8442-4F3B-4A92-B1F6-636202BB4AE0}"/>
    <cellStyle name="Normal 6" xfId="22" xr:uid="{8A2907D0-9BB4-4640-BAE1-4C3E853A3E95}"/>
    <cellStyle name="Porcentagem" xfId="3" builtinId="5"/>
    <cellStyle name="Porcentagem 2" xfId="16" xr:uid="{12724A68-14B4-40BC-AB07-E81B0FC1B3B1}"/>
    <cellStyle name="Porcentagem 2 2 2" xfId="4" xr:uid="{DE7B80EC-3D5A-4AC1-B44D-115ED83ED354}"/>
    <cellStyle name="Vírgula" xfId="8" builtinId="3"/>
    <cellStyle name="Vírgula 10" xfId="66" xr:uid="{D016F6D7-5986-4E8D-A234-653871206FE4}"/>
    <cellStyle name="Vírgula 10 2" xfId="24" xr:uid="{3B1B74F0-F74E-436F-BCD2-10729DB33B1A}"/>
    <cellStyle name="Vírgula 10 2 2" xfId="38" xr:uid="{549FFDDF-AFE1-4871-A149-0C643F436FBE}"/>
    <cellStyle name="Vírgula 10 2 2 2" xfId="61" xr:uid="{325C066D-7FDF-402B-8948-36DD86019290}"/>
    <cellStyle name="Vírgula 10 2 2 2 2" xfId="213" xr:uid="{EC6E4EC8-7478-492B-9A65-10957B759386}"/>
    <cellStyle name="Vírgula 10 2 2 2 3" xfId="125" xr:uid="{13040684-D1D6-40CF-A0EC-E4EFE60DA7CB}"/>
    <cellStyle name="Vírgula 10 2 2 3" xfId="153" xr:uid="{FF6EFCF5-4CB1-4338-82B7-06ED3FCF7D1D}"/>
    <cellStyle name="Vírgula 10 2 2 4" xfId="180" xr:uid="{B438E0DE-39D7-4F5C-953C-117D12B6195F}"/>
    <cellStyle name="Vírgula 10 2 2 5" xfId="92" xr:uid="{88C166D2-3B55-4527-B17F-08EEB9A7D849}"/>
    <cellStyle name="Vírgula 10 2 3" xfId="50" xr:uid="{ECEE9487-BF26-4F92-AF1A-3745DA8ABE01}"/>
    <cellStyle name="Vírgula 10 2 3 2" xfId="197" xr:uid="{26AEEEE0-269C-4A9C-9D04-177714E478EE}"/>
    <cellStyle name="Vírgula 10 2 3 3" xfId="109" xr:uid="{D1309B6A-D7AC-419A-AD5B-B29D4F0DD99F}"/>
    <cellStyle name="Vírgula 10 2 4" xfId="142" xr:uid="{B8A3E1FD-187C-43D5-AF12-C8A09FA8CD46}"/>
    <cellStyle name="Vírgula 10 2 5" xfId="164" xr:uid="{61410E15-5851-40BC-BFDE-E6E0D9C059B1}"/>
    <cellStyle name="Vírgula 10 2 6" xfId="73" xr:uid="{C68FE54B-5E51-4948-A586-303C8AB39EA7}"/>
    <cellStyle name="Vírgula 2" xfId="2" xr:uid="{FBD29221-3C2A-4088-9548-940B548EBCC7}"/>
    <cellStyle name="Vírgula 2 10" xfId="68" xr:uid="{CCDED57F-8DB7-4F63-8933-94CACEF15CD6}"/>
    <cellStyle name="Vírgula 2 2" xfId="7" xr:uid="{EB025CA2-6576-4539-A450-C5D2E0D15973}"/>
    <cellStyle name="Vírgula 2 2 2" xfId="36" xr:uid="{06E420D3-71A6-4168-8CC2-F517F572A487}"/>
    <cellStyle name="Vírgula 2 2 2 2" xfId="59" xr:uid="{3CA85011-FF9E-4ACD-800F-8FC8F92F2FB9}"/>
    <cellStyle name="Vírgula 2 2 2 2 2" xfId="134" xr:uid="{C4AC114D-5664-4C34-B416-5BB89DB5853C}"/>
    <cellStyle name="Vírgula 2 2 2 2 2 2" xfId="222" xr:uid="{24656C06-4161-4DC8-87D8-D44185EC69C9}"/>
    <cellStyle name="Vírgula 2 2 2 2 3" xfId="189" xr:uid="{01D2BBB5-6DBF-4BD9-B7A2-7FA1CADA806A}"/>
    <cellStyle name="Vírgula 2 2 2 2 4" xfId="101" xr:uid="{F10DFDAA-8B86-4101-A7F8-797ECE6E61F6}"/>
    <cellStyle name="Vírgula 2 2 2 3" xfId="117" xr:uid="{5BD31F98-46BA-4156-81CF-D5DB4D184733}"/>
    <cellStyle name="Vírgula 2 2 2 3 2" xfId="205" xr:uid="{DDB651D0-948C-4F3E-8243-32443091A7ED}"/>
    <cellStyle name="Vírgula 2 2 2 4" xfId="151" xr:uid="{D59C315A-069F-4AF9-880B-F130777A09CE}"/>
    <cellStyle name="Vírgula 2 2 2 5" xfId="172" xr:uid="{1F503C49-D77F-4A5C-B0DF-0D4479314FC0}"/>
    <cellStyle name="Vírgula 2 2 2 6" xfId="82" xr:uid="{17CD1050-3A62-4D72-8AFD-D0DEA70A5750}"/>
    <cellStyle name="Vírgula 2 2 3" xfId="18" xr:uid="{9CF99184-FFED-4D5B-BB53-7D1C66F0BE51}"/>
    <cellStyle name="Vírgula 2 2 3 2" xfId="123" xr:uid="{91FB8CDB-86DB-4FB7-8886-B03FB180FA8A}"/>
    <cellStyle name="Vírgula 2 2 3 2 2" xfId="211" xr:uid="{9FF5A96A-FA7C-494D-B2E9-198907F34295}"/>
    <cellStyle name="Vírgula 2 2 3 3" xfId="178" xr:uid="{3176604A-8219-4E6E-86E1-3CEB0F9EBC11}"/>
    <cellStyle name="Vírgula 2 2 3 4" xfId="90" xr:uid="{06BD82F9-7170-4ED6-8BA9-4CE04C5DD788}"/>
    <cellStyle name="Vírgula 2 2 4" xfId="19" xr:uid="{29F85DDB-6959-474E-8BFF-725CD309D073}"/>
    <cellStyle name="Vírgula 2 2 4 2" xfId="37" xr:uid="{70A65E07-764F-466E-8CFE-3D191D42FDFE}"/>
    <cellStyle name="Vírgula 2 2 4 2 2" xfId="60" xr:uid="{2CF5660C-AC02-44A7-AC0A-B85838A29122}"/>
    <cellStyle name="Vírgula 2 2 4 2 2 2" xfId="212" xr:uid="{9DEEB9F9-9824-4111-AF62-C5E1C4318254}"/>
    <cellStyle name="Vírgula 2 2 4 2 2 3" xfId="124" xr:uid="{0DD9B95E-A023-4952-B639-70914EF75E9B}"/>
    <cellStyle name="Vírgula 2 2 4 2 3" xfId="152" xr:uid="{ADDCAF44-4C26-4608-8FE9-E64A44324ED8}"/>
    <cellStyle name="Vírgula 2 2 4 2 4" xfId="179" xr:uid="{E9347F52-CED1-427F-971D-DD0D96D6121A}"/>
    <cellStyle name="Vírgula 2 2 4 2 5" xfId="91" xr:uid="{9710E6A1-6A15-47FC-A7A4-BDC08DA1455D}"/>
    <cellStyle name="Vírgula 2 2 4 3" xfId="49" xr:uid="{72C5EC12-F25A-4B05-8B17-3A8A67F2E9E4}"/>
    <cellStyle name="Vírgula 2 2 4 3 2" xfId="196" xr:uid="{8D5282BA-C207-4553-A00D-C1187727D625}"/>
    <cellStyle name="Vírgula 2 2 4 3 3" xfId="108" xr:uid="{58D5BAE4-0F26-426F-9CBE-91F474F00F33}"/>
    <cellStyle name="Vírgula 2 2 4 4" xfId="141" xr:uid="{1AF0D424-803B-4B16-92EF-9249596EFC52}"/>
    <cellStyle name="Vírgula 2 2 4 5" xfId="163" xr:uid="{021A1CE6-A40E-4BF5-A9B2-A25753154416}"/>
    <cellStyle name="Vírgula 2 2 4 6" xfId="72" xr:uid="{2250B89C-C19A-4B66-AEF7-76B3CABB57DF}"/>
    <cellStyle name="Vírgula 2 2 5" xfId="48" xr:uid="{928A1A0E-E076-4D6D-A968-141B8CD9CF92}"/>
    <cellStyle name="Vírgula 2 2 5 2" xfId="195" xr:uid="{3CA965EB-8439-4D66-8E4F-0867EB0C5B7A}"/>
    <cellStyle name="Vírgula 2 2 5 3" xfId="107" xr:uid="{276F93DD-B4D9-45EA-BF3F-56D3BF8EF2BE}"/>
    <cellStyle name="Vírgula 2 2 6" xfId="140" xr:uid="{BA1248B1-6862-4313-9A76-07C0B76DBF83}"/>
    <cellStyle name="Vírgula 2 2 7" xfId="162" xr:uid="{B46A5496-C161-4CE6-81AC-B815F46AE211}"/>
    <cellStyle name="Vírgula 2 2 8" xfId="71" xr:uid="{FA8B85D8-F0AE-413F-90EE-9C9B03ED9C5B}"/>
    <cellStyle name="Vírgula 2 3" xfId="27" xr:uid="{5F2F7B23-90DA-4DA8-A330-78CEEA7FBEE9}"/>
    <cellStyle name="Vírgula 2 3 2" xfId="39" xr:uid="{78993CA3-30ED-4621-B049-DB25EDF934C4}"/>
    <cellStyle name="Vírgula 2 3 2 2" xfId="62" xr:uid="{E8578D00-A8BE-4EFB-B6A5-1AF098980ABA}"/>
    <cellStyle name="Vírgula 2 3 2 2 2" xfId="214" xr:uid="{DEFE8205-9A18-419A-97C2-EE96F2DF5321}"/>
    <cellStyle name="Vírgula 2 3 2 2 3" xfId="126" xr:uid="{FA515235-9353-4B4B-BBE8-71DDABB7FB5B}"/>
    <cellStyle name="Vírgula 2 3 2 3" xfId="154" xr:uid="{34C2A27B-6B0D-4ED2-A9DA-9C806EDAE667}"/>
    <cellStyle name="Vírgula 2 3 2 4" xfId="181" xr:uid="{B3F58B3F-92FE-46E4-8020-3FC9C946D4EF}"/>
    <cellStyle name="Vírgula 2 3 2 5" xfId="93" xr:uid="{43EB1E1C-0F71-4FA9-AC2E-3D5B7BC06EEB}"/>
    <cellStyle name="Vírgula 2 3 3" xfId="51" xr:uid="{A953B16F-8D77-401C-AC23-64E366C7FC18}"/>
    <cellStyle name="Vírgula 2 3 3 2" xfId="198" xr:uid="{DF2DD476-CF11-4B5B-AA98-354B5B2297FD}"/>
    <cellStyle name="Vírgula 2 3 3 3" xfId="110" xr:uid="{66BB3DB0-3AF4-45DB-BA4C-0092878EEF0B}"/>
    <cellStyle name="Vírgula 2 3 4" xfId="143" xr:uid="{7ED2FD41-BEF6-4D3E-91FA-E0E55E75DABB}"/>
    <cellStyle name="Vírgula 2 3 5" xfId="165" xr:uid="{EE4200A3-0C82-4DFE-8801-F0166248BBC3}"/>
    <cellStyle name="Vírgula 2 3 6" xfId="74" xr:uid="{893CB88F-F69D-4EF3-A6A7-107325A6E439}"/>
    <cellStyle name="Vírgula 2 4" xfId="29" xr:uid="{A0455173-4187-47F5-AB74-1B933BA385D5}"/>
    <cellStyle name="Vírgula 2 4 2" xfId="41" xr:uid="{C4173A3F-A51B-4A4C-BD84-F2F64725BC73}"/>
    <cellStyle name="Vírgula 2 4 2 2" xfId="64" xr:uid="{6C7B53EB-5411-4A4A-A6B8-8D066EA3D48D}"/>
    <cellStyle name="Vírgula 2 4 2 2 2" xfId="216" xr:uid="{1645E1C4-7002-423F-A5C4-48BDD68F3B74}"/>
    <cellStyle name="Vírgula 2 4 2 2 3" xfId="128" xr:uid="{4797A1E2-E953-487F-950C-C597927956A8}"/>
    <cellStyle name="Vírgula 2 4 2 3" xfId="156" xr:uid="{DC5F311C-003B-4409-8B2E-F4DFB513F798}"/>
    <cellStyle name="Vírgula 2 4 2 4" xfId="183" xr:uid="{F92CADF2-4F97-48C6-BDC6-03056E8C44C8}"/>
    <cellStyle name="Vírgula 2 4 2 5" xfId="95" xr:uid="{FB73214C-972D-4083-BC41-B1C2C4877C8B}"/>
    <cellStyle name="Vírgula 2 4 3" xfId="53" xr:uid="{720889A7-0B7A-4669-B271-F1E2982D231C}"/>
    <cellStyle name="Vírgula 2 4 3 2" xfId="200" xr:uid="{CCA25C23-0BF0-4256-A78B-70343695EA5D}"/>
    <cellStyle name="Vírgula 2 4 3 3" xfId="112" xr:uid="{EC2A96ED-C0F4-486A-B470-67B5381AAD81}"/>
    <cellStyle name="Vírgula 2 4 4" xfId="145" xr:uid="{969D4736-05A1-43A2-B967-6FEE649522FF}"/>
    <cellStyle name="Vírgula 2 4 5" xfId="167" xr:uid="{AE6C7481-8C67-435C-874B-4FC4898E68EA}"/>
    <cellStyle name="Vírgula 2 4 6" xfId="76" xr:uid="{28DB3EA2-D899-4E3C-80AC-62BAB76B8DDF}"/>
    <cellStyle name="Vírgula 2 5" xfId="33" xr:uid="{AA6DCDBB-4D6D-4942-A1B3-56A7B0DC8063}"/>
    <cellStyle name="Vírgula 2 5 2" xfId="56" xr:uid="{CBBF4928-6261-426C-9FEA-DFD384494D42}"/>
    <cellStyle name="Vírgula 2 5 2 2" xfId="131" xr:uid="{2AC8239E-2FD9-484D-A888-CF30ADC7952D}"/>
    <cellStyle name="Vírgula 2 5 2 2 2" xfId="219" xr:uid="{2F4535B2-A842-4E37-8A33-45D3AAF1C4BD}"/>
    <cellStyle name="Vírgula 2 5 2 3" xfId="186" xr:uid="{3FDB43B7-7100-4D1D-A0CF-9F5B2EEE6896}"/>
    <cellStyle name="Vírgula 2 5 2 4" xfId="98" xr:uid="{5ABCBBD4-C84D-4FCA-AF5B-60655F2D0248}"/>
    <cellStyle name="Vírgula 2 5 3" xfId="114" xr:uid="{627AE137-2113-4BE9-BB0D-D6E57BF378B1}"/>
    <cellStyle name="Vírgula 2 5 3 2" xfId="202" xr:uid="{A5728900-03E9-4748-A7CC-2E57C1F38B26}"/>
    <cellStyle name="Vírgula 2 5 4" xfId="148" xr:uid="{19119BEB-781E-4518-ABB0-FCEB7F3FC70D}"/>
    <cellStyle name="Vírgula 2 5 5" xfId="169" xr:uid="{8A71D40E-0963-4F3A-8A8A-CF87DC2AB1D9}"/>
    <cellStyle name="Vírgula 2 5 6" xfId="78" xr:uid="{35C5C0E3-2258-4BF2-B0CE-FA586C0919EF}"/>
    <cellStyle name="Vírgula 2 6" xfId="12" xr:uid="{6C3D45C5-DBA5-46DC-9779-D5347D7FEE3C}"/>
    <cellStyle name="Vírgula 2 6 2" xfId="120" xr:uid="{4D6AECAD-EF3E-41F1-9BED-F508652C053C}"/>
    <cellStyle name="Vírgula 2 6 2 2" xfId="208" xr:uid="{DB143408-C4E4-4B3B-A2A1-704DF57F6393}"/>
    <cellStyle name="Vírgula 2 6 3" xfId="175" xr:uid="{9744172D-59B7-4BD9-879A-9D5B199C97B8}"/>
    <cellStyle name="Vírgula 2 6 4" xfId="87" xr:uid="{27E93103-DA12-4FD2-9531-A6A233F8A054}"/>
    <cellStyle name="Vírgula 2 7" xfId="45" xr:uid="{9B9BAC78-85FC-4C3F-98F4-5115524CDE9C}"/>
    <cellStyle name="Vírgula 2 7 2" xfId="192" xr:uid="{3983AE45-D265-466F-9367-0FCE1EAB6977}"/>
    <cellStyle name="Vírgula 2 7 3" xfId="104" xr:uid="{807C8F6F-16DB-4593-A723-4206DD595C37}"/>
    <cellStyle name="Vírgula 2 8" xfId="137" xr:uid="{7F8F9A5A-1432-44BB-8C1A-648E6B7F9655}"/>
    <cellStyle name="Vírgula 2 9" xfId="159" xr:uid="{FCE06206-4989-4C97-A12A-7D9409F0DC6C}"/>
    <cellStyle name="Vírgula 3" xfId="6" xr:uid="{E84B71AB-10F7-4676-9905-195802BA3BD0}"/>
    <cellStyle name="Vírgula 3 2" xfId="31" xr:uid="{21BC3205-91E7-4531-AA1B-562B8BA173D9}"/>
    <cellStyle name="Vírgula 3 2 2" xfId="132" xr:uid="{924C39F9-7375-4655-81D5-B3E2C4203BA1}"/>
    <cellStyle name="Vírgula 3 2 2 2" xfId="220" xr:uid="{23AE7508-3236-4AD2-8395-0DDE01C02AB7}"/>
    <cellStyle name="Vírgula 3 2 3" xfId="187" xr:uid="{E5EE5321-07F9-4730-994E-DBC2270F563B}"/>
    <cellStyle name="Vírgula 3 2 4" xfId="99" xr:uid="{5D1E3623-09F1-44CD-BE94-EA0B3C140A26}"/>
    <cellStyle name="Vírgula 3 3" xfId="54" xr:uid="{AD8902B7-08D7-4070-B0D6-560A31B4BF3F}"/>
    <cellStyle name="Vírgula 3 3 2" xfId="203" xr:uid="{453A750F-537B-4E15-9E33-2A7153608842}"/>
    <cellStyle name="Vírgula 3 3 3" xfId="115" xr:uid="{4B250861-778B-4223-B3FA-24AF95DDCB02}"/>
    <cellStyle name="Vírgula 3 4" xfId="146" xr:uid="{BB641CAD-436F-4EE5-A297-C1B132C26BE1}"/>
    <cellStyle name="Vírgula 3 5" xfId="170" xr:uid="{8D49A464-C310-480F-97D3-49241A045A98}"/>
    <cellStyle name="Vírgula 3 6" xfId="80" xr:uid="{6AAA6B74-A8D9-4DF7-94DC-667BD225E884}"/>
    <cellStyle name="Vírgula 4" xfId="9" xr:uid="{437E8619-A18F-436F-B8B6-F093D6706D33}"/>
    <cellStyle name="Vírgula 4 2" xfId="97" xr:uid="{31DBD996-DCDA-4343-9EF6-5742646CDA2B}"/>
    <cellStyle name="Vírgula 4 2 2" xfId="130" xr:uid="{D6A93E66-28BD-4EEF-8F9C-41814D048ECA}"/>
    <cellStyle name="Vírgula 4 2 2 2" xfId="218" xr:uid="{85121FDE-DAFC-4FDF-ACB8-4AFC66A59818}"/>
    <cellStyle name="Vírgula 4 2 3" xfId="185" xr:uid="{8A5E56F6-3B62-4180-9452-99FA9FBCDF81}"/>
    <cellStyle name="Vírgula 4 3" xfId="113" xr:uid="{CB578AB2-A0B0-40FE-9FA4-66B467B62614}"/>
    <cellStyle name="Vírgula 4 3 2" xfId="201" xr:uid="{81A2F084-E0F8-478A-8BA4-61C41DAD8DF3}"/>
    <cellStyle name="Vírgula 4 4" xfId="168" xr:uid="{B8AEA382-F18B-4766-8EBB-8C13E347A338}"/>
    <cellStyle name="Vírgula 4 5" xfId="77" xr:uid="{A3A3C5C7-C130-41F7-B105-7930B1298748}"/>
    <cellStyle name="Vírgula 5" xfId="43" xr:uid="{E1DC19AA-C822-4794-BEC7-BBFCCDF2CC7B}"/>
    <cellStyle name="Vírgula 5 2" xfId="118" xr:uid="{AFAAD3DF-AA03-4363-8411-A0455C6F47B1}"/>
    <cellStyle name="Vírgula 5 2 2" xfId="206" xr:uid="{BCC9A758-86E8-4C70-9B2A-6EECF7D972B3}"/>
    <cellStyle name="Vírgula 5 3" xfId="173" xr:uid="{1BA415A3-2A2D-45D1-BC5E-DE2F19CD9836}"/>
    <cellStyle name="Vírgula 5 4" xfId="85" xr:uid="{3FC0ACDA-646A-450D-9ACA-D2185B759E25}"/>
    <cellStyle name="Vírgula 6" xfId="102" xr:uid="{E3E68CBE-75D8-430C-89E8-EA7511CBBB96}"/>
    <cellStyle name="Vírgula 6 2" xfId="190" xr:uid="{0DB41B03-A970-46B9-A725-2A463F3FF149}"/>
    <cellStyle name="Vírgula 7" xfId="135" xr:uid="{7FECF735-9EDF-48B4-A08D-F5ADE8578C39}"/>
    <cellStyle name="Vírgula 8" xfId="157" xr:uid="{AFF612BC-C1E0-4490-B8F3-D12AE850263A}"/>
    <cellStyle name="Vírgula 9" xfId="30" xr:uid="{775101C0-541C-42B0-822C-83DD9D311217}"/>
    <cellStyle name="Vírgula 9 2" xfId="42" xr:uid="{8B5608D7-E69E-4F78-B609-04344740DF19}"/>
    <cellStyle name="Vírgula 9 2 2" xfId="65" xr:uid="{63FFB66F-DFA2-4FB1-A741-007A2E4FCA42}"/>
    <cellStyle name="Vírgula 9 2 2 2" xfId="217" xr:uid="{163BC245-5442-4733-9D4C-4AB24BA0AFF9}"/>
    <cellStyle name="Vírgula 9 2 2 3" xfId="129" xr:uid="{E1D7C3F7-38B0-40CF-B4E4-48E5665B426D}"/>
    <cellStyle name="Vírgula 9 2 3" xfId="184" xr:uid="{22303A4F-D71C-4339-A9BE-4382A8A36DCE}"/>
    <cellStyle name="Vírgula 9 2 4" xfId="96" xr:uid="{3597C14E-EE9D-4109-A123-FBFFB344B2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25AC-A17A-4171-9569-D386BE06C99B}">
  <dimension ref="A1:I1611"/>
  <sheetViews>
    <sheetView topLeftCell="A370" workbookViewId="0">
      <selection activeCell="B382" sqref="B382"/>
    </sheetView>
  </sheetViews>
  <sheetFormatPr defaultRowHeight="14.4"/>
  <cols>
    <col min="1" max="1" width="15.109375" bestFit="1" customWidth="1"/>
    <col min="2" max="2" width="9.109375" customWidth="1"/>
    <col min="5" max="5" width="15.109375" bestFit="1" customWidth="1"/>
    <col min="8" max="8" width="15.109375" bestFit="1" customWidth="1"/>
  </cols>
  <sheetData>
    <row r="1" spans="1:9">
      <c r="A1" s="1">
        <v>34547</v>
      </c>
      <c r="B1" s="2">
        <v>100</v>
      </c>
      <c r="C1" s="3"/>
      <c r="E1" s="1">
        <v>34547</v>
      </c>
      <c r="F1" s="9"/>
      <c r="H1" s="1">
        <v>34547</v>
      </c>
      <c r="I1" s="9"/>
    </row>
    <row r="2" spans="1:9">
      <c r="A2" s="1">
        <v>34578</v>
      </c>
      <c r="B2" s="2">
        <v>100.381</v>
      </c>
      <c r="C2" s="3"/>
      <c r="E2" s="1">
        <v>34578</v>
      </c>
      <c r="F2" s="9">
        <f t="shared" ref="F2:F65" si="0">B1</f>
        <v>100</v>
      </c>
      <c r="H2" s="1">
        <v>34578</v>
      </c>
      <c r="I2" s="9"/>
    </row>
    <row r="3" spans="1:9">
      <c r="A3" s="1">
        <v>34608</v>
      </c>
      <c r="B3" s="2">
        <v>101.71</v>
      </c>
      <c r="C3" s="3"/>
      <c r="E3" s="1">
        <v>34608</v>
      </c>
      <c r="F3" s="9">
        <f t="shared" si="0"/>
        <v>100.381</v>
      </c>
      <c r="H3" s="1">
        <v>34608</v>
      </c>
      <c r="I3" s="9">
        <f>B1</f>
        <v>100</v>
      </c>
    </row>
    <row r="4" spans="1:9">
      <c r="A4" s="1">
        <v>34639</v>
      </c>
      <c r="B4" s="2">
        <v>104.11</v>
      </c>
      <c r="C4" s="3"/>
      <c r="E4" s="1">
        <v>34639</v>
      </c>
      <c r="F4" s="9">
        <f t="shared" si="0"/>
        <v>101.71</v>
      </c>
      <c r="H4" s="1">
        <v>34639</v>
      </c>
      <c r="I4" s="9">
        <f t="shared" ref="I4:I67" si="1">B2</f>
        <v>100.381</v>
      </c>
    </row>
    <row r="5" spans="1:9">
      <c r="A5" s="1">
        <v>34669</v>
      </c>
      <c r="B5" s="2">
        <v>105.48699999999999</v>
      </c>
      <c r="C5" s="3"/>
      <c r="E5" s="1">
        <v>34669</v>
      </c>
      <c r="F5" s="9">
        <f t="shared" si="0"/>
        <v>104.11</v>
      </c>
      <c r="H5" s="1">
        <v>34669</v>
      </c>
      <c r="I5" s="9">
        <f t="shared" si="1"/>
        <v>101.71</v>
      </c>
    </row>
    <row r="6" spans="1:9">
      <c r="A6" s="1">
        <v>34700</v>
      </c>
      <c r="B6" s="2">
        <v>109.176</v>
      </c>
      <c r="C6" s="3"/>
      <c r="E6" s="1">
        <v>34700</v>
      </c>
      <c r="F6" s="9">
        <f t="shared" si="0"/>
        <v>105.48699999999999</v>
      </c>
      <c r="H6" s="1">
        <v>34700</v>
      </c>
      <c r="I6" s="9">
        <f t="shared" si="1"/>
        <v>104.11</v>
      </c>
    </row>
    <row r="7" spans="1:9">
      <c r="A7" s="1">
        <v>34731</v>
      </c>
      <c r="B7" s="2">
        <v>111.453</v>
      </c>
      <c r="C7" s="3"/>
      <c r="E7" s="1">
        <v>34731</v>
      </c>
      <c r="F7" s="9">
        <f t="shared" si="0"/>
        <v>109.176</v>
      </c>
      <c r="H7" s="1">
        <v>34731</v>
      </c>
      <c r="I7" s="9">
        <f t="shared" si="1"/>
        <v>105.48699999999999</v>
      </c>
    </row>
    <row r="8" spans="1:9">
      <c r="A8" s="1">
        <v>34759</v>
      </c>
      <c r="B8" s="2">
        <v>115.129</v>
      </c>
      <c r="C8" s="3"/>
      <c r="E8" s="1">
        <v>34759</v>
      </c>
      <c r="F8" s="9">
        <f t="shared" si="0"/>
        <v>111.453</v>
      </c>
      <c r="H8" s="1">
        <v>34759</v>
      </c>
      <c r="I8" s="9">
        <f t="shared" si="1"/>
        <v>109.176</v>
      </c>
    </row>
    <row r="9" spans="1:9">
      <c r="A9" s="1">
        <v>34790</v>
      </c>
      <c r="B9" s="2">
        <v>117.774</v>
      </c>
      <c r="C9" s="3"/>
      <c r="E9" s="1">
        <v>34790</v>
      </c>
      <c r="F9" s="9">
        <f t="shared" si="0"/>
        <v>115.129</v>
      </c>
      <c r="H9" s="1">
        <v>34790</v>
      </c>
      <c r="I9" s="9">
        <f t="shared" si="1"/>
        <v>111.453</v>
      </c>
    </row>
    <row r="10" spans="1:9">
      <c r="A10" s="1">
        <v>34820</v>
      </c>
      <c r="B10" s="2">
        <v>128.09800000000001</v>
      </c>
      <c r="C10" s="3"/>
      <c r="E10" s="1">
        <v>34820</v>
      </c>
      <c r="F10" s="9">
        <f t="shared" si="0"/>
        <v>117.774</v>
      </c>
      <c r="H10" s="1">
        <v>34820</v>
      </c>
      <c r="I10" s="9">
        <f t="shared" si="1"/>
        <v>115.129</v>
      </c>
    </row>
    <row r="11" spans="1:9">
      <c r="A11" s="1">
        <v>34851</v>
      </c>
      <c r="B11" s="2">
        <v>132.09</v>
      </c>
      <c r="C11" s="3"/>
      <c r="E11" s="1">
        <v>34851</v>
      </c>
      <c r="F11" s="9">
        <f t="shared" si="0"/>
        <v>128.09800000000001</v>
      </c>
      <c r="H11" s="1">
        <v>34851</v>
      </c>
      <c r="I11" s="9">
        <f t="shared" si="1"/>
        <v>117.774</v>
      </c>
    </row>
    <row r="12" spans="1:9">
      <c r="A12" s="1">
        <v>34881</v>
      </c>
      <c r="B12" s="2">
        <v>133.524</v>
      </c>
      <c r="C12" s="3"/>
      <c r="E12" s="1">
        <v>34881</v>
      </c>
      <c r="F12" s="9">
        <f t="shared" si="0"/>
        <v>132.09</v>
      </c>
      <c r="H12" s="1">
        <v>34881</v>
      </c>
      <c r="I12" s="9">
        <f t="shared" si="1"/>
        <v>128.09800000000001</v>
      </c>
    </row>
    <row r="13" spans="1:9">
      <c r="A13" s="1">
        <v>34912</v>
      </c>
      <c r="B13" s="2">
        <v>134.35300000000001</v>
      </c>
      <c r="C13" s="3"/>
      <c r="E13" s="1">
        <v>34912</v>
      </c>
      <c r="F13" s="9">
        <f t="shared" si="0"/>
        <v>133.524</v>
      </c>
      <c r="H13" s="1">
        <v>34912</v>
      </c>
      <c r="I13" s="9">
        <f t="shared" si="1"/>
        <v>132.09</v>
      </c>
    </row>
    <row r="14" spans="1:9">
      <c r="A14" s="1">
        <v>34943</v>
      </c>
      <c r="B14" s="2">
        <v>135.31800000000001</v>
      </c>
      <c r="C14" s="3"/>
      <c r="E14" s="1">
        <v>34943</v>
      </c>
      <c r="F14" s="9">
        <f t="shared" si="0"/>
        <v>134.35300000000001</v>
      </c>
      <c r="H14" s="1">
        <v>34943</v>
      </c>
      <c r="I14" s="9">
        <f t="shared" si="1"/>
        <v>133.524</v>
      </c>
    </row>
    <row r="15" spans="1:9">
      <c r="A15" s="1">
        <v>34973</v>
      </c>
      <c r="B15" s="2">
        <v>136.48400000000001</v>
      </c>
      <c r="C15" s="3"/>
      <c r="E15" s="1">
        <v>34973</v>
      </c>
      <c r="F15" s="9">
        <f t="shared" si="0"/>
        <v>135.31800000000001</v>
      </c>
      <c r="H15" s="1">
        <v>34973</v>
      </c>
      <c r="I15" s="9">
        <f t="shared" si="1"/>
        <v>134.35300000000001</v>
      </c>
    </row>
    <row r="16" spans="1:9">
      <c r="A16" s="1">
        <v>35004</v>
      </c>
      <c r="B16" s="2">
        <v>137.47800000000001</v>
      </c>
      <c r="C16" s="3"/>
      <c r="E16" s="1">
        <v>35004</v>
      </c>
      <c r="F16" s="9">
        <f t="shared" si="0"/>
        <v>136.48400000000001</v>
      </c>
      <c r="H16" s="1">
        <v>35004</v>
      </c>
      <c r="I16" s="9">
        <f t="shared" si="1"/>
        <v>135.31800000000001</v>
      </c>
    </row>
    <row r="17" spans="1:9">
      <c r="A17" s="1">
        <v>35034</v>
      </c>
      <c r="B17" s="2">
        <v>138.66399999999999</v>
      </c>
      <c r="C17" s="3"/>
      <c r="E17" s="1">
        <v>35034</v>
      </c>
      <c r="F17" s="9">
        <f t="shared" si="0"/>
        <v>137.47800000000001</v>
      </c>
      <c r="H17" s="1">
        <v>35034</v>
      </c>
      <c r="I17" s="9">
        <f t="shared" si="1"/>
        <v>136.48400000000001</v>
      </c>
    </row>
    <row r="18" spans="1:9">
      <c r="A18" s="1">
        <v>35065</v>
      </c>
      <c r="B18" s="2">
        <v>140.76599999999999</v>
      </c>
      <c r="C18" s="3"/>
      <c r="E18" s="1">
        <v>35065</v>
      </c>
      <c r="F18" s="9">
        <f t="shared" si="0"/>
        <v>138.66399999999999</v>
      </c>
      <c r="H18" s="1">
        <v>35065</v>
      </c>
      <c r="I18" s="9">
        <f t="shared" si="1"/>
        <v>137.47800000000001</v>
      </c>
    </row>
    <row r="19" spans="1:9">
      <c r="A19" s="1">
        <v>35096</v>
      </c>
      <c r="B19" s="2">
        <v>140.929</v>
      </c>
      <c r="C19" s="3"/>
      <c r="E19" s="1">
        <v>35096</v>
      </c>
      <c r="F19" s="9">
        <f t="shared" si="0"/>
        <v>140.76599999999999</v>
      </c>
      <c r="H19" s="1">
        <v>35096</v>
      </c>
      <c r="I19" s="9">
        <f t="shared" si="1"/>
        <v>138.66399999999999</v>
      </c>
    </row>
    <row r="20" spans="1:9">
      <c r="A20" s="1">
        <v>35125</v>
      </c>
      <c r="B20" s="2">
        <v>142.31299999999999</v>
      </c>
      <c r="C20" s="3"/>
      <c r="E20" s="1">
        <v>35125</v>
      </c>
      <c r="F20" s="9">
        <f t="shared" si="0"/>
        <v>140.929</v>
      </c>
      <c r="H20" s="1">
        <v>35125</v>
      </c>
      <c r="I20" s="9">
        <f t="shared" si="1"/>
        <v>140.76599999999999</v>
      </c>
    </row>
    <row r="21" spans="1:9">
      <c r="A21" s="1">
        <v>35156</v>
      </c>
      <c r="B21" s="2">
        <v>142.66300000000001</v>
      </c>
      <c r="C21" s="3"/>
      <c r="E21" s="1">
        <v>35156</v>
      </c>
      <c r="F21" s="9">
        <f t="shared" si="0"/>
        <v>142.31299999999999</v>
      </c>
      <c r="H21" s="1">
        <v>35156</v>
      </c>
      <c r="I21" s="9">
        <f t="shared" si="1"/>
        <v>140.929</v>
      </c>
    </row>
    <row r="22" spans="1:9">
      <c r="A22" s="1">
        <v>35186</v>
      </c>
      <c r="B22" s="2">
        <v>145.74199999999999</v>
      </c>
      <c r="C22" s="3"/>
      <c r="E22" s="1">
        <v>35186</v>
      </c>
      <c r="F22" s="9">
        <f t="shared" si="0"/>
        <v>142.66300000000001</v>
      </c>
      <c r="H22" s="1">
        <v>35186</v>
      </c>
      <c r="I22" s="9">
        <f t="shared" si="1"/>
        <v>142.31299999999999</v>
      </c>
    </row>
    <row r="23" spans="1:9">
      <c r="A23" s="1">
        <v>35217</v>
      </c>
      <c r="B23" s="2">
        <v>147.98400000000001</v>
      </c>
      <c r="C23" s="3"/>
      <c r="E23" s="1">
        <v>35217</v>
      </c>
      <c r="F23" s="9">
        <f t="shared" si="0"/>
        <v>145.74199999999999</v>
      </c>
      <c r="H23" s="1">
        <v>35217</v>
      </c>
      <c r="I23" s="9">
        <f t="shared" si="1"/>
        <v>142.66300000000001</v>
      </c>
    </row>
    <row r="24" spans="1:9">
      <c r="A24" s="1">
        <v>35247</v>
      </c>
      <c r="B24" s="2">
        <v>149.095</v>
      </c>
      <c r="C24" s="3"/>
      <c r="E24" s="1">
        <v>35247</v>
      </c>
      <c r="F24" s="9">
        <f t="shared" si="0"/>
        <v>147.98400000000001</v>
      </c>
      <c r="H24" s="1">
        <v>35247</v>
      </c>
      <c r="I24" s="9">
        <f t="shared" si="1"/>
        <v>145.74199999999999</v>
      </c>
    </row>
    <row r="25" spans="1:9">
      <c r="A25" s="1">
        <v>35278</v>
      </c>
      <c r="B25" s="2">
        <v>149.44499999999999</v>
      </c>
      <c r="C25" s="3"/>
      <c r="E25" s="1">
        <v>35278</v>
      </c>
      <c r="F25" s="9">
        <f t="shared" si="0"/>
        <v>149.095</v>
      </c>
      <c r="H25" s="1">
        <v>35278</v>
      </c>
      <c r="I25" s="9">
        <f t="shared" si="1"/>
        <v>147.98400000000001</v>
      </c>
    </row>
    <row r="26" spans="1:9">
      <c r="A26" s="1">
        <v>35309</v>
      </c>
      <c r="B26" s="2">
        <v>149.77199999999999</v>
      </c>
      <c r="C26" s="3"/>
      <c r="E26" s="1">
        <v>35309</v>
      </c>
      <c r="F26" s="9">
        <f t="shared" si="0"/>
        <v>149.44499999999999</v>
      </c>
      <c r="H26" s="1">
        <v>35309</v>
      </c>
      <c r="I26" s="9">
        <f t="shared" si="1"/>
        <v>149.095</v>
      </c>
    </row>
    <row r="27" spans="1:9">
      <c r="A27" s="1">
        <v>35339</v>
      </c>
      <c r="B27" s="2">
        <v>150.15700000000001</v>
      </c>
      <c r="C27" s="3"/>
      <c r="E27" s="1">
        <v>35339</v>
      </c>
      <c r="F27" s="9">
        <f t="shared" si="0"/>
        <v>149.77199999999999</v>
      </c>
      <c r="H27" s="1">
        <v>35339</v>
      </c>
      <c r="I27" s="9">
        <f t="shared" si="1"/>
        <v>149.44499999999999</v>
      </c>
    </row>
    <row r="28" spans="1:9">
      <c r="A28" s="1">
        <v>35370</v>
      </c>
      <c r="B28" s="2">
        <v>151.035</v>
      </c>
      <c r="C28" s="3"/>
      <c r="E28" s="1">
        <v>35370</v>
      </c>
      <c r="F28" s="9">
        <f t="shared" si="0"/>
        <v>150.15700000000001</v>
      </c>
      <c r="H28" s="1">
        <v>35370</v>
      </c>
      <c r="I28" s="9">
        <f t="shared" si="1"/>
        <v>149.77199999999999</v>
      </c>
    </row>
    <row r="29" spans="1:9">
      <c r="A29" s="1">
        <v>35400</v>
      </c>
      <c r="B29" s="2">
        <v>151.922</v>
      </c>
      <c r="C29" s="3"/>
      <c r="E29" s="1">
        <v>35400</v>
      </c>
      <c r="F29" s="9">
        <f t="shared" si="0"/>
        <v>151.035</v>
      </c>
      <c r="H29" s="1">
        <v>35400</v>
      </c>
      <c r="I29" s="9">
        <f t="shared" si="1"/>
        <v>150.15700000000001</v>
      </c>
    </row>
    <row r="30" spans="1:9">
      <c r="A30" s="1">
        <v>35431</v>
      </c>
      <c r="B30" s="2">
        <v>152.40799999999999</v>
      </c>
      <c r="C30" s="3"/>
      <c r="E30" s="1">
        <v>35431</v>
      </c>
      <c r="F30" s="9">
        <f t="shared" si="0"/>
        <v>151.922</v>
      </c>
      <c r="H30" s="1">
        <v>35431</v>
      </c>
      <c r="I30" s="9">
        <f t="shared" si="1"/>
        <v>151.035</v>
      </c>
    </row>
    <row r="31" spans="1:9">
      <c r="A31" s="1">
        <v>35462</v>
      </c>
      <c r="B31" s="2">
        <v>153.14699999999999</v>
      </c>
      <c r="C31" s="3"/>
      <c r="E31" s="1">
        <v>35462</v>
      </c>
      <c r="F31" s="9">
        <f t="shared" si="0"/>
        <v>152.40799999999999</v>
      </c>
      <c r="H31" s="1">
        <v>35462</v>
      </c>
      <c r="I31" s="9">
        <f t="shared" si="1"/>
        <v>151.922</v>
      </c>
    </row>
    <row r="32" spans="1:9">
      <c r="A32" s="1">
        <v>35490</v>
      </c>
      <c r="B32" s="2">
        <v>154.26</v>
      </c>
      <c r="C32" s="3"/>
      <c r="E32" s="1">
        <v>35490</v>
      </c>
      <c r="F32" s="9">
        <f t="shared" si="0"/>
        <v>153.14699999999999</v>
      </c>
      <c r="H32" s="1">
        <v>35490</v>
      </c>
      <c r="I32" s="9">
        <f t="shared" si="1"/>
        <v>152.40799999999999</v>
      </c>
    </row>
    <row r="33" spans="1:9">
      <c r="A33" s="1">
        <v>35521</v>
      </c>
      <c r="B33" s="2">
        <v>154.61600000000001</v>
      </c>
      <c r="C33" s="3"/>
      <c r="E33" s="1">
        <v>35521</v>
      </c>
      <c r="F33" s="9">
        <f t="shared" si="0"/>
        <v>154.26</v>
      </c>
      <c r="H33" s="1">
        <v>35521</v>
      </c>
      <c r="I33" s="9">
        <f t="shared" si="1"/>
        <v>153.14699999999999</v>
      </c>
    </row>
    <row r="34" spans="1:9">
      <c r="A34" s="1">
        <v>35551</v>
      </c>
      <c r="B34" s="2">
        <v>155.953</v>
      </c>
      <c r="C34" s="3"/>
      <c r="E34" s="1">
        <v>35551</v>
      </c>
      <c r="F34" s="9">
        <f t="shared" si="0"/>
        <v>154.61600000000001</v>
      </c>
      <c r="H34" s="1">
        <v>35551</v>
      </c>
      <c r="I34" s="9">
        <f t="shared" si="1"/>
        <v>154.26</v>
      </c>
    </row>
    <row r="35" spans="1:9">
      <c r="A35" s="1">
        <v>35582</v>
      </c>
      <c r="B35" s="2">
        <v>157.68700000000001</v>
      </c>
      <c r="C35" s="3"/>
      <c r="E35" s="1">
        <v>35582</v>
      </c>
      <c r="F35" s="9">
        <f t="shared" si="0"/>
        <v>155.953</v>
      </c>
      <c r="H35" s="1">
        <v>35582</v>
      </c>
      <c r="I35" s="9">
        <f t="shared" si="1"/>
        <v>154.61600000000001</v>
      </c>
    </row>
    <row r="36" spans="1:9">
      <c r="A36" s="1">
        <v>35612</v>
      </c>
      <c r="B36" s="2">
        <v>158.48500000000001</v>
      </c>
      <c r="C36" s="3"/>
      <c r="E36" s="1">
        <v>35612</v>
      </c>
      <c r="F36" s="9">
        <f t="shared" si="0"/>
        <v>157.68700000000001</v>
      </c>
      <c r="H36" s="1">
        <v>35612</v>
      </c>
      <c r="I36" s="9">
        <f t="shared" si="1"/>
        <v>155.953</v>
      </c>
    </row>
    <row r="37" spans="1:9">
      <c r="A37" s="1">
        <v>35643</v>
      </c>
      <c r="B37" s="2">
        <v>160.352</v>
      </c>
      <c r="C37" s="3"/>
      <c r="E37" s="1">
        <v>35643</v>
      </c>
      <c r="F37" s="9">
        <f t="shared" si="0"/>
        <v>158.48500000000001</v>
      </c>
      <c r="H37" s="1">
        <v>35643</v>
      </c>
      <c r="I37" s="9">
        <f t="shared" si="1"/>
        <v>157.68700000000001</v>
      </c>
    </row>
    <row r="38" spans="1:9">
      <c r="A38" s="1">
        <v>35674</v>
      </c>
      <c r="B38" s="2">
        <v>160.78</v>
      </c>
      <c r="C38" s="3"/>
      <c r="E38" s="1">
        <v>35674</v>
      </c>
      <c r="F38" s="9">
        <f t="shared" si="0"/>
        <v>160.352</v>
      </c>
      <c r="H38" s="1">
        <v>35674</v>
      </c>
      <c r="I38" s="9">
        <f t="shared" si="1"/>
        <v>158.48500000000001</v>
      </c>
    </row>
    <row r="39" spans="1:9">
      <c r="A39" s="1">
        <v>35704</v>
      </c>
      <c r="B39" s="2">
        <v>161.024</v>
      </c>
      <c r="C39" s="3"/>
      <c r="E39" s="1">
        <v>35704</v>
      </c>
      <c r="F39" s="9">
        <f t="shared" si="0"/>
        <v>160.78</v>
      </c>
      <c r="H39" s="1">
        <v>35704</v>
      </c>
      <c r="I39" s="9">
        <f t="shared" si="1"/>
        <v>160.352</v>
      </c>
    </row>
    <row r="40" spans="1:9">
      <c r="A40" s="1">
        <v>35735</v>
      </c>
      <c r="B40" s="2">
        <v>161.89699999999999</v>
      </c>
      <c r="C40" s="3"/>
      <c r="E40" s="1">
        <v>35735</v>
      </c>
      <c r="F40" s="9">
        <f t="shared" si="0"/>
        <v>161.024</v>
      </c>
      <c r="H40" s="1">
        <v>35735</v>
      </c>
      <c r="I40" s="9">
        <f t="shared" si="1"/>
        <v>160.78</v>
      </c>
    </row>
    <row r="41" spans="1:9">
      <c r="A41" s="1">
        <v>35765</v>
      </c>
      <c r="B41" s="2">
        <v>162.27099999999999</v>
      </c>
      <c r="C41" s="3"/>
      <c r="E41" s="1">
        <v>35765</v>
      </c>
      <c r="F41" s="9">
        <f t="shared" si="0"/>
        <v>161.89699999999999</v>
      </c>
      <c r="H41" s="1">
        <v>35765</v>
      </c>
      <c r="I41" s="9">
        <f t="shared" si="1"/>
        <v>161.024</v>
      </c>
    </row>
    <row r="42" spans="1:9">
      <c r="A42" s="1">
        <v>35796</v>
      </c>
      <c r="B42" s="2">
        <v>162.80500000000001</v>
      </c>
      <c r="C42" s="3"/>
      <c r="E42" s="1">
        <v>35796</v>
      </c>
      <c r="F42" s="9">
        <f t="shared" si="0"/>
        <v>162.27099999999999</v>
      </c>
      <c r="H42" s="1">
        <v>35796</v>
      </c>
      <c r="I42" s="9">
        <f t="shared" si="1"/>
        <v>161.89699999999999</v>
      </c>
    </row>
    <row r="43" spans="1:9">
      <c r="A43" s="1">
        <v>35827</v>
      </c>
      <c r="B43" s="2">
        <v>163.59299999999999</v>
      </c>
      <c r="C43" s="3"/>
      <c r="E43" s="1">
        <v>35827</v>
      </c>
      <c r="F43" s="9">
        <f t="shared" si="0"/>
        <v>162.80500000000001</v>
      </c>
      <c r="H43" s="1">
        <v>35827</v>
      </c>
      <c r="I43" s="9">
        <f t="shared" si="1"/>
        <v>162.27099999999999</v>
      </c>
    </row>
    <row r="44" spans="1:9">
      <c r="A44" s="1">
        <v>35855</v>
      </c>
      <c r="B44" s="2">
        <v>164.36099999999999</v>
      </c>
      <c r="C44" s="3"/>
      <c r="E44" s="1">
        <v>35855</v>
      </c>
      <c r="F44" s="9">
        <f t="shared" si="0"/>
        <v>163.59299999999999</v>
      </c>
      <c r="H44" s="1">
        <v>35855</v>
      </c>
      <c r="I44" s="9">
        <f t="shared" si="1"/>
        <v>162.80500000000001</v>
      </c>
    </row>
    <row r="45" spans="1:9">
      <c r="A45" s="1">
        <v>35886</v>
      </c>
      <c r="B45" s="2">
        <v>163.535</v>
      </c>
      <c r="C45" s="3"/>
      <c r="E45" s="1">
        <v>35886</v>
      </c>
      <c r="F45" s="9">
        <f t="shared" si="0"/>
        <v>164.36099999999999</v>
      </c>
      <c r="H45" s="1">
        <v>35886</v>
      </c>
      <c r="I45" s="9">
        <f t="shared" si="1"/>
        <v>163.59299999999999</v>
      </c>
    </row>
    <row r="46" spans="1:9">
      <c r="A46" s="1">
        <v>35916</v>
      </c>
      <c r="B46" s="2">
        <v>165.13300000000001</v>
      </c>
      <c r="C46" s="3"/>
      <c r="E46" s="1">
        <v>35916</v>
      </c>
      <c r="F46" s="9">
        <f t="shared" si="0"/>
        <v>163.535</v>
      </c>
      <c r="H46" s="1">
        <v>35916</v>
      </c>
      <c r="I46" s="9">
        <f t="shared" si="1"/>
        <v>164.36099999999999</v>
      </c>
    </row>
    <row r="47" spans="1:9">
      <c r="A47" s="1">
        <v>35947</v>
      </c>
      <c r="B47" s="2">
        <v>165.78100000000001</v>
      </c>
      <c r="C47" s="3"/>
      <c r="E47" s="1">
        <v>35947</v>
      </c>
      <c r="F47" s="9">
        <f t="shared" si="0"/>
        <v>165.13300000000001</v>
      </c>
      <c r="H47" s="1">
        <v>35947</v>
      </c>
      <c r="I47" s="9">
        <f t="shared" si="1"/>
        <v>163.535</v>
      </c>
    </row>
    <row r="48" spans="1:9">
      <c r="A48" s="1">
        <v>35977</v>
      </c>
      <c r="B48" s="2">
        <v>166.345</v>
      </c>
      <c r="C48" s="3"/>
      <c r="E48" s="1">
        <v>35977</v>
      </c>
      <c r="F48" s="9">
        <f t="shared" si="0"/>
        <v>165.78100000000001</v>
      </c>
      <c r="H48" s="1">
        <v>35977</v>
      </c>
      <c r="I48" s="9">
        <f t="shared" si="1"/>
        <v>165.13300000000001</v>
      </c>
    </row>
    <row r="49" spans="1:9">
      <c r="A49" s="1">
        <v>36008</v>
      </c>
      <c r="B49" s="2">
        <v>166.70500000000001</v>
      </c>
      <c r="C49" s="3"/>
      <c r="E49" s="1">
        <v>36008</v>
      </c>
      <c r="F49" s="9">
        <f t="shared" si="0"/>
        <v>166.345</v>
      </c>
      <c r="H49" s="1">
        <v>36008</v>
      </c>
      <c r="I49" s="9">
        <f t="shared" si="1"/>
        <v>165.78100000000001</v>
      </c>
    </row>
    <row r="50" spans="1:9">
      <c r="A50" s="1">
        <v>36039</v>
      </c>
      <c r="B50" s="2">
        <v>166.72900000000001</v>
      </c>
      <c r="C50" s="3"/>
      <c r="E50" s="1">
        <v>36039</v>
      </c>
      <c r="F50" s="9">
        <f t="shared" si="0"/>
        <v>166.70500000000001</v>
      </c>
      <c r="H50" s="1">
        <v>36039</v>
      </c>
      <c r="I50" s="9">
        <f t="shared" si="1"/>
        <v>166.345</v>
      </c>
    </row>
    <row r="51" spans="1:9">
      <c r="A51" s="1">
        <v>36069</v>
      </c>
      <c r="B51" s="2">
        <v>166.738</v>
      </c>
      <c r="C51" s="3"/>
      <c r="E51" s="1">
        <v>36069</v>
      </c>
      <c r="F51" s="9">
        <f t="shared" si="0"/>
        <v>166.72900000000001</v>
      </c>
      <c r="H51" s="1">
        <v>36069</v>
      </c>
      <c r="I51" s="9">
        <f t="shared" si="1"/>
        <v>166.70500000000001</v>
      </c>
    </row>
    <row r="52" spans="1:9">
      <c r="A52" s="1">
        <v>36100</v>
      </c>
      <c r="B52" s="2">
        <v>166.65700000000001</v>
      </c>
      <c r="C52" s="3"/>
      <c r="E52" s="1">
        <v>36100</v>
      </c>
      <c r="F52" s="9">
        <f t="shared" si="0"/>
        <v>166.738</v>
      </c>
      <c r="H52" s="1">
        <v>36100</v>
      </c>
      <c r="I52" s="9">
        <f t="shared" si="1"/>
        <v>166.72900000000001</v>
      </c>
    </row>
    <row r="53" spans="1:9">
      <c r="A53" s="1">
        <v>36130</v>
      </c>
      <c r="B53" s="2">
        <v>166.733</v>
      </c>
      <c r="C53" s="3"/>
      <c r="E53" s="1">
        <v>36130</v>
      </c>
      <c r="F53" s="9">
        <f t="shared" si="0"/>
        <v>166.65700000000001</v>
      </c>
      <c r="H53" s="1">
        <v>36130</v>
      </c>
      <c r="I53" s="9">
        <f t="shared" si="1"/>
        <v>166.738</v>
      </c>
    </row>
    <row r="54" spans="1:9">
      <c r="A54" s="1">
        <v>36161</v>
      </c>
      <c r="B54" s="2">
        <v>167.648</v>
      </c>
      <c r="C54" s="3"/>
      <c r="E54" s="1">
        <v>36161</v>
      </c>
      <c r="F54" s="9">
        <f t="shared" si="0"/>
        <v>166.733</v>
      </c>
      <c r="H54" s="1">
        <v>36161</v>
      </c>
      <c r="I54" s="9">
        <f t="shared" si="1"/>
        <v>166.65700000000001</v>
      </c>
    </row>
    <row r="55" spans="1:9">
      <c r="A55" s="1">
        <v>36192</v>
      </c>
      <c r="B55" s="2">
        <v>169.28800000000001</v>
      </c>
      <c r="C55" s="3"/>
      <c r="E55" s="1">
        <v>36192</v>
      </c>
      <c r="F55" s="9">
        <f t="shared" si="0"/>
        <v>167.648</v>
      </c>
      <c r="H55" s="1">
        <v>36192</v>
      </c>
      <c r="I55" s="9">
        <f t="shared" si="1"/>
        <v>166.733</v>
      </c>
    </row>
    <row r="56" spans="1:9">
      <c r="A56" s="1">
        <v>36220</v>
      </c>
      <c r="B56" s="2">
        <v>170.221</v>
      </c>
      <c r="C56" s="3"/>
      <c r="E56" s="1">
        <v>36220</v>
      </c>
      <c r="F56" s="9">
        <f t="shared" si="0"/>
        <v>169.28800000000001</v>
      </c>
      <c r="H56" s="1">
        <v>36220</v>
      </c>
      <c r="I56" s="9">
        <f t="shared" si="1"/>
        <v>167.648</v>
      </c>
    </row>
    <row r="57" spans="1:9">
      <c r="A57" s="1">
        <v>36251</v>
      </c>
      <c r="B57" s="2">
        <v>171.1</v>
      </c>
      <c r="C57" s="3"/>
      <c r="E57" s="1">
        <v>36251</v>
      </c>
      <c r="F57" s="9">
        <f t="shared" si="0"/>
        <v>170.221</v>
      </c>
      <c r="H57" s="1">
        <v>36251</v>
      </c>
      <c r="I57" s="9">
        <f t="shared" si="1"/>
        <v>169.28800000000001</v>
      </c>
    </row>
    <row r="58" spans="1:9">
      <c r="A58" s="1">
        <v>36281</v>
      </c>
      <c r="B58" s="2">
        <v>172.578</v>
      </c>
      <c r="C58" s="3"/>
      <c r="E58" s="1">
        <v>36281</v>
      </c>
      <c r="F58" s="9">
        <f t="shared" si="0"/>
        <v>171.1</v>
      </c>
      <c r="H58" s="1">
        <v>36281</v>
      </c>
      <c r="I58" s="9">
        <f t="shared" si="1"/>
        <v>170.221</v>
      </c>
    </row>
    <row r="59" spans="1:9">
      <c r="A59" s="1">
        <v>36312</v>
      </c>
      <c r="B59" s="2">
        <v>173.279</v>
      </c>
      <c r="C59" s="3"/>
      <c r="E59" s="1">
        <v>36312</v>
      </c>
      <c r="F59" s="9">
        <f t="shared" si="0"/>
        <v>172.578</v>
      </c>
      <c r="H59" s="1">
        <v>36312</v>
      </c>
      <c r="I59" s="9">
        <f t="shared" si="1"/>
        <v>171.1</v>
      </c>
    </row>
    <row r="60" spans="1:9">
      <c r="A60" s="1">
        <v>36342</v>
      </c>
      <c r="B60" s="2">
        <v>174.07400000000001</v>
      </c>
      <c r="C60" s="3"/>
      <c r="E60" s="1">
        <v>36342</v>
      </c>
      <c r="F60" s="9">
        <f t="shared" si="0"/>
        <v>173.279</v>
      </c>
      <c r="H60" s="1">
        <v>36342</v>
      </c>
      <c r="I60" s="9">
        <f t="shared" si="1"/>
        <v>172.578</v>
      </c>
    </row>
    <row r="61" spans="1:9">
      <c r="A61" s="1">
        <v>36373</v>
      </c>
      <c r="B61" s="2">
        <v>175.28</v>
      </c>
      <c r="C61" s="3"/>
      <c r="E61" s="1">
        <v>36373</v>
      </c>
      <c r="F61" s="9">
        <f t="shared" si="0"/>
        <v>174.07400000000001</v>
      </c>
      <c r="H61" s="1">
        <v>36373</v>
      </c>
      <c r="I61" s="9">
        <f t="shared" si="1"/>
        <v>173.279</v>
      </c>
    </row>
    <row r="62" spans="1:9">
      <c r="A62" s="1">
        <v>36404</v>
      </c>
      <c r="B62" s="2">
        <v>176.785</v>
      </c>
      <c r="C62" s="3"/>
      <c r="E62" s="1">
        <v>36404</v>
      </c>
      <c r="F62" s="9">
        <f t="shared" si="0"/>
        <v>175.28</v>
      </c>
      <c r="H62" s="1">
        <v>36404</v>
      </c>
      <c r="I62" s="9">
        <f t="shared" si="1"/>
        <v>174.07400000000001</v>
      </c>
    </row>
    <row r="63" spans="1:9">
      <c r="A63" s="1">
        <v>36434</v>
      </c>
      <c r="B63" s="2">
        <v>178.57400000000001</v>
      </c>
      <c r="C63" s="3"/>
      <c r="E63" s="1">
        <v>36434</v>
      </c>
      <c r="F63" s="9">
        <f t="shared" si="0"/>
        <v>176.785</v>
      </c>
      <c r="H63" s="1">
        <v>36434</v>
      </c>
      <c r="I63" s="9">
        <f t="shared" si="1"/>
        <v>175.28</v>
      </c>
    </row>
    <row r="64" spans="1:9">
      <c r="A64" s="1">
        <v>36465</v>
      </c>
      <c r="B64" s="2">
        <v>180.20699999999999</v>
      </c>
      <c r="C64" s="3"/>
      <c r="E64" s="1">
        <v>36465</v>
      </c>
      <c r="F64" s="9">
        <f t="shared" si="0"/>
        <v>178.57400000000001</v>
      </c>
      <c r="H64" s="1">
        <v>36465</v>
      </c>
      <c r="I64" s="9">
        <f t="shared" si="1"/>
        <v>176.785</v>
      </c>
    </row>
    <row r="65" spans="1:9">
      <c r="A65" s="1">
        <v>36495</v>
      </c>
      <c r="B65" s="2">
        <v>182.084</v>
      </c>
      <c r="C65" s="3"/>
      <c r="E65" s="1">
        <v>36495</v>
      </c>
      <c r="F65" s="9">
        <f t="shared" si="0"/>
        <v>180.20699999999999</v>
      </c>
      <c r="H65" s="1">
        <v>36495</v>
      </c>
      <c r="I65" s="9">
        <f t="shared" si="1"/>
        <v>178.57400000000001</v>
      </c>
    </row>
    <row r="66" spans="1:9">
      <c r="A66" s="1">
        <v>36526</v>
      </c>
      <c r="B66" s="2">
        <v>184.03899999999999</v>
      </c>
      <c r="C66" s="3"/>
      <c r="E66" s="1">
        <v>36526</v>
      </c>
      <c r="F66" s="9">
        <f t="shared" ref="F66:F129" si="2">B65</f>
        <v>182.084</v>
      </c>
      <c r="H66" s="1">
        <v>36526</v>
      </c>
      <c r="I66" s="9">
        <f t="shared" si="1"/>
        <v>180.20699999999999</v>
      </c>
    </row>
    <row r="67" spans="1:9">
      <c r="A67" s="1">
        <v>36557</v>
      </c>
      <c r="B67" s="2">
        <v>185.46100000000001</v>
      </c>
      <c r="C67" s="3"/>
      <c r="E67" s="1">
        <v>36557</v>
      </c>
      <c r="F67" s="9">
        <f t="shared" si="2"/>
        <v>184.03899999999999</v>
      </c>
      <c r="H67" s="1">
        <v>36557</v>
      </c>
      <c r="I67" s="9">
        <f t="shared" si="1"/>
        <v>182.084</v>
      </c>
    </row>
    <row r="68" spans="1:9">
      <c r="A68" s="1">
        <v>36586</v>
      </c>
      <c r="B68" s="2">
        <v>186.49199999999999</v>
      </c>
      <c r="C68" s="3"/>
      <c r="E68" s="1">
        <v>36586</v>
      </c>
      <c r="F68" s="9">
        <f t="shared" si="2"/>
        <v>185.46100000000001</v>
      </c>
      <c r="H68" s="1">
        <v>36586</v>
      </c>
      <c r="I68" s="9">
        <f t="shared" ref="I68:I131" si="3">B66</f>
        <v>184.03899999999999</v>
      </c>
    </row>
    <row r="69" spans="1:9">
      <c r="A69" s="1">
        <v>36617</v>
      </c>
      <c r="B69" s="2">
        <v>187.60400000000001</v>
      </c>
      <c r="C69" s="3"/>
      <c r="E69" s="1">
        <v>36617</v>
      </c>
      <c r="F69" s="9">
        <f t="shared" si="2"/>
        <v>186.49199999999999</v>
      </c>
      <c r="H69" s="1">
        <v>36617</v>
      </c>
      <c r="I69" s="9">
        <f t="shared" si="3"/>
        <v>185.46100000000001</v>
      </c>
    </row>
    <row r="70" spans="1:9">
      <c r="A70" s="1">
        <v>36647</v>
      </c>
      <c r="B70" s="2">
        <v>190.136</v>
      </c>
      <c r="C70" s="3"/>
      <c r="E70" s="1">
        <v>36647</v>
      </c>
      <c r="F70" s="9">
        <f t="shared" si="2"/>
        <v>187.60400000000001</v>
      </c>
      <c r="H70" s="1">
        <v>36647</v>
      </c>
      <c r="I70" s="9">
        <f t="shared" si="3"/>
        <v>186.49199999999999</v>
      </c>
    </row>
    <row r="71" spans="1:9">
      <c r="A71" s="1">
        <v>36678</v>
      </c>
      <c r="B71" s="2">
        <v>191.52699999999999</v>
      </c>
      <c r="C71" s="3"/>
      <c r="E71" s="1">
        <v>36678</v>
      </c>
      <c r="F71" s="9">
        <f t="shared" si="2"/>
        <v>190.136</v>
      </c>
      <c r="H71" s="1">
        <v>36678</v>
      </c>
      <c r="I71" s="9">
        <f t="shared" si="3"/>
        <v>187.60400000000001</v>
      </c>
    </row>
    <row r="72" spans="1:9">
      <c r="A72" s="1">
        <v>36708</v>
      </c>
      <c r="B72" s="2">
        <v>192.10400000000001</v>
      </c>
      <c r="C72" s="3"/>
      <c r="E72" s="1">
        <v>36708</v>
      </c>
      <c r="F72" s="9">
        <f t="shared" si="2"/>
        <v>191.52699999999999</v>
      </c>
      <c r="H72" s="1">
        <v>36708</v>
      </c>
      <c r="I72" s="9">
        <f t="shared" si="3"/>
        <v>190.136</v>
      </c>
    </row>
    <row r="73" spans="1:9">
      <c r="A73" s="1">
        <v>36739</v>
      </c>
      <c r="B73" s="2">
        <v>192.846</v>
      </c>
      <c r="C73" s="3"/>
      <c r="E73" s="1">
        <v>36739</v>
      </c>
      <c r="F73" s="9">
        <f t="shared" si="2"/>
        <v>192.10400000000001</v>
      </c>
      <c r="H73" s="1">
        <v>36739</v>
      </c>
      <c r="I73" s="9">
        <f t="shared" si="3"/>
        <v>191.52699999999999</v>
      </c>
    </row>
    <row r="74" spans="1:9">
      <c r="A74" s="1">
        <v>36770</v>
      </c>
      <c r="B74" s="2">
        <v>193.34200000000001</v>
      </c>
      <c r="C74" s="3"/>
      <c r="E74" s="1">
        <v>36770</v>
      </c>
      <c r="F74" s="9">
        <f t="shared" si="2"/>
        <v>192.846</v>
      </c>
      <c r="H74" s="1">
        <v>36770</v>
      </c>
      <c r="I74" s="9">
        <f t="shared" si="3"/>
        <v>192.10400000000001</v>
      </c>
    </row>
    <row r="75" spans="1:9">
      <c r="A75" s="1">
        <v>36800</v>
      </c>
      <c r="B75" s="2">
        <v>193.98400000000001</v>
      </c>
      <c r="C75" s="3"/>
      <c r="E75" s="1">
        <v>36800</v>
      </c>
      <c r="F75" s="9">
        <f t="shared" si="2"/>
        <v>193.34200000000001</v>
      </c>
      <c r="H75" s="1">
        <v>36800</v>
      </c>
      <c r="I75" s="9">
        <f t="shared" si="3"/>
        <v>192.846</v>
      </c>
    </row>
    <row r="76" spans="1:9">
      <c r="A76" s="1">
        <v>36831</v>
      </c>
      <c r="B76" s="2">
        <v>194.78899999999999</v>
      </c>
      <c r="C76" s="3"/>
      <c r="E76" s="1">
        <v>36831</v>
      </c>
      <c r="F76" s="9">
        <f t="shared" si="2"/>
        <v>193.98400000000001</v>
      </c>
      <c r="H76" s="1">
        <v>36831</v>
      </c>
      <c r="I76" s="9">
        <f t="shared" si="3"/>
        <v>193.34200000000001</v>
      </c>
    </row>
    <row r="77" spans="1:9">
      <c r="A77" s="1">
        <v>36861</v>
      </c>
      <c r="B77" s="2">
        <v>196.03700000000001</v>
      </c>
      <c r="C77" s="3"/>
      <c r="E77" s="1">
        <v>36861</v>
      </c>
      <c r="F77" s="9">
        <f t="shared" si="2"/>
        <v>194.78899999999999</v>
      </c>
      <c r="H77" s="1">
        <v>36861</v>
      </c>
      <c r="I77" s="9">
        <f t="shared" si="3"/>
        <v>193.98400000000001</v>
      </c>
    </row>
    <row r="78" spans="1:9">
      <c r="A78" s="1">
        <v>36892</v>
      </c>
      <c r="B78" s="2">
        <v>197.17400000000001</v>
      </c>
      <c r="C78" s="3"/>
      <c r="E78" s="1">
        <v>36892</v>
      </c>
      <c r="F78" s="9">
        <f t="shared" si="2"/>
        <v>196.03700000000001</v>
      </c>
      <c r="H78" s="1">
        <v>36892</v>
      </c>
      <c r="I78" s="9">
        <f t="shared" si="3"/>
        <v>194.78899999999999</v>
      </c>
    </row>
    <row r="79" spans="1:9">
      <c r="A79" s="1">
        <v>36923</v>
      </c>
      <c r="B79" s="2">
        <v>197.84899999999999</v>
      </c>
      <c r="C79" s="3"/>
      <c r="E79" s="1">
        <v>36923</v>
      </c>
      <c r="F79" s="9">
        <f t="shared" si="2"/>
        <v>197.17400000000001</v>
      </c>
      <c r="H79" s="1">
        <v>36923</v>
      </c>
      <c r="I79" s="9">
        <f t="shared" si="3"/>
        <v>196.03700000000001</v>
      </c>
    </row>
    <row r="80" spans="1:9">
      <c r="A80" s="1">
        <v>36951</v>
      </c>
      <c r="B80" s="2">
        <v>198.38800000000001</v>
      </c>
      <c r="C80" s="3"/>
      <c r="E80" s="1">
        <v>36951</v>
      </c>
      <c r="F80" s="9">
        <f t="shared" si="2"/>
        <v>197.84899999999999</v>
      </c>
      <c r="H80" s="1">
        <v>36951</v>
      </c>
      <c r="I80" s="9">
        <f t="shared" si="3"/>
        <v>197.17400000000001</v>
      </c>
    </row>
    <row r="81" spans="1:9">
      <c r="A81" s="1">
        <v>36982</v>
      </c>
      <c r="B81" s="2">
        <v>199.11199999999999</v>
      </c>
      <c r="C81" s="3"/>
      <c r="E81" s="1">
        <v>36982</v>
      </c>
      <c r="F81" s="9">
        <f t="shared" si="2"/>
        <v>198.38800000000001</v>
      </c>
      <c r="H81" s="1">
        <v>36982</v>
      </c>
      <c r="I81" s="9">
        <f t="shared" si="3"/>
        <v>197.84899999999999</v>
      </c>
    </row>
    <row r="82" spans="1:9">
      <c r="A82" s="1">
        <v>37012</v>
      </c>
      <c r="B82" s="2">
        <v>203.321</v>
      </c>
      <c r="C82" s="3"/>
      <c r="E82" s="1">
        <v>37012</v>
      </c>
      <c r="F82" s="9">
        <f t="shared" si="2"/>
        <v>199.11199999999999</v>
      </c>
      <c r="H82" s="1">
        <v>37012</v>
      </c>
      <c r="I82" s="9">
        <f t="shared" si="3"/>
        <v>198.38800000000001</v>
      </c>
    </row>
    <row r="83" spans="1:9">
      <c r="A83" s="1">
        <v>37043</v>
      </c>
      <c r="B83" s="2">
        <v>205.68199999999999</v>
      </c>
      <c r="C83" s="3"/>
      <c r="E83" s="1">
        <v>37043</v>
      </c>
      <c r="F83" s="9">
        <f t="shared" si="2"/>
        <v>203.321</v>
      </c>
      <c r="H83" s="1">
        <v>37043</v>
      </c>
      <c r="I83" s="9">
        <f t="shared" si="3"/>
        <v>199.11199999999999</v>
      </c>
    </row>
    <row r="84" spans="1:9">
      <c r="A84" s="1">
        <v>37073</v>
      </c>
      <c r="B84" s="2">
        <v>206.74199999999999</v>
      </c>
      <c r="C84" s="3"/>
      <c r="E84" s="1">
        <v>37073</v>
      </c>
      <c r="F84" s="9">
        <f t="shared" si="2"/>
        <v>205.68199999999999</v>
      </c>
      <c r="H84" s="1">
        <v>37073</v>
      </c>
      <c r="I84" s="9">
        <f t="shared" si="3"/>
        <v>203.321</v>
      </c>
    </row>
    <row r="85" spans="1:9">
      <c r="A85" s="1">
        <v>37104</v>
      </c>
      <c r="B85" s="2">
        <v>208.02600000000001</v>
      </c>
      <c r="C85" s="3"/>
      <c r="E85" s="1">
        <v>37104</v>
      </c>
      <c r="F85" s="9">
        <f t="shared" si="2"/>
        <v>206.74199999999999</v>
      </c>
      <c r="H85" s="1">
        <v>37104</v>
      </c>
      <c r="I85" s="9">
        <f t="shared" si="3"/>
        <v>205.68199999999999</v>
      </c>
    </row>
    <row r="86" spans="1:9">
      <c r="A86" s="1">
        <v>37135</v>
      </c>
      <c r="B86" s="2">
        <v>209.17400000000001</v>
      </c>
      <c r="C86" s="3"/>
      <c r="E86" s="1">
        <v>37135</v>
      </c>
      <c r="F86" s="9">
        <f t="shared" si="2"/>
        <v>208.02600000000001</v>
      </c>
      <c r="H86" s="1">
        <v>37135</v>
      </c>
      <c r="I86" s="9">
        <f t="shared" si="3"/>
        <v>206.74199999999999</v>
      </c>
    </row>
    <row r="87" spans="1:9">
      <c r="A87" s="1">
        <v>37165</v>
      </c>
      <c r="B87" s="2">
        <v>211.12200000000001</v>
      </c>
      <c r="C87" s="3"/>
      <c r="E87" s="1">
        <v>37165</v>
      </c>
      <c r="F87" s="9">
        <f t="shared" si="2"/>
        <v>209.17400000000001</v>
      </c>
      <c r="H87" s="1">
        <v>37165</v>
      </c>
      <c r="I87" s="9">
        <f t="shared" si="3"/>
        <v>208.02600000000001</v>
      </c>
    </row>
    <row r="88" spans="1:9">
      <c r="A88" s="1">
        <v>37196</v>
      </c>
      <c r="B88" s="2">
        <v>212.67599999999999</v>
      </c>
      <c r="C88" s="3"/>
      <c r="E88" s="1">
        <v>37196</v>
      </c>
      <c r="F88" s="9">
        <f t="shared" si="2"/>
        <v>211.12200000000001</v>
      </c>
      <c r="H88" s="1">
        <v>37196</v>
      </c>
      <c r="I88" s="9">
        <f t="shared" si="3"/>
        <v>209.17400000000001</v>
      </c>
    </row>
    <row r="89" spans="1:9">
      <c r="A89" s="1">
        <v>37226</v>
      </c>
      <c r="B89" s="2">
        <v>213.393</v>
      </c>
      <c r="C89" s="3"/>
      <c r="E89" s="1">
        <v>37226</v>
      </c>
      <c r="F89" s="9">
        <f t="shared" si="2"/>
        <v>212.67599999999999</v>
      </c>
      <c r="H89" s="1">
        <v>37226</v>
      </c>
      <c r="I89" s="9">
        <f t="shared" si="3"/>
        <v>211.12200000000001</v>
      </c>
    </row>
    <row r="90" spans="1:9">
      <c r="A90" s="1">
        <v>37257</v>
      </c>
      <c r="B90" s="2">
        <v>214.16200000000001</v>
      </c>
      <c r="C90" s="3"/>
      <c r="E90" s="1">
        <v>37257</v>
      </c>
      <c r="F90" s="9">
        <f t="shared" si="2"/>
        <v>213.393</v>
      </c>
      <c r="H90" s="1">
        <v>37257</v>
      </c>
      <c r="I90" s="9">
        <f t="shared" si="3"/>
        <v>212.67599999999999</v>
      </c>
    </row>
    <row r="91" spans="1:9">
      <c r="A91" s="1">
        <v>37288</v>
      </c>
      <c r="B91" s="2">
        <v>215.399</v>
      </c>
      <c r="C91" s="3"/>
      <c r="E91" s="1">
        <v>37288</v>
      </c>
      <c r="F91" s="9">
        <f t="shared" si="2"/>
        <v>214.16200000000001</v>
      </c>
      <c r="H91" s="1">
        <v>37288</v>
      </c>
      <c r="I91" s="9">
        <f t="shared" si="3"/>
        <v>213.393</v>
      </c>
    </row>
    <row r="92" spans="1:9">
      <c r="A92" s="1">
        <v>37316</v>
      </c>
      <c r="B92" s="2">
        <v>216.577</v>
      </c>
      <c r="C92" s="3"/>
      <c r="E92" s="1">
        <v>37316</v>
      </c>
      <c r="F92" s="9">
        <f t="shared" si="2"/>
        <v>215.399</v>
      </c>
      <c r="H92" s="1">
        <v>37316</v>
      </c>
      <c r="I92" s="9">
        <f t="shared" si="3"/>
        <v>214.16200000000001</v>
      </c>
    </row>
    <row r="93" spans="1:9">
      <c r="A93" s="1">
        <v>37347</v>
      </c>
      <c r="B93" s="2">
        <v>217.28800000000001</v>
      </c>
      <c r="C93" s="3"/>
      <c r="E93" s="1">
        <v>37347</v>
      </c>
      <c r="F93" s="9">
        <f t="shared" si="2"/>
        <v>216.577</v>
      </c>
      <c r="H93" s="1">
        <v>37347</v>
      </c>
      <c r="I93" s="9">
        <f t="shared" si="3"/>
        <v>215.399</v>
      </c>
    </row>
    <row r="94" spans="1:9">
      <c r="A94" s="1">
        <v>37377</v>
      </c>
      <c r="B94" s="2">
        <v>222.79300000000001</v>
      </c>
      <c r="C94" s="3"/>
      <c r="E94" s="1">
        <v>37377</v>
      </c>
      <c r="F94" s="9">
        <f t="shared" si="2"/>
        <v>217.28800000000001</v>
      </c>
      <c r="H94" s="1">
        <v>37377</v>
      </c>
      <c r="I94" s="9">
        <f t="shared" si="3"/>
        <v>216.577</v>
      </c>
    </row>
    <row r="95" spans="1:9">
      <c r="A95" s="1">
        <v>37408</v>
      </c>
      <c r="B95" s="2">
        <v>224.054</v>
      </c>
      <c r="C95" s="3"/>
      <c r="E95" s="1">
        <v>37408</v>
      </c>
      <c r="F95" s="9">
        <f t="shared" si="2"/>
        <v>222.79300000000001</v>
      </c>
      <c r="H95" s="1">
        <v>37408</v>
      </c>
      <c r="I95" s="9">
        <f t="shared" si="3"/>
        <v>217.28800000000001</v>
      </c>
    </row>
    <row r="96" spans="1:9">
      <c r="A96" s="1">
        <v>37438</v>
      </c>
      <c r="B96" s="2">
        <v>224.71199999999999</v>
      </c>
      <c r="C96" s="3"/>
      <c r="E96" s="1">
        <v>37438</v>
      </c>
      <c r="F96" s="9">
        <f t="shared" si="2"/>
        <v>224.054</v>
      </c>
      <c r="H96" s="1">
        <v>37438</v>
      </c>
      <c r="I96" s="9">
        <f t="shared" si="3"/>
        <v>222.79300000000001</v>
      </c>
    </row>
    <row r="97" spans="1:9">
      <c r="A97" s="1">
        <v>37469</v>
      </c>
      <c r="B97" s="2">
        <v>226.96799999999999</v>
      </c>
      <c r="C97" s="3"/>
      <c r="E97" s="1">
        <v>37469</v>
      </c>
      <c r="F97" s="9">
        <f t="shared" si="2"/>
        <v>224.71199999999999</v>
      </c>
      <c r="H97" s="1">
        <v>37469</v>
      </c>
      <c r="I97" s="9">
        <f t="shared" si="3"/>
        <v>224.054</v>
      </c>
    </row>
    <row r="98" spans="1:9">
      <c r="A98" s="1">
        <v>37500</v>
      </c>
      <c r="B98" s="2">
        <v>228.57599999999999</v>
      </c>
      <c r="C98" s="3"/>
      <c r="E98" s="1">
        <v>37500</v>
      </c>
      <c r="F98" s="9">
        <f t="shared" si="2"/>
        <v>226.96799999999999</v>
      </c>
      <c r="H98" s="1">
        <v>37500</v>
      </c>
      <c r="I98" s="9">
        <f t="shared" si="3"/>
        <v>224.71199999999999</v>
      </c>
    </row>
    <row r="99" spans="1:9">
      <c r="A99" s="1">
        <v>37530</v>
      </c>
      <c r="B99" s="2">
        <v>231.167</v>
      </c>
      <c r="C99" s="3"/>
      <c r="E99" s="1">
        <v>37530</v>
      </c>
      <c r="F99" s="9">
        <f t="shared" si="2"/>
        <v>228.57599999999999</v>
      </c>
      <c r="H99" s="1">
        <v>37530</v>
      </c>
      <c r="I99" s="9">
        <f t="shared" si="3"/>
        <v>226.96799999999999</v>
      </c>
    </row>
    <row r="100" spans="1:9">
      <c r="A100" s="1">
        <v>37561</v>
      </c>
      <c r="B100" s="2">
        <v>236.83</v>
      </c>
      <c r="C100" s="3"/>
      <c r="E100" s="1">
        <v>37561</v>
      </c>
      <c r="F100" s="9">
        <f t="shared" si="2"/>
        <v>231.167</v>
      </c>
      <c r="H100" s="1">
        <v>37561</v>
      </c>
      <c r="I100" s="9">
        <f t="shared" si="3"/>
        <v>228.57599999999999</v>
      </c>
    </row>
    <row r="101" spans="1:9">
      <c r="A101" s="1">
        <v>37591</v>
      </c>
      <c r="B101" s="2">
        <v>240.86099999999999</v>
      </c>
      <c r="C101" s="3"/>
      <c r="E101" s="1">
        <v>37591</v>
      </c>
      <c r="F101" s="9">
        <f t="shared" si="2"/>
        <v>236.83</v>
      </c>
      <c r="H101" s="1">
        <v>37591</v>
      </c>
      <c r="I101" s="9">
        <f t="shared" si="3"/>
        <v>231.167</v>
      </c>
    </row>
    <row r="102" spans="1:9">
      <c r="A102" s="1">
        <v>37622</v>
      </c>
      <c r="B102" s="2">
        <v>244.489</v>
      </c>
      <c r="C102" s="3"/>
      <c r="E102" s="1">
        <v>37622</v>
      </c>
      <c r="F102" s="9">
        <f t="shared" si="2"/>
        <v>240.86099999999999</v>
      </c>
      <c r="H102" s="1">
        <v>37622</v>
      </c>
      <c r="I102" s="9">
        <f t="shared" si="3"/>
        <v>236.83</v>
      </c>
    </row>
    <row r="103" spans="1:9">
      <c r="A103" s="1">
        <v>37653</v>
      </c>
      <c r="B103" s="2">
        <v>247.898</v>
      </c>
      <c r="C103" s="3"/>
      <c r="E103" s="1">
        <v>37653</v>
      </c>
      <c r="F103" s="9">
        <f t="shared" si="2"/>
        <v>244.489</v>
      </c>
      <c r="H103" s="1">
        <v>37653</v>
      </c>
      <c r="I103" s="9">
        <f t="shared" si="3"/>
        <v>240.86099999999999</v>
      </c>
    </row>
    <row r="104" spans="1:9">
      <c r="A104" s="1">
        <v>37681</v>
      </c>
      <c r="B104" s="2">
        <v>251.31800000000001</v>
      </c>
      <c r="C104" s="3"/>
      <c r="E104" s="1">
        <v>37681</v>
      </c>
      <c r="F104" s="9">
        <f t="shared" si="2"/>
        <v>247.898</v>
      </c>
      <c r="H104" s="1">
        <v>37681</v>
      </c>
      <c r="I104" s="9">
        <f t="shared" si="3"/>
        <v>244.489</v>
      </c>
    </row>
    <row r="105" spans="1:9">
      <c r="A105" s="1">
        <v>37712</v>
      </c>
      <c r="B105" s="2">
        <v>253.58500000000001</v>
      </c>
      <c r="C105" s="3"/>
      <c r="E105" s="1">
        <v>37712</v>
      </c>
      <c r="F105" s="9">
        <f t="shared" si="2"/>
        <v>251.31800000000001</v>
      </c>
      <c r="H105" s="1">
        <v>37712</v>
      </c>
      <c r="I105" s="9">
        <f t="shared" si="3"/>
        <v>247.898</v>
      </c>
    </row>
    <row r="106" spans="1:9">
      <c r="A106" s="1">
        <v>37742</v>
      </c>
      <c r="B106" s="2">
        <v>260.77800000000002</v>
      </c>
      <c r="C106" s="3"/>
      <c r="E106" s="1">
        <v>37742</v>
      </c>
      <c r="F106" s="9">
        <f t="shared" si="2"/>
        <v>253.58500000000001</v>
      </c>
      <c r="H106" s="1">
        <v>37742</v>
      </c>
      <c r="I106" s="9">
        <f t="shared" si="3"/>
        <v>251.31800000000001</v>
      </c>
    </row>
    <row r="107" spans="1:9">
      <c r="A107" s="1">
        <v>37773</v>
      </c>
      <c r="B107" s="2">
        <v>263.51600000000002</v>
      </c>
      <c r="C107" s="3"/>
      <c r="E107" s="1">
        <v>37773</v>
      </c>
      <c r="F107" s="9">
        <f t="shared" si="2"/>
        <v>260.77800000000002</v>
      </c>
      <c r="H107" s="1">
        <v>37773</v>
      </c>
      <c r="I107" s="9">
        <f t="shared" si="3"/>
        <v>253.58500000000001</v>
      </c>
    </row>
    <row r="108" spans="1:9">
      <c r="A108" s="1">
        <v>37803</v>
      </c>
      <c r="B108" s="2">
        <v>266.13200000000001</v>
      </c>
      <c r="C108" s="3"/>
      <c r="E108" s="1">
        <v>37803</v>
      </c>
      <c r="F108" s="9">
        <f t="shared" si="2"/>
        <v>263.51600000000002</v>
      </c>
      <c r="H108" s="1">
        <v>37803</v>
      </c>
      <c r="I108" s="9">
        <f t="shared" si="3"/>
        <v>260.77800000000002</v>
      </c>
    </row>
    <row r="109" spans="1:9">
      <c r="A109" s="1">
        <v>37834</v>
      </c>
      <c r="B109" s="2">
        <v>269.96699999999998</v>
      </c>
      <c r="C109" s="3"/>
      <c r="E109" s="1">
        <v>37834</v>
      </c>
      <c r="F109" s="9">
        <f t="shared" si="2"/>
        <v>266.13200000000001</v>
      </c>
      <c r="H109" s="1">
        <v>37834</v>
      </c>
      <c r="I109" s="9">
        <f t="shared" si="3"/>
        <v>263.51600000000002</v>
      </c>
    </row>
    <row r="110" spans="1:9">
      <c r="A110" s="1">
        <v>37865</v>
      </c>
      <c r="B110" s="2">
        <v>270.55500000000001</v>
      </c>
      <c r="C110" s="3"/>
      <c r="E110" s="1">
        <v>37865</v>
      </c>
      <c r="F110" s="9">
        <f t="shared" si="2"/>
        <v>269.96699999999998</v>
      </c>
      <c r="H110" s="1">
        <v>37865</v>
      </c>
      <c r="I110" s="9">
        <f t="shared" si="3"/>
        <v>266.13200000000001</v>
      </c>
    </row>
    <row r="111" spans="1:9">
      <c r="A111" s="1">
        <v>37895</v>
      </c>
      <c r="B111" s="2">
        <v>272.32499999999999</v>
      </c>
      <c r="C111" s="3"/>
      <c r="E111" s="1">
        <v>37895</v>
      </c>
      <c r="F111" s="9">
        <f t="shared" si="2"/>
        <v>270.55500000000001</v>
      </c>
      <c r="H111" s="1">
        <v>37895</v>
      </c>
      <c r="I111" s="9">
        <f t="shared" si="3"/>
        <v>269.96699999999998</v>
      </c>
    </row>
    <row r="112" spans="1:9">
      <c r="A112" s="1">
        <v>37926</v>
      </c>
      <c r="B112" s="2">
        <v>275.15199999999999</v>
      </c>
      <c r="C112" s="3"/>
      <c r="E112" s="1">
        <v>37926</v>
      </c>
      <c r="F112" s="9">
        <f t="shared" si="2"/>
        <v>272.32499999999999</v>
      </c>
      <c r="H112" s="1">
        <v>37926</v>
      </c>
      <c r="I112" s="9">
        <f t="shared" si="3"/>
        <v>270.55500000000001</v>
      </c>
    </row>
    <row r="113" spans="1:9">
      <c r="A113" s="1">
        <v>37956</v>
      </c>
      <c r="B113" s="2">
        <v>275.59399999999999</v>
      </c>
      <c r="C113" s="3"/>
      <c r="E113" s="1">
        <v>37956</v>
      </c>
      <c r="F113" s="9">
        <f t="shared" si="2"/>
        <v>275.15199999999999</v>
      </c>
      <c r="H113" s="1">
        <v>37956</v>
      </c>
      <c r="I113" s="9">
        <f t="shared" si="3"/>
        <v>272.32499999999999</v>
      </c>
    </row>
    <row r="114" spans="1:9">
      <c r="A114" s="1">
        <v>37987</v>
      </c>
      <c r="B114" s="2">
        <v>276.49</v>
      </c>
      <c r="C114" s="3"/>
      <c r="E114" s="1">
        <v>37987</v>
      </c>
      <c r="F114" s="9">
        <f t="shared" si="2"/>
        <v>275.59399999999999</v>
      </c>
      <c r="H114" s="1">
        <v>37987</v>
      </c>
      <c r="I114" s="9">
        <f t="shared" si="3"/>
        <v>275.15199999999999</v>
      </c>
    </row>
    <row r="115" spans="1:9">
      <c r="A115" s="1">
        <v>38018</v>
      </c>
      <c r="B115" s="2">
        <v>279.24299999999999</v>
      </c>
      <c r="C115" s="3"/>
      <c r="E115" s="1">
        <v>38018</v>
      </c>
      <c r="F115" s="9">
        <f t="shared" si="2"/>
        <v>276.49</v>
      </c>
      <c r="H115" s="1">
        <v>38018</v>
      </c>
      <c r="I115" s="9">
        <f t="shared" si="3"/>
        <v>275.59399999999999</v>
      </c>
    </row>
    <row r="116" spans="1:9">
      <c r="A116" s="1">
        <v>38047</v>
      </c>
      <c r="B116" s="2">
        <v>282.47000000000003</v>
      </c>
      <c r="C116" s="3"/>
      <c r="E116" s="1">
        <v>38047</v>
      </c>
      <c r="F116" s="9">
        <f t="shared" si="2"/>
        <v>279.24299999999999</v>
      </c>
      <c r="H116" s="1">
        <v>38047</v>
      </c>
      <c r="I116" s="9">
        <f t="shared" si="3"/>
        <v>276.49</v>
      </c>
    </row>
    <row r="117" spans="1:9">
      <c r="A117" s="1">
        <v>38078</v>
      </c>
      <c r="B117" s="2">
        <v>284.12799999999999</v>
      </c>
      <c r="C117" s="3"/>
      <c r="E117" s="1">
        <v>38078</v>
      </c>
      <c r="F117" s="9">
        <f t="shared" si="2"/>
        <v>282.47000000000003</v>
      </c>
      <c r="H117" s="1">
        <v>38078</v>
      </c>
      <c r="I117" s="9">
        <f t="shared" si="3"/>
        <v>279.24299999999999</v>
      </c>
    </row>
    <row r="118" spans="1:9">
      <c r="A118" s="1">
        <v>38108</v>
      </c>
      <c r="B118" s="2">
        <v>289.31700000000001</v>
      </c>
      <c r="C118" s="3"/>
      <c r="E118" s="1">
        <v>38108</v>
      </c>
      <c r="F118" s="9">
        <f t="shared" si="2"/>
        <v>284.12799999999999</v>
      </c>
      <c r="H118" s="1">
        <v>38108</v>
      </c>
      <c r="I118" s="9">
        <f t="shared" si="3"/>
        <v>282.47000000000003</v>
      </c>
    </row>
    <row r="119" spans="1:9">
      <c r="A119" s="1">
        <v>38139</v>
      </c>
      <c r="B119" s="2">
        <v>291.34800000000001</v>
      </c>
      <c r="C119" s="3"/>
      <c r="E119" s="1">
        <v>38139</v>
      </c>
      <c r="F119" s="9">
        <f t="shared" si="2"/>
        <v>289.31700000000001</v>
      </c>
      <c r="H119" s="1">
        <v>38139</v>
      </c>
      <c r="I119" s="9">
        <f t="shared" si="3"/>
        <v>284.12799999999999</v>
      </c>
    </row>
    <row r="120" spans="1:9">
      <c r="A120" s="1">
        <v>38169</v>
      </c>
      <c r="B120" s="2">
        <v>294.625</v>
      </c>
      <c r="C120" s="3"/>
      <c r="E120" s="1">
        <v>38169</v>
      </c>
      <c r="F120" s="9">
        <f t="shared" si="2"/>
        <v>291.34800000000001</v>
      </c>
      <c r="H120" s="1">
        <v>38169</v>
      </c>
      <c r="I120" s="9">
        <f t="shared" si="3"/>
        <v>289.31700000000001</v>
      </c>
    </row>
    <row r="121" spans="1:9">
      <c r="A121" s="1">
        <v>38200</v>
      </c>
      <c r="B121" s="2">
        <v>297.00299999999999</v>
      </c>
      <c r="C121" s="3"/>
      <c r="E121" s="1">
        <v>38200</v>
      </c>
      <c r="F121" s="9">
        <f t="shared" si="2"/>
        <v>294.625</v>
      </c>
      <c r="H121" s="1">
        <v>38200</v>
      </c>
      <c r="I121" s="9">
        <f t="shared" si="3"/>
        <v>291.34800000000001</v>
      </c>
    </row>
    <row r="122" spans="1:9">
      <c r="A122" s="1">
        <v>38231</v>
      </c>
      <c r="B122" s="2">
        <v>298.72199999999998</v>
      </c>
      <c r="C122" s="3"/>
      <c r="E122" s="1">
        <v>38231</v>
      </c>
      <c r="F122" s="9">
        <f t="shared" si="2"/>
        <v>297.00299999999999</v>
      </c>
      <c r="H122" s="1">
        <v>38231</v>
      </c>
      <c r="I122" s="9">
        <f t="shared" si="3"/>
        <v>294.625</v>
      </c>
    </row>
    <row r="123" spans="1:9">
      <c r="A123" s="1">
        <v>38261</v>
      </c>
      <c r="B123" s="2">
        <v>302.27499999999998</v>
      </c>
      <c r="C123" s="3"/>
      <c r="E123" s="1">
        <v>38261</v>
      </c>
      <c r="F123" s="9">
        <f t="shared" si="2"/>
        <v>298.72199999999998</v>
      </c>
      <c r="H123" s="1">
        <v>38261</v>
      </c>
      <c r="I123" s="9">
        <f t="shared" si="3"/>
        <v>297.00299999999999</v>
      </c>
    </row>
    <row r="124" spans="1:9">
      <c r="A124" s="1">
        <v>38292</v>
      </c>
      <c r="B124" s="2">
        <v>304.42899999999997</v>
      </c>
      <c r="C124" s="3"/>
      <c r="E124" s="1">
        <v>38292</v>
      </c>
      <c r="F124" s="9">
        <f t="shared" si="2"/>
        <v>302.27499999999998</v>
      </c>
      <c r="H124" s="1">
        <v>38292</v>
      </c>
      <c r="I124" s="9">
        <f t="shared" si="3"/>
        <v>298.72199999999998</v>
      </c>
    </row>
    <row r="125" spans="1:9">
      <c r="A125" s="1">
        <v>38322</v>
      </c>
      <c r="B125" s="2">
        <v>305.97399999999999</v>
      </c>
      <c r="C125" s="3"/>
      <c r="E125" s="1">
        <v>38322</v>
      </c>
      <c r="F125" s="9">
        <f t="shared" si="2"/>
        <v>304.42899999999997</v>
      </c>
      <c r="H125" s="1">
        <v>38322</v>
      </c>
      <c r="I125" s="9">
        <f t="shared" si="3"/>
        <v>302.27499999999998</v>
      </c>
    </row>
    <row r="126" spans="1:9">
      <c r="A126" s="1">
        <v>38353</v>
      </c>
      <c r="B126" s="2">
        <v>308.28399999999999</v>
      </c>
      <c r="C126" s="3"/>
      <c r="E126" s="1">
        <v>38353</v>
      </c>
      <c r="F126" s="9">
        <f t="shared" si="2"/>
        <v>305.97399999999999</v>
      </c>
      <c r="H126" s="1">
        <v>38353</v>
      </c>
      <c r="I126" s="9">
        <f t="shared" si="3"/>
        <v>304.42899999999997</v>
      </c>
    </row>
    <row r="127" spans="1:9">
      <c r="A127" s="1">
        <v>38384</v>
      </c>
      <c r="B127" s="2">
        <v>309.64600000000002</v>
      </c>
      <c r="C127" s="3"/>
      <c r="E127" s="1">
        <v>38384</v>
      </c>
      <c r="F127" s="9">
        <f t="shared" si="2"/>
        <v>308.28399999999999</v>
      </c>
      <c r="H127" s="1">
        <v>38384</v>
      </c>
      <c r="I127" s="9">
        <f t="shared" si="3"/>
        <v>305.97399999999999</v>
      </c>
    </row>
    <row r="128" spans="1:9">
      <c r="A128" s="1">
        <v>38412</v>
      </c>
      <c r="B128" s="2">
        <v>311.733</v>
      </c>
      <c r="C128" s="3"/>
      <c r="E128" s="1">
        <v>38412</v>
      </c>
      <c r="F128" s="9">
        <f t="shared" si="2"/>
        <v>309.64600000000002</v>
      </c>
      <c r="H128" s="1">
        <v>38412</v>
      </c>
      <c r="I128" s="9">
        <f t="shared" si="3"/>
        <v>308.28399999999999</v>
      </c>
    </row>
    <row r="129" spans="1:9">
      <c r="A129" s="1">
        <v>38443</v>
      </c>
      <c r="B129" s="2">
        <v>313.97699999999998</v>
      </c>
      <c r="C129" s="3"/>
      <c r="E129" s="1">
        <v>38443</v>
      </c>
      <c r="F129" s="9">
        <f t="shared" si="2"/>
        <v>311.733</v>
      </c>
      <c r="H129" s="1">
        <v>38443</v>
      </c>
      <c r="I129" s="9">
        <f t="shared" si="3"/>
        <v>309.64600000000002</v>
      </c>
    </row>
    <row r="130" spans="1:9">
      <c r="A130" s="1">
        <v>38473</v>
      </c>
      <c r="B130" s="2">
        <v>320.524</v>
      </c>
      <c r="C130" s="3"/>
      <c r="E130" s="1">
        <v>38473</v>
      </c>
      <c r="F130" s="9">
        <f t="shared" ref="F130:F193" si="4">B129</f>
        <v>313.97699999999998</v>
      </c>
      <c r="H130" s="1">
        <v>38473</v>
      </c>
      <c r="I130" s="9">
        <f t="shared" si="3"/>
        <v>311.733</v>
      </c>
    </row>
    <row r="131" spans="1:9">
      <c r="A131" s="1">
        <v>38504</v>
      </c>
      <c r="B131" s="2">
        <v>322.97399999999999</v>
      </c>
      <c r="C131" s="3"/>
      <c r="E131" s="1">
        <v>38504</v>
      </c>
      <c r="F131" s="9">
        <f t="shared" si="4"/>
        <v>320.524</v>
      </c>
      <c r="H131" s="1">
        <v>38504</v>
      </c>
      <c r="I131" s="9">
        <f t="shared" si="3"/>
        <v>313.97699999999998</v>
      </c>
    </row>
    <row r="132" spans="1:9">
      <c r="A132" s="1">
        <v>38534</v>
      </c>
      <c r="B132" s="2">
        <v>323.33199999999999</v>
      </c>
      <c r="C132" s="3"/>
      <c r="E132" s="1">
        <v>38534</v>
      </c>
      <c r="F132" s="9">
        <f t="shared" si="4"/>
        <v>322.97399999999999</v>
      </c>
      <c r="H132" s="1">
        <v>38534</v>
      </c>
      <c r="I132" s="9">
        <f t="shared" ref="I132:I195" si="5">B130</f>
        <v>320.524</v>
      </c>
    </row>
    <row r="133" spans="1:9">
      <c r="A133" s="1">
        <v>38565</v>
      </c>
      <c r="B133" s="2">
        <v>323.38200000000001</v>
      </c>
      <c r="C133" s="3"/>
      <c r="E133" s="1">
        <v>38565</v>
      </c>
      <c r="F133" s="9">
        <f t="shared" si="4"/>
        <v>323.33199999999999</v>
      </c>
      <c r="H133" s="1">
        <v>38565</v>
      </c>
      <c r="I133" s="9">
        <f t="shared" si="5"/>
        <v>322.97399999999999</v>
      </c>
    </row>
    <row r="134" spans="1:9">
      <c r="A134" s="1">
        <v>38596</v>
      </c>
      <c r="B134" s="2">
        <v>324.16399999999999</v>
      </c>
      <c r="C134" s="3"/>
      <c r="E134" s="1">
        <v>38596</v>
      </c>
      <c r="F134" s="9">
        <f t="shared" si="4"/>
        <v>323.38200000000001</v>
      </c>
      <c r="H134" s="1">
        <v>38596</v>
      </c>
      <c r="I134" s="9">
        <f t="shared" si="5"/>
        <v>323.33199999999999</v>
      </c>
    </row>
    <row r="135" spans="1:9">
      <c r="A135" s="1">
        <v>38626</v>
      </c>
      <c r="B135" s="2">
        <v>324.78199999999998</v>
      </c>
      <c r="C135" s="3"/>
      <c r="E135" s="1">
        <v>38626</v>
      </c>
      <c r="F135" s="9">
        <f t="shared" si="4"/>
        <v>324.16399999999999</v>
      </c>
      <c r="H135" s="1">
        <v>38626</v>
      </c>
      <c r="I135" s="9">
        <f t="shared" si="5"/>
        <v>323.38200000000001</v>
      </c>
    </row>
    <row r="136" spans="1:9">
      <c r="A136" s="1">
        <v>38657</v>
      </c>
      <c r="B136" s="2">
        <v>325.70299999999997</v>
      </c>
      <c r="C136" s="3"/>
      <c r="E136" s="1">
        <v>38657</v>
      </c>
      <c r="F136" s="9">
        <f t="shared" si="4"/>
        <v>324.78199999999998</v>
      </c>
      <c r="H136" s="1">
        <v>38657</v>
      </c>
      <c r="I136" s="9">
        <f t="shared" si="5"/>
        <v>324.16399999999999</v>
      </c>
    </row>
    <row r="137" spans="1:9">
      <c r="A137" s="1">
        <v>38687</v>
      </c>
      <c r="B137" s="2">
        <v>326.91500000000002</v>
      </c>
      <c r="C137" s="3"/>
      <c r="E137" s="1">
        <v>38687</v>
      </c>
      <c r="F137" s="9">
        <f t="shared" si="4"/>
        <v>325.70299999999997</v>
      </c>
      <c r="H137" s="1">
        <v>38687</v>
      </c>
      <c r="I137" s="9">
        <f t="shared" si="5"/>
        <v>324.78199999999998</v>
      </c>
    </row>
    <row r="138" spans="1:9">
      <c r="A138" s="1">
        <v>38718</v>
      </c>
      <c r="B138" s="2">
        <v>328.04199999999997</v>
      </c>
      <c r="C138" s="3"/>
      <c r="E138" s="1">
        <v>38718</v>
      </c>
      <c r="F138" s="9">
        <f t="shared" si="4"/>
        <v>326.91500000000002</v>
      </c>
      <c r="H138" s="1">
        <v>38718</v>
      </c>
      <c r="I138" s="9">
        <f t="shared" si="5"/>
        <v>325.70299999999997</v>
      </c>
    </row>
    <row r="139" spans="1:9">
      <c r="A139" s="1">
        <v>38749</v>
      </c>
      <c r="B139" s="2">
        <v>328.65100000000001</v>
      </c>
      <c r="C139" s="3"/>
      <c r="E139" s="1">
        <v>38749</v>
      </c>
      <c r="F139" s="9">
        <f t="shared" si="4"/>
        <v>328.04199999999997</v>
      </c>
      <c r="H139" s="1">
        <v>38749</v>
      </c>
      <c r="I139" s="9">
        <f t="shared" si="5"/>
        <v>326.91500000000002</v>
      </c>
    </row>
    <row r="140" spans="1:9">
      <c r="A140" s="1">
        <v>38777</v>
      </c>
      <c r="B140" s="2">
        <v>329.32</v>
      </c>
      <c r="C140" s="3"/>
      <c r="E140" s="1">
        <v>38777</v>
      </c>
      <c r="F140" s="9">
        <f t="shared" si="4"/>
        <v>328.65100000000001</v>
      </c>
      <c r="H140" s="1">
        <v>38777</v>
      </c>
      <c r="I140" s="9">
        <f t="shared" si="5"/>
        <v>328.04199999999997</v>
      </c>
    </row>
    <row r="141" spans="1:9">
      <c r="A141" s="1">
        <v>38808</v>
      </c>
      <c r="B141" s="2">
        <v>330.50099999999998</v>
      </c>
      <c r="C141" s="3"/>
      <c r="E141" s="1">
        <v>38808</v>
      </c>
      <c r="F141" s="9">
        <f t="shared" si="4"/>
        <v>329.32</v>
      </c>
      <c r="H141" s="1">
        <v>38808</v>
      </c>
      <c r="I141" s="9">
        <f t="shared" si="5"/>
        <v>328.65100000000001</v>
      </c>
    </row>
    <row r="142" spans="1:9">
      <c r="A142" s="1">
        <v>38838</v>
      </c>
      <c r="B142" s="2">
        <v>334.86700000000002</v>
      </c>
      <c r="C142" s="3"/>
      <c r="E142" s="1">
        <v>38838</v>
      </c>
      <c r="F142" s="9">
        <f t="shared" si="4"/>
        <v>330.50099999999998</v>
      </c>
      <c r="H142" s="1">
        <v>38838</v>
      </c>
      <c r="I142" s="9">
        <f t="shared" si="5"/>
        <v>329.32</v>
      </c>
    </row>
    <row r="143" spans="1:9">
      <c r="A143" s="1">
        <v>38869</v>
      </c>
      <c r="B143" s="2">
        <v>337.892</v>
      </c>
      <c r="C143" s="3"/>
      <c r="E143" s="1">
        <v>38869</v>
      </c>
      <c r="F143" s="9">
        <f t="shared" si="4"/>
        <v>334.86700000000002</v>
      </c>
      <c r="H143" s="1">
        <v>38869</v>
      </c>
      <c r="I143" s="9">
        <f t="shared" si="5"/>
        <v>330.50099999999998</v>
      </c>
    </row>
    <row r="144" spans="1:9">
      <c r="A144" s="1">
        <v>38899</v>
      </c>
      <c r="B144" s="2">
        <v>339.48399999999998</v>
      </c>
      <c r="C144" s="3"/>
      <c r="E144" s="1">
        <v>38899</v>
      </c>
      <c r="F144" s="9">
        <f t="shared" si="4"/>
        <v>337.892</v>
      </c>
      <c r="H144" s="1">
        <v>38899</v>
      </c>
      <c r="I144" s="9">
        <f t="shared" si="5"/>
        <v>334.86700000000002</v>
      </c>
    </row>
    <row r="145" spans="1:9">
      <c r="A145" s="1">
        <v>38930</v>
      </c>
      <c r="B145" s="2">
        <v>340.28300000000002</v>
      </c>
      <c r="C145" s="3"/>
      <c r="E145" s="1">
        <v>38930</v>
      </c>
      <c r="F145" s="9">
        <f t="shared" si="4"/>
        <v>339.48399999999998</v>
      </c>
      <c r="H145" s="1">
        <v>38930</v>
      </c>
      <c r="I145" s="9">
        <f t="shared" si="5"/>
        <v>337.892</v>
      </c>
    </row>
    <row r="146" spans="1:9">
      <c r="A146" s="1">
        <v>38961</v>
      </c>
      <c r="B146" s="2">
        <v>340.67</v>
      </c>
      <c r="C146" s="3"/>
      <c r="E146" s="1">
        <v>38961</v>
      </c>
      <c r="F146" s="9">
        <f t="shared" si="4"/>
        <v>340.28300000000002</v>
      </c>
      <c r="H146" s="1">
        <v>38961</v>
      </c>
      <c r="I146" s="9">
        <f t="shared" si="5"/>
        <v>339.48399999999998</v>
      </c>
    </row>
    <row r="147" spans="1:9">
      <c r="A147" s="1">
        <v>38991</v>
      </c>
      <c r="B147" s="2">
        <v>341.36900000000003</v>
      </c>
      <c r="C147" s="3"/>
      <c r="E147" s="1">
        <v>38991</v>
      </c>
      <c r="F147" s="9">
        <f t="shared" si="4"/>
        <v>340.67</v>
      </c>
      <c r="H147" s="1">
        <v>38991</v>
      </c>
      <c r="I147" s="9">
        <f t="shared" si="5"/>
        <v>340.28300000000002</v>
      </c>
    </row>
    <row r="148" spans="1:9">
      <c r="A148" s="1">
        <v>39022</v>
      </c>
      <c r="B148" s="2">
        <v>342.15899999999999</v>
      </c>
      <c r="C148" s="3"/>
      <c r="E148" s="1">
        <v>39022</v>
      </c>
      <c r="F148" s="9">
        <f t="shared" si="4"/>
        <v>341.36900000000003</v>
      </c>
      <c r="H148" s="1">
        <v>39022</v>
      </c>
      <c r="I148" s="9">
        <f t="shared" si="5"/>
        <v>340.67</v>
      </c>
    </row>
    <row r="149" spans="1:9">
      <c r="A149" s="1">
        <v>39052</v>
      </c>
      <c r="B149" s="2">
        <v>343.40100000000001</v>
      </c>
      <c r="C149" s="3"/>
      <c r="E149" s="1">
        <v>39052</v>
      </c>
      <c r="F149" s="9">
        <f t="shared" si="4"/>
        <v>342.15899999999999</v>
      </c>
      <c r="H149" s="1">
        <v>39052</v>
      </c>
      <c r="I149" s="9">
        <f t="shared" si="5"/>
        <v>341.36900000000003</v>
      </c>
    </row>
    <row r="150" spans="1:9">
      <c r="A150" s="1">
        <v>39083</v>
      </c>
      <c r="B150" s="2">
        <v>344.94299999999998</v>
      </c>
      <c r="C150" s="3"/>
      <c r="E150" s="1">
        <v>39083</v>
      </c>
      <c r="F150" s="9">
        <f t="shared" si="4"/>
        <v>343.40100000000001</v>
      </c>
      <c r="H150" s="1">
        <v>39083</v>
      </c>
      <c r="I150" s="9">
        <f t="shared" si="5"/>
        <v>342.15899999999999</v>
      </c>
    </row>
    <row r="151" spans="1:9">
      <c r="A151" s="1">
        <v>39114</v>
      </c>
      <c r="B151" s="2">
        <v>345.68200000000002</v>
      </c>
      <c r="C151" s="3"/>
      <c r="E151" s="1">
        <v>39114</v>
      </c>
      <c r="F151" s="9">
        <f t="shared" si="4"/>
        <v>344.94299999999998</v>
      </c>
      <c r="H151" s="1">
        <v>39114</v>
      </c>
      <c r="I151" s="9">
        <f t="shared" si="5"/>
        <v>343.40100000000001</v>
      </c>
    </row>
    <row r="152" spans="1:9">
      <c r="A152" s="1">
        <v>39142</v>
      </c>
      <c r="B152" s="2">
        <v>346.61700000000002</v>
      </c>
      <c r="C152" s="3"/>
      <c r="E152" s="1">
        <v>39142</v>
      </c>
      <c r="F152" s="9">
        <f t="shared" si="4"/>
        <v>345.68200000000002</v>
      </c>
      <c r="H152" s="1">
        <v>39142</v>
      </c>
      <c r="I152" s="9">
        <f t="shared" si="5"/>
        <v>344.94299999999998</v>
      </c>
    </row>
    <row r="153" spans="1:9">
      <c r="A153" s="1">
        <v>39173</v>
      </c>
      <c r="B153" s="2">
        <v>348.19400000000002</v>
      </c>
      <c r="C153" s="3"/>
      <c r="E153" s="1">
        <v>39173</v>
      </c>
      <c r="F153" s="9">
        <f t="shared" si="4"/>
        <v>346.61700000000002</v>
      </c>
      <c r="H153" s="1">
        <v>39173</v>
      </c>
      <c r="I153" s="9">
        <f t="shared" si="5"/>
        <v>345.68200000000002</v>
      </c>
    </row>
    <row r="154" spans="1:9">
      <c r="A154" s="1">
        <v>39203</v>
      </c>
      <c r="B154" s="2">
        <v>352.20400000000001</v>
      </c>
      <c r="C154" s="3"/>
      <c r="E154" s="1">
        <v>39203</v>
      </c>
      <c r="F154" s="9">
        <f t="shared" si="4"/>
        <v>348.19400000000002</v>
      </c>
      <c r="H154" s="1">
        <v>39203</v>
      </c>
      <c r="I154" s="9">
        <f t="shared" si="5"/>
        <v>346.61700000000002</v>
      </c>
    </row>
    <row r="155" spans="1:9">
      <c r="A155" s="1">
        <v>39234</v>
      </c>
      <c r="B155" s="2">
        <v>355.45600000000002</v>
      </c>
      <c r="C155" s="3"/>
      <c r="E155" s="1">
        <v>39234</v>
      </c>
      <c r="F155" s="9">
        <f t="shared" si="4"/>
        <v>352.20400000000001</v>
      </c>
      <c r="H155" s="1">
        <v>39234</v>
      </c>
      <c r="I155" s="9">
        <f t="shared" si="5"/>
        <v>348.19400000000002</v>
      </c>
    </row>
    <row r="156" spans="1:9">
      <c r="A156" s="1">
        <v>39264</v>
      </c>
      <c r="B156" s="2">
        <v>356.54500000000002</v>
      </c>
      <c r="C156" s="3"/>
      <c r="E156" s="1">
        <v>39264</v>
      </c>
      <c r="F156" s="9">
        <f t="shared" si="4"/>
        <v>355.45600000000002</v>
      </c>
      <c r="H156" s="1">
        <v>39264</v>
      </c>
      <c r="I156" s="9">
        <f t="shared" si="5"/>
        <v>352.20400000000001</v>
      </c>
    </row>
    <row r="157" spans="1:9">
      <c r="A157" s="1">
        <v>39295</v>
      </c>
      <c r="B157" s="2">
        <v>357.46699999999998</v>
      </c>
      <c r="C157" s="3"/>
      <c r="E157" s="1">
        <v>39295</v>
      </c>
      <c r="F157" s="9">
        <f t="shared" si="4"/>
        <v>356.54500000000002</v>
      </c>
      <c r="H157" s="1">
        <v>39295</v>
      </c>
      <c r="I157" s="9">
        <f t="shared" si="5"/>
        <v>355.45600000000002</v>
      </c>
    </row>
    <row r="158" spans="1:9">
      <c r="A158" s="1">
        <v>39326</v>
      </c>
      <c r="B158" s="2">
        <v>359.27600000000001</v>
      </c>
      <c r="C158" s="3"/>
      <c r="E158" s="1">
        <v>39326</v>
      </c>
      <c r="F158" s="9">
        <f t="shared" si="4"/>
        <v>357.46699999999998</v>
      </c>
      <c r="H158" s="1">
        <v>39326</v>
      </c>
      <c r="I158" s="9">
        <f t="shared" si="5"/>
        <v>356.54500000000002</v>
      </c>
    </row>
    <row r="159" spans="1:9">
      <c r="A159" s="1">
        <v>39356</v>
      </c>
      <c r="B159" s="2">
        <v>361.10199999999998</v>
      </c>
      <c r="C159" s="3"/>
      <c r="E159" s="1">
        <v>39356</v>
      </c>
      <c r="F159" s="9">
        <f t="shared" si="4"/>
        <v>359.27600000000001</v>
      </c>
      <c r="H159" s="1">
        <v>39356</v>
      </c>
      <c r="I159" s="9">
        <f t="shared" si="5"/>
        <v>357.46699999999998</v>
      </c>
    </row>
    <row r="160" spans="1:9">
      <c r="A160" s="1">
        <v>39387</v>
      </c>
      <c r="B160" s="2">
        <v>362.40300000000002</v>
      </c>
      <c r="C160" s="3"/>
      <c r="E160" s="1">
        <v>39387</v>
      </c>
      <c r="F160" s="9">
        <f t="shared" si="4"/>
        <v>361.10199999999998</v>
      </c>
      <c r="H160" s="1">
        <v>39387</v>
      </c>
      <c r="I160" s="9">
        <f t="shared" si="5"/>
        <v>359.27600000000001</v>
      </c>
    </row>
    <row r="161" spans="1:9">
      <c r="A161" s="1">
        <v>39417</v>
      </c>
      <c r="B161" s="2">
        <v>364.52499999999998</v>
      </c>
      <c r="C161" s="3"/>
      <c r="E161" s="1">
        <v>39417</v>
      </c>
      <c r="F161" s="9">
        <f t="shared" si="4"/>
        <v>362.40300000000002</v>
      </c>
      <c r="H161" s="1">
        <v>39417</v>
      </c>
      <c r="I161" s="9">
        <f t="shared" si="5"/>
        <v>361.10199999999998</v>
      </c>
    </row>
    <row r="162" spans="1:9">
      <c r="A162" s="1">
        <v>39448</v>
      </c>
      <c r="B162" s="2">
        <v>365.90600000000001</v>
      </c>
      <c r="C162" s="3"/>
      <c r="E162" s="1">
        <v>39448</v>
      </c>
      <c r="F162" s="9">
        <f t="shared" si="4"/>
        <v>364.52499999999998</v>
      </c>
      <c r="H162" s="1">
        <v>39448</v>
      </c>
      <c r="I162" s="9">
        <f t="shared" si="5"/>
        <v>362.40300000000002</v>
      </c>
    </row>
    <row r="163" spans="1:9">
      <c r="A163" s="1">
        <v>39479</v>
      </c>
      <c r="B163" s="2">
        <v>367.38200000000001</v>
      </c>
      <c r="C163" s="3"/>
      <c r="E163" s="1">
        <v>39479</v>
      </c>
      <c r="F163" s="9">
        <f t="shared" si="4"/>
        <v>365.90600000000001</v>
      </c>
      <c r="H163" s="1">
        <v>39479</v>
      </c>
      <c r="I163" s="9">
        <f t="shared" si="5"/>
        <v>364.52499999999998</v>
      </c>
    </row>
    <row r="164" spans="1:9">
      <c r="A164" s="1">
        <v>39508</v>
      </c>
      <c r="B164" s="2">
        <v>369.81200000000001</v>
      </c>
      <c r="C164" s="3"/>
      <c r="E164" s="1">
        <v>39508</v>
      </c>
      <c r="F164" s="9">
        <f t="shared" si="4"/>
        <v>367.38200000000001</v>
      </c>
      <c r="H164" s="1">
        <v>39508</v>
      </c>
      <c r="I164" s="9">
        <f t="shared" si="5"/>
        <v>365.90600000000001</v>
      </c>
    </row>
    <row r="165" spans="1:9">
      <c r="A165" s="1">
        <v>39539</v>
      </c>
      <c r="B165" s="2">
        <v>373.03100000000001</v>
      </c>
      <c r="C165" s="3"/>
      <c r="E165" s="1">
        <v>39539</v>
      </c>
      <c r="F165" s="9">
        <f t="shared" si="4"/>
        <v>369.81200000000001</v>
      </c>
      <c r="H165" s="1">
        <v>39539</v>
      </c>
      <c r="I165" s="9">
        <f t="shared" si="5"/>
        <v>367.38200000000001</v>
      </c>
    </row>
    <row r="166" spans="1:9">
      <c r="A166" s="1">
        <v>39569</v>
      </c>
      <c r="B166" s="2">
        <v>380.58199999999999</v>
      </c>
      <c r="C166" s="3"/>
      <c r="E166" s="1">
        <v>39569</v>
      </c>
      <c r="F166" s="9">
        <f t="shared" si="4"/>
        <v>373.03100000000001</v>
      </c>
      <c r="H166" s="1">
        <v>39569</v>
      </c>
      <c r="I166" s="9">
        <f t="shared" si="5"/>
        <v>369.81200000000001</v>
      </c>
    </row>
    <row r="167" spans="1:9">
      <c r="A167" s="1">
        <v>39600</v>
      </c>
      <c r="B167" s="2">
        <v>387.90600000000001</v>
      </c>
      <c r="C167" s="3"/>
      <c r="E167" s="1">
        <v>39600</v>
      </c>
      <c r="F167" s="9">
        <f t="shared" si="4"/>
        <v>380.58199999999999</v>
      </c>
      <c r="H167" s="1">
        <v>39600</v>
      </c>
      <c r="I167" s="9">
        <f t="shared" si="5"/>
        <v>373.03100000000001</v>
      </c>
    </row>
    <row r="168" spans="1:9">
      <c r="A168" s="1">
        <v>39630</v>
      </c>
      <c r="B168" s="2">
        <v>393.55599999999998</v>
      </c>
      <c r="C168" s="3"/>
      <c r="E168" s="1">
        <v>39630</v>
      </c>
      <c r="F168" s="9">
        <f t="shared" si="4"/>
        <v>387.90600000000001</v>
      </c>
      <c r="H168" s="1">
        <v>39630</v>
      </c>
      <c r="I168" s="9">
        <f t="shared" si="5"/>
        <v>380.58199999999999</v>
      </c>
    </row>
    <row r="169" spans="1:9">
      <c r="A169" s="1">
        <v>39661</v>
      </c>
      <c r="B169" s="2">
        <v>398.202</v>
      </c>
      <c r="C169" s="3"/>
      <c r="E169" s="1">
        <v>39661</v>
      </c>
      <c r="F169" s="9">
        <f t="shared" si="4"/>
        <v>393.55599999999998</v>
      </c>
      <c r="H169" s="1">
        <v>39661</v>
      </c>
      <c r="I169" s="9">
        <f t="shared" si="5"/>
        <v>387.90600000000001</v>
      </c>
    </row>
    <row r="170" spans="1:9">
      <c r="A170" s="1">
        <v>39692</v>
      </c>
      <c r="B170" s="2">
        <v>401.97500000000002</v>
      </c>
      <c r="C170" s="3"/>
      <c r="E170" s="1">
        <v>39692</v>
      </c>
      <c r="F170" s="9">
        <f t="shared" si="4"/>
        <v>398.202</v>
      </c>
      <c r="H170" s="1">
        <v>39692</v>
      </c>
      <c r="I170" s="9">
        <f t="shared" si="5"/>
        <v>393.55599999999998</v>
      </c>
    </row>
    <row r="171" spans="1:9">
      <c r="A171" s="1">
        <v>39722</v>
      </c>
      <c r="B171" s="2">
        <v>405.09</v>
      </c>
      <c r="C171" s="3"/>
      <c r="E171" s="1">
        <v>39722</v>
      </c>
      <c r="F171" s="9">
        <f t="shared" si="4"/>
        <v>401.97500000000002</v>
      </c>
      <c r="H171" s="1">
        <v>39722</v>
      </c>
      <c r="I171" s="9">
        <f t="shared" si="5"/>
        <v>398.202</v>
      </c>
    </row>
    <row r="172" spans="1:9">
      <c r="A172" s="1">
        <v>39753</v>
      </c>
      <c r="B172" s="2">
        <v>407.10899999999998</v>
      </c>
      <c r="C172" s="3"/>
      <c r="E172" s="1">
        <v>39753</v>
      </c>
      <c r="F172" s="9">
        <f t="shared" si="4"/>
        <v>405.09</v>
      </c>
      <c r="H172" s="1">
        <v>39753</v>
      </c>
      <c r="I172" s="9">
        <f t="shared" si="5"/>
        <v>401.97500000000002</v>
      </c>
    </row>
    <row r="173" spans="1:9">
      <c r="A173" s="1">
        <v>39783</v>
      </c>
      <c r="B173" s="2">
        <v>407.80700000000002</v>
      </c>
      <c r="C173" s="3"/>
      <c r="E173" s="1">
        <v>39783</v>
      </c>
      <c r="F173" s="9">
        <f t="shared" si="4"/>
        <v>407.10899999999998</v>
      </c>
      <c r="H173" s="1">
        <v>39783</v>
      </c>
      <c r="I173" s="9">
        <f t="shared" si="5"/>
        <v>405.09</v>
      </c>
    </row>
    <row r="174" spans="1:9">
      <c r="A174" s="1">
        <v>39814</v>
      </c>
      <c r="B174" s="2">
        <v>409.166</v>
      </c>
      <c r="C174" s="3"/>
      <c r="E174" s="1">
        <v>39814</v>
      </c>
      <c r="F174" s="9">
        <f t="shared" si="4"/>
        <v>407.80700000000002</v>
      </c>
      <c r="H174" s="1">
        <v>39814</v>
      </c>
      <c r="I174" s="9">
        <f t="shared" si="5"/>
        <v>407.10899999999998</v>
      </c>
    </row>
    <row r="175" spans="1:9">
      <c r="A175" s="1">
        <v>39845</v>
      </c>
      <c r="B175" s="2">
        <v>410.262</v>
      </c>
      <c r="C175" s="3"/>
      <c r="E175" s="1">
        <v>39845</v>
      </c>
      <c r="F175" s="9">
        <f t="shared" si="4"/>
        <v>409.166</v>
      </c>
      <c r="H175" s="1">
        <v>39845</v>
      </c>
      <c r="I175" s="9">
        <f t="shared" si="5"/>
        <v>407.80700000000002</v>
      </c>
    </row>
    <row r="176" spans="1:9">
      <c r="A176" s="1">
        <v>39873</v>
      </c>
      <c r="B176" s="2">
        <v>409.21600000000001</v>
      </c>
      <c r="C176" s="3"/>
      <c r="E176" s="1">
        <v>39873</v>
      </c>
      <c r="F176" s="9">
        <f t="shared" si="4"/>
        <v>410.262</v>
      </c>
      <c r="H176" s="1">
        <v>39873</v>
      </c>
      <c r="I176" s="9">
        <f t="shared" si="5"/>
        <v>409.166</v>
      </c>
    </row>
    <row r="177" spans="1:9">
      <c r="A177" s="1">
        <v>39904</v>
      </c>
      <c r="B177" s="2">
        <v>409.04199999999997</v>
      </c>
      <c r="C177" s="3"/>
      <c r="E177" s="1">
        <v>39904</v>
      </c>
      <c r="F177" s="9">
        <f t="shared" si="4"/>
        <v>409.21600000000001</v>
      </c>
      <c r="H177" s="1">
        <v>39904</v>
      </c>
      <c r="I177" s="9">
        <f t="shared" si="5"/>
        <v>410.262</v>
      </c>
    </row>
    <row r="178" spans="1:9">
      <c r="A178" s="1">
        <v>39934</v>
      </c>
      <c r="B178" s="2">
        <v>414.74200000000002</v>
      </c>
      <c r="C178" s="3"/>
      <c r="E178" s="1">
        <v>39934</v>
      </c>
      <c r="F178" s="9">
        <f t="shared" si="4"/>
        <v>409.04199999999997</v>
      </c>
      <c r="H178" s="1">
        <v>39934</v>
      </c>
      <c r="I178" s="9">
        <f t="shared" si="5"/>
        <v>409.21600000000001</v>
      </c>
    </row>
    <row r="179" spans="1:9">
      <c r="A179" s="1">
        <v>39965</v>
      </c>
      <c r="B179" s="2">
        <v>417.65699999999998</v>
      </c>
      <c r="C179" s="3"/>
      <c r="E179" s="1">
        <v>39965</v>
      </c>
      <c r="F179" s="9">
        <f t="shared" si="4"/>
        <v>414.74200000000002</v>
      </c>
      <c r="H179" s="1">
        <v>39965</v>
      </c>
      <c r="I179" s="9">
        <f t="shared" si="5"/>
        <v>409.04199999999997</v>
      </c>
    </row>
    <row r="180" spans="1:9">
      <c r="A180" s="1">
        <v>39995</v>
      </c>
      <c r="B180" s="2">
        <v>418.75700000000001</v>
      </c>
      <c r="C180" s="3"/>
      <c r="E180" s="1">
        <v>39995</v>
      </c>
      <c r="F180" s="9">
        <f t="shared" si="4"/>
        <v>417.65699999999998</v>
      </c>
      <c r="H180" s="1">
        <v>39995</v>
      </c>
      <c r="I180" s="9">
        <f t="shared" si="5"/>
        <v>414.74200000000002</v>
      </c>
    </row>
    <row r="181" spans="1:9">
      <c r="A181" s="1">
        <v>40026</v>
      </c>
      <c r="B181" s="2">
        <v>418.52800000000002</v>
      </c>
      <c r="C181" s="3"/>
      <c r="E181" s="1">
        <v>40026</v>
      </c>
      <c r="F181" s="9">
        <f t="shared" si="4"/>
        <v>418.75700000000001</v>
      </c>
      <c r="H181" s="1">
        <v>40026</v>
      </c>
      <c r="I181" s="9">
        <f t="shared" si="5"/>
        <v>417.65699999999998</v>
      </c>
    </row>
    <row r="182" spans="1:9">
      <c r="A182" s="1">
        <v>40057</v>
      </c>
      <c r="B182" s="2">
        <v>419.14699999999999</v>
      </c>
      <c r="C182" s="3"/>
      <c r="E182" s="1">
        <v>40057</v>
      </c>
      <c r="F182" s="9">
        <f t="shared" si="4"/>
        <v>418.52800000000002</v>
      </c>
      <c r="H182" s="1">
        <v>40057</v>
      </c>
      <c r="I182" s="9">
        <f t="shared" si="5"/>
        <v>418.75700000000001</v>
      </c>
    </row>
    <row r="183" spans="1:9">
      <c r="A183" s="1">
        <v>40087</v>
      </c>
      <c r="B183" s="2">
        <v>419.40499999999997</v>
      </c>
      <c r="C183" s="3"/>
      <c r="E183" s="1">
        <v>40087</v>
      </c>
      <c r="F183" s="9">
        <f t="shared" si="4"/>
        <v>419.14699999999999</v>
      </c>
      <c r="H183" s="1">
        <v>40087</v>
      </c>
      <c r="I183" s="9">
        <f t="shared" si="5"/>
        <v>418.52800000000002</v>
      </c>
    </row>
    <row r="184" spans="1:9">
      <c r="A184" s="1">
        <v>40118</v>
      </c>
      <c r="B184" s="2">
        <v>420.63499999999999</v>
      </c>
      <c r="C184" s="3"/>
      <c r="E184" s="1">
        <v>40118</v>
      </c>
      <c r="F184" s="9">
        <f t="shared" si="4"/>
        <v>419.40499999999997</v>
      </c>
      <c r="H184" s="1">
        <v>40118</v>
      </c>
      <c r="I184" s="9">
        <f t="shared" si="5"/>
        <v>419.14699999999999</v>
      </c>
    </row>
    <row r="185" spans="1:9">
      <c r="A185" s="1">
        <v>40148</v>
      </c>
      <c r="B185" s="2">
        <v>421.05099999999999</v>
      </c>
      <c r="C185" s="3"/>
      <c r="E185" s="1">
        <v>40148</v>
      </c>
      <c r="F185" s="9">
        <f t="shared" si="4"/>
        <v>420.63499999999999</v>
      </c>
      <c r="H185" s="1">
        <v>40148</v>
      </c>
      <c r="I185" s="9">
        <f t="shared" si="5"/>
        <v>419.40499999999997</v>
      </c>
    </row>
    <row r="186" spans="1:9">
      <c r="A186" s="1">
        <v>40179</v>
      </c>
      <c r="B186" s="2">
        <v>423.74</v>
      </c>
      <c r="C186" s="3"/>
      <c r="E186" s="1">
        <v>40179</v>
      </c>
      <c r="F186" s="9">
        <f t="shared" si="4"/>
        <v>421.05099999999999</v>
      </c>
      <c r="H186" s="1">
        <v>40179</v>
      </c>
      <c r="I186" s="9">
        <f t="shared" si="5"/>
        <v>420.63499999999999</v>
      </c>
    </row>
    <row r="187" spans="1:9">
      <c r="A187" s="1">
        <v>40210</v>
      </c>
      <c r="B187" s="2">
        <v>425.26799999999997</v>
      </c>
      <c r="C187" s="3"/>
      <c r="E187" s="1">
        <v>40210</v>
      </c>
      <c r="F187" s="9">
        <f t="shared" si="4"/>
        <v>423.74</v>
      </c>
      <c r="H187" s="1">
        <v>40210</v>
      </c>
      <c r="I187" s="9">
        <f t="shared" si="5"/>
        <v>421.05099999999999</v>
      </c>
    </row>
    <row r="188" spans="1:9">
      <c r="A188" s="1">
        <v>40238</v>
      </c>
      <c r="B188" s="2">
        <v>428.476</v>
      </c>
      <c r="C188" s="3"/>
      <c r="E188" s="1">
        <v>40238</v>
      </c>
      <c r="F188" s="9">
        <f t="shared" si="4"/>
        <v>425.26799999999997</v>
      </c>
      <c r="H188" s="1">
        <v>40238</v>
      </c>
      <c r="I188" s="9">
        <f t="shared" si="5"/>
        <v>423.74</v>
      </c>
    </row>
    <row r="189" spans="1:9">
      <c r="A189" s="1">
        <v>40269</v>
      </c>
      <c r="B189" s="2">
        <v>432.07900000000001</v>
      </c>
      <c r="C189" s="3"/>
      <c r="E189" s="1">
        <v>40269</v>
      </c>
      <c r="F189" s="9">
        <f t="shared" si="4"/>
        <v>428.476</v>
      </c>
      <c r="H189" s="1">
        <v>40269</v>
      </c>
      <c r="I189" s="9">
        <f t="shared" si="5"/>
        <v>425.26799999999997</v>
      </c>
    </row>
    <row r="190" spans="1:9">
      <c r="A190" s="1">
        <v>40299</v>
      </c>
      <c r="B190" s="2">
        <v>439.91399999999999</v>
      </c>
      <c r="C190" s="3"/>
      <c r="E190" s="1">
        <v>40299</v>
      </c>
      <c r="F190" s="9">
        <f t="shared" si="4"/>
        <v>432.07900000000001</v>
      </c>
      <c r="H190" s="1">
        <v>40299</v>
      </c>
      <c r="I190" s="9">
        <f t="shared" si="5"/>
        <v>428.476</v>
      </c>
    </row>
    <row r="191" spans="1:9">
      <c r="A191" s="1">
        <v>40330</v>
      </c>
      <c r="B191" s="2">
        <v>444.71800000000002</v>
      </c>
      <c r="C191" s="3"/>
      <c r="E191" s="1">
        <v>40330</v>
      </c>
      <c r="F191" s="9">
        <f t="shared" si="4"/>
        <v>439.91399999999999</v>
      </c>
      <c r="H191" s="1">
        <v>40330</v>
      </c>
      <c r="I191" s="9">
        <f t="shared" si="5"/>
        <v>432.07900000000001</v>
      </c>
    </row>
    <row r="192" spans="1:9">
      <c r="A192" s="1">
        <v>40360</v>
      </c>
      <c r="B192" s="2">
        <v>446.68799999999999</v>
      </c>
      <c r="C192" s="3"/>
      <c r="E192" s="1">
        <v>40360</v>
      </c>
      <c r="F192" s="9">
        <f t="shared" si="4"/>
        <v>444.71800000000002</v>
      </c>
      <c r="H192" s="1">
        <v>40360</v>
      </c>
      <c r="I192" s="9">
        <f t="shared" si="5"/>
        <v>439.91399999999999</v>
      </c>
    </row>
    <row r="193" spans="1:9">
      <c r="A193" s="1">
        <v>40391</v>
      </c>
      <c r="B193" s="2">
        <v>447.29599999999999</v>
      </c>
      <c r="C193" s="3"/>
      <c r="E193" s="1">
        <v>40391</v>
      </c>
      <c r="F193" s="9">
        <f t="shared" si="4"/>
        <v>446.68799999999999</v>
      </c>
      <c r="H193" s="1">
        <v>40391</v>
      </c>
      <c r="I193" s="9">
        <f t="shared" si="5"/>
        <v>444.71800000000002</v>
      </c>
    </row>
    <row r="194" spans="1:9">
      <c r="A194" s="1">
        <v>40422</v>
      </c>
      <c r="B194" s="2">
        <v>448.22199999999998</v>
      </c>
      <c r="C194" s="3"/>
      <c r="E194" s="1">
        <v>40422</v>
      </c>
      <c r="F194" s="9">
        <f t="shared" ref="F194:F257" si="6">B193</f>
        <v>447.29599999999999</v>
      </c>
      <c r="H194" s="1">
        <v>40422</v>
      </c>
      <c r="I194" s="9">
        <f t="shared" si="5"/>
        <v>446.68799999999999</v>
      </c>
    </row>
    <row r="195" spans="1:9">
      <c r="A195" s="1">
        <v>40452</v>
      </c>
      <c r="B195" s="2">
        <v>449.10300000000001</v>
      </c>
      <c r="C195" s="3"/>
      <c r="E195" s="1">
        <v>40452</v>
      </c>
      <c r="F195" s="9">
        <f t="shared" si="6"/>
        <v>448.22199999999998</v>
      </c>
      <c r="H195" s="1">
        <v>40452</v>
      </c>
      <c r="I195" s="9">
        <f t="shared" si="5"/>
        <v>447.29599999999999</v>
      </c>
    </row>
    <row r="196" spans="1:9">
      <c r="A196" s="1">
        <v>40483</v>
      </c>
      <c r="B196" s="2">
        <v>450.76299999999998</v>
      </c>
      <c r="C196" s="3"/>
      <c r="E196" s="1">
        <v>40483</v>
      </c>
      <c r="F196" s="9">
        <f t="shared" si="6"/>
        <v>449.10300000000001</v>
      </c>
      <c r="H196" s="1">
        <v>40483</v>
      </c>
      <c r="I196" s="9">
        <f t="shared" ref="I196:I259" si="7">B194</f>
        <v>448.22199999999998</v>
      </c>
    </row>
    <row r="197" spans="1:9">
      <c r="A197" s="1">
        <v>40513</v>
      </c>
      <c r="B197" s="2">
        <v>453.76600000000002</v>
      </c>
      <c r="C197" s="3"/>
      <c r="E197" s="1">
        <v>40513</v>
      </c>
      <c r="F197" s="9">
        <f t="shared" si="6"/>
        <v>450.76299999999998</v>
      </c>
      <c r="H197" s="1">
        <v>40513</v>
      </c>
      <c r="I197" s="9">
        <f t="shared" si="7"/>
        <v>449.10300000000001</v>
      </c>
    </row>
    <row r="198" spans="1:9">
      <c r="A198" s="1">
        <v>40544</v>
      </c>
      <c r="B198" s="2">
        <v>455.61900000000003</v>
      </c>
      <c r="C198" s="3"/>
      <c r="E198" s="1">
        <v>40544</v>
      </c>
      <c r="F198" s="9">
        <f t="shared" si="6"/>
        <v>453.76600000000002</v>
      </c>
      <c r="H198" s="1">
        <v>40544</v>
      </c>
      <c r="I198" s="9">
        <f t="shared" si="7"/>
        <v>450.76299999999998</v>
      </c>
    </row>
    <row r="199" spans="1:9">
      <c r="A199" s="1">
        <v>40575</v>
      </c>
      <c r="B199" s="2">
        <v>456.91699999999997</v>
      </c>
      <c r="C199" s="3"/>
      <c r="E199" s="1">
        <v>40575</v>
      </c>
      <c r="F199" s="9">
        <f t="shared" si="6"/>
        <v>455.61900000000003</v>
      </c>
      <c r="H199" s="1">
        <v>40575</v>
      </c>
      <c r="I199" s="9">
        <f t="shared" si="7"/>
        <v>453.76600000000002</v>
      </c>
    </row>
    <row r="200" spans="1:9">
      <c r="A200" s="1">
        <v>40603</v>
      </c>
      <c r="B200" s="2">
        <v>458.887</v>
      </c>
      <c r="C200" s="3"/>
      <c r="E200" s="1">
        <v>40603</v>
      </c>
      <c r="F200" s="9">
        <f t="shared" si="6"/>
        <v>456.91699999999997</v>
      </c>
      <c r="H200" s="1">
        <v>40603</v>
      </c>
      <c r="I200" s="9">
        <f t="shared" si="7"/>
        <v>455.61900000000003</v>
      </c>
    </row>
    <row r="201" spans="1:9">
      <c r="A201" s="1">
        <v>40634</v>
      </c>
      <c r="B201" s="2">
        <v>463.76600000000002</v>
      </c>
      <c r="C201" s="3"/>
      <c r="E201" s="1">
        <v>40634</v>
      </c>
      <c r="F201" s="9">
        <f t="shared" si="6"/>
        <v>458.887</v>
      </c>
      <c r="H201" s="1">
        <v>40634</v>
      </c>
      <c r="I201" s="9">
        <f t="shared" si="7"/>
        <v>456.91699999999997</v>
      </c>
    </row>
    <row r="202" spans="1:9">
      <c r="A202" s="1">
        <v>40664</v>
      </c>
      <c r="B202" s="2">
        <v>477.40499999999997</v>
      </c>
      <c r="C202" s="3"/>
      <c r="E202" s="1">
        <v>40664</v>
      </c>
      <c r="F202" s="9">
        <f t="shared" si="6"/>
        <v>463.76600000000002</v>
      </c>
      <c r="H202" s="1">
        <v>40664</v>
      </c>
      <c r="I202" s="9">
        <f t="shared" si="7"/>
        <v>458.887</v>
      </c>
    </row>
    <row r="203" spans="1:9">
      <c r="A203" s="1">
        <v>40695</v>
      </c>
      <c r="B203" s="2">
        <v>479.18299999999999</v>
      </c>
      <c r="C203" s="3"/>
      <c r="E203" s="1">
        <v>40695</v>
      </c>
      <c r="F203" s="9">
        <f t="shared" si="6"/>
        <v>477.40499999999997</v>
      </c>
      <c r="H203" s="1">
        <v>40695</v>
      </c>
      <c r="I203" s="9">
        <f t="shared" si="7"/>
        <v>463.76600000000002</v>
      </c>
    </row>
    <row r="204" spans="1:9">
      <c r="A204" s="1">
        <v>40726</v>
      </c>
      <c r="B204" s="2">
        <v>481.33</v>
      </c>
      <c r="C204" s="3"/>
      <c r="E204" s="1">
        <v>40726</v>
      </c>
      <c r="F204" s="9">
        <f t="shared" si="6"/>
        <v>479.18299999999999</v>
      </c>
      <c r="H204" s="1">
        <v>40726</v>
      </c>
      <c r="I204" s="9">
        <f t="shared" si="7"/>
        <v>477.40499999999997</v>
      </c>
    </row>
    <row r="205" spans="1:9">
      <c r="A205" s="1">
        <v>40756</v>
      </c>
      <c r="B205" s="2">
        <v>481.96600000000001</v>
      </c>
      <c r="C205" s="3"/>
      <c r="E205" s="1">
        <v>40756</v>
      </c>
      <c r="F205" s="9">
        <f t="shared" si="6"/>
        <v>481.33</v>
      </c>
      <c r="H205" s="1">
        <v>40756</v>
      </c>
      <c r="I205" s="9">
        <f t="shared" si="7"/>
        <v>479.18299999999999</v>
      </c>
    </row>
    <row r="206" spans="1:9">
      <c r="A206" s="1">
        <v>40787</v>
      </c>
      <c r="B206" s="2">
        <v>482.65800000000002</v>
      </c>
      <c r="C206" s="3"/>
      <c r="E206" s="1">
        <v>40787</v>
      </c>
      <c r="F206" s="9">
        <f t="shared" si="6"/>
        <v>481.96600000000001</v>
      </c>
      <c r="H206" s="1">
        <v>40787</v>
      </c>
      <c r="I206" s="9">
        <f t="shared" si="7"/>
        <v>481.33</v>
      </c>
    </row>
    <row r="207" spans="1:9">
      <c r="A207" s="1">
        <v>40817</v>
      </c>
      <c r="B207" s="2">
        <v>483.75799999999998</v>
      </c>
      <c r="C207" s="3"/>
      <c r="E207" s="1">
        <v>40817</v>
      </c>
      <c r="F207" s="9">
        <f t="shared" si="6"/>
        <v>482.65800000000002</v>
      </c>
      <c r="H207" s="1">
        <v>40817</v>
      </c>
      <c r="I207" s="9">
        <f t="shared" si="7"/>
        <v>481.96600000000001</v>
      </c>
    </row>
    <row r="208" spans="1:9">
      <c r="A208" s="1">
        <v>40848</v>
      </c>
      <c r="B208" s="2">
        <v>487.221</v>
      </c>
      <c r="C208" s="3"/>
      <c r="E208" s="1">
        <v>40848</v>
      </c>
      <c r="F208" s="9">
        <f t="shared" si="6"/>
        <v>483.75799999999998</v>
      </c>
      <c r="H208" s="1">
        <v>40848</v>
      </c>
      <c r="I208" s="9">
        <f t="shared" si="7"/>
        <v>482.65800000000002</v>
      </c>
    </row>
    <row r="209" spans="1:9">
      <c r="A209" s="1">
        <v>40878</v>
      </c>
      <c r="B209" s="2">
        <v>487.74900000000002</v>
      </c>
      <c r="C209" s="3"/>
      <c r="E209" s="1">
        <v>40878</v>
      </c>
      <c r="F209" s="9">
        <f t="shared" si="6"/>
        <v>487.221</v>
      </c>
      <c r="H209" s="1">
        <v>40878</v>
      </c>
      <c r="I209" s="9">
        <f t="shared" si="7"/>
        <v>483.75799999999998</v>
      </c>
    </row>
    <row r="210" spans="1:9">
      <c r="A210" s="1">
        <v>40909</v>
      </c>
      <c r="B210" s="2">
        <v>492.10599999999999</v>
      </c>
      <c r="C210" s="3"/>
      <c r="E210" s="1">
        <v>40909</v>
      </c>
      <c r="F210" s="9">
        <f t="shared" si="6"/>
        <v>487.74900000000002</v>
      </c>
      <c r="H210" s="1">
        <v>40909</v>
      </c>
      <c r="I210" s="9">
        <f t="shared" si="7"/>
        <v>487.221</v>
      </c>
    </row>
    <row r="211" spans="1:9">
      <c r="A211" s="1">
        <v>40940</v>
      </c>
      <c r="B211" s="2">
        <v>493.584</v>
      </c>
      <c r="C211" s="3"/>
      <c r="E211" s="1">
        <v>40940</v>
      </c>
      <c r="F211" s="9">
        <f t="shared" si="6"/>
        <v>492.10599999999999</v>
      </c>
      <c r="H211" s="1">
        <v>40940</v>
      </c>
      <c r="I211" s="9">
        <f t="shared" si="7"/>
        <v>487.74900000000002</v>
      </c>
    </row>
    <row r="212" spans="1:9">
      <c r="A212" s="1">
        <v>40969</v>
      </c>
      <c r="B212" s="2">
        <v>496.07900000000001</v>
      </c>
      <c r="C212" s="3"/>
      <c r="E212" s="1">
        <v>40969</v>
      </c>
      <c r="F212" s="9">
        <f t="shared" si="6"/>
        <v>493.584</v>
      </c>
      <c r="H212" s="1">
        <v>40969</v>
      </c>
      <c r="I212" s="9">
        <f t="shared" si="7"/>
        <v>492.10599999999999</v>
      </c>
    </row>
    <row r="213" spans="1:9">
      <c r="A213" s="1">
        <v>41000</v>
      </c>
      <c r="B213" s="2">
        <v>499.791</v>
      </c>
      <c r="C213" s="3"/>
      <c r="E213" s="1">
        <v>41000</v>
      </c>
      <c r="F213" s="9">
        <f t="shared" si="6"/>
        <v>496.07900000000001</v>
      </c>
      <c r="H213" s="1">
        <v>41000</v>
      </c>
      <c r="I213" s="9">
        <f t="shared" si="7"/>
        <v>493.584</v>
      </c>
    </row>
    <row r="214" spans="1:9">
      <c r="A214" s="1">
        <v>41030</v>
      </c>
      <c r="B214" s="2">
        <v>509.18400000000003</v>
      </c>
      <c r="C214" s="3"/>
      <c r="E214" s="1">
        <v>41030</v>
      </c>
      <c r="F214" s="9">
        <f t="shared" si="6"/>
        <v>499.791</v>
      </c>
      <c r="H214" s="1">
        <v>41030</v>
      </c>
      <c r="I214" s="9">
        <f t="shared" si="7"/>
        <v>496.07900000000001</v>
      </c>
    </row>
    <row r="215" spans="1:9">
      <c r="A215" s="1">
        <v>41061</v>
      </c>
      <c r="B215" s="2">
        <v>512.90300000000002</v>
      </c>
      <c r="C215" s="3"/>
      <c r="E215" s="1">
        <v>41061</v>
      </c>
      <c r="F215" s="9">
        <f t="shared" si="6"/>
        <v>509.18400000000003</v>
      </c>
      <c r="H215" s="1">
        <v>41061</v>
      </c>
      <c r="I215" s="9">
        <f t="shared" si="7"/>
        <v>499.791</v>
      </c>
    </row>
    <row r="216" spans="1:9">
      <c r="A216" s="1">
        <v>41091</v>
      </c>
      <c r="B216" s="2">
        <v>516.31799999999998</v>
      </c>
      <c r="C216" s="3"/>
      <c r="E216" s="1">
        <v>41091</v>
      </c>
      <c r="F216" s="9">
        <f t="shared" si="6"/>
        <v>512.90300000000002</v>
      </c>
      <c r="H216" s="1">
        <v>41091</v>
      </c>
      <c r="I216" s="9">
        <f t="shared" si="7"/>
        <v>509.18400000000003</v>
      </c>
    </row>
    <row r="217" spans="1:9">
      <c r="A217" s="1">
        <v>41122</v>
      </c>
      <c r="B217" s="2">
        <v>517.65700000000004</v>
      </c>
      <c r="C217" s="3"/>
      <c r="E217" s="1">
        <v>41122</v>
      </c>
      <c r="F217" s="9">
        <f t="shared" si="6"/>
        <v>516.31799999999998</v>
      </c>
      <c r="H217" s="1">
        <v>41122</v>
      </c>
      <c r="I217" s="9">
        <f t="shared" si="7"/>
        <v>512.90300000000002</v>
      </c>
    </row>
    <row r="218" spans="1:9">
      <c r="A218" s="1">
        <v>41153</v>
      </c>
      <c r="B218" s="2">
        <v>518.81600000000003</v>
      </c>
      <c r="C218" s="3"/>
      <c r="E218" s="1">
        <v>41153</v>
      </c>
      <c r="F218" s="9">
        <f t="shared" si="6"/>
        <v>517.65700000000004</v>
      </c>
      <c r="H218" s="1">
        <v>41153</v>
      </c>
      <c r="I218" s="9">
        <f t="shared" si="7"/>
        <v>516.31799999999998</v>
      </c>
    </row>
    <row r="219" spans="1:9">
      <c r="A219" s="1">
        <v>41183</v>
      </c>
      <c r="B219" s="2">
        <v>519.90700000000004</v>
      </c>
      <c r="C219" s="3"/>
      <c r="E219" s="1">
        <v>41183</v>
      </c>
      <c r="F219" s="9">
        <f t="shared" si="6"/>
        <v>518.81600000000003</v>
      </c>
      <c r="H219" s="1">
        <v>41183</v>
      </c>
      <c r="I219" s="9">
        <f t="shared" si="7"/>
        <v>517.65700000000004</v>
      </c>
    </row>
    <row r="220" spans="1:9">
      <c r="A220" s="1">
        <v>41214</v>
      </c>
      <c r="B220" s="2">
        <v>521.63800000000003</v>
      </c>
      <c r="C220" s="3"/>
      <c r="E220" s="1">
        <v>41214</v>
      </c>
      <c r="F220" s="9">
        <f t="shared" si="6"/>
        <v>519.90700000000004</v>
      </c>
      <c r="H220" s="1">
        <v>41214</v>
      </c>
      <c r="I220" s="9">
        <f t="shared" si="7"/>
        <v>518.81600000000003</v>
      </c>
    </row>
    <row r="221" spans="1:9">
      <c r="A221" s="1">
        <v>41244</v>
      </c>
      <c r="B221" s="2">
        <v>522.47400000000005</v>
      </c>
      <c r="C221" s="3"/>
      <c r="E221" s="1">
        <v>41244</v>
      </c>
      <c r="F221" s="9">
        <f t="shared" si="6"/>
        <v>521.63800000000003</v>
      </c>
      <c r="H221" s="1">
        <v>41244</v>
      </c>
      <c r="I221" s="9">
        <f t="shared" si="7"/>
        <v>519.90700000000004</v>
      </c>
    </row>
    <row r="222" spans="1:9">
      <c r="A222" s="1">
        <v>41275</v>
      </c>
      <c r="B222" s="2">
        <v>525.85</v>
      </c>
      <c r="C222" s="3"/>
      <c r="E222" s="1">
        <v>41275</v>
      </c>
      <c r="F222" s="9">
        <f t="shared" si="6"/>
        <v>522.47400000000005</v>
      </c>
      <c r="H222" s="1">
        <v>41275</v>
      </c>
      <c r="I222" s="9">
        <f t="shared" si="7"/>
        <v>521.63800000000003</v>
      </c>
    </row>
    <row r="223" spans="1:9">
      <c r="A223" s="1">
        <v>41306</v>
      </c>
      <c r="B223" s="2">
        <v>529.029</v>
      </c>
      <c r="C223" s="3"/>
      <c r="E223" s="1">
        <v>41306</v>
      </c>
      <c r="F223" s="9">
        <f t="shared" si="6"/>
        <v>525.85</v>
      </c>
      <c r="H223" s="1">
        <v>41306</v>
      </c>
      <c r="I223" s="9">
        <f t="shared" si="7"/>
        <v>522.47400000000005</v>
      </c>
    </row>
    <row r="224" spans="1:9">
      <c r="A224" s="1">
        <v>41334</v>
      </c>
      <c r="B224" s="2">
        <v>531.69100000000003</v>
      </c>
      <c r="C224" s="3"/>
      <c r="E224" s="1">
        <v>41334</v>
      </c>
      <c r="F224" s="9">
        <f t="shared" si="6"/>
        <v>529.029</v>
      </c>
      <c r="H224" s="1">
        <v>41334</v>
      </c>
      <c r="I224" s="9">
        <f t="shared" si="7"/>
        <v>525.85</v>
      </c>
    </row>
    <row r="225" spans="1:9">
      <c r="A225" s="1">
        <v>41365</v>
      </c>
      <c r="B225" s="2">
        <v>535.601</v>
      </c>
      <c r="C225" s="3"/>
      <c r="E225" s="1">
        <v>41365</v>
      </c>
      <c r="F225" s="9">
        <f t="shared" si="6"/>
        <v>531.69100000000003</v>
      </c>
      <c r="H225" s="1">
        <v>41365</v>
      </c>
      <c r="I225" s="9">
        <f t="shared" si="7"/>
        <v>529.029</v>
      </c>
    </row>
    <row r="226" spans="1:9">
      <c r="A226" s="1">
        <v>41395</v>
      </c>
      <c r="B226" s="2">
        <v>547.65499999999997</v>
      </c>
      <c r="C226" s="3"/>
      <c r="E226" s="1">
        <v>41395</v>
      </c>
      <c r="F226" s="9">
        <f t="shared" si="6"/>
        <v>535.601</v>
      </c>
      <c r="H226" s="1">
        <v>41395</v>
      </c>
      <c r="I226" s="9">
        <f t="shared" si="7"/>
        <v>531.69100000000003</v>
      </c>
    </row>
    <row r="227" spans="1:9">
      <c r="A227" s="1">
        <v>41426</v>
      </c>
      <c r="B227" s="2">
        <v>553.94799999999998</v>
      </c>
      <c r="C227" s="3"/>
      <c r="E227" s="1">
        <v>41426</v>
      </c>
      <c r="F227" s="9">
        <f t="shared" si="6"/>
        <v>547.65499999999997</v>
      </c>
      <c r="H227" s="1">
        <v>41426</v>
      </c>
      <c r="I227" s="9">
        <f t="shared" si="7"/>
        <v>535.601</v>
      </c>
    </row>
    <row r="228" spans="1:9">
      <c r="A228" s="1">
        <v>41456</v>
      </c>
      <c r="B228" s="2">
        <v>556.6</v>
      </c>
      <c r="C228" s="3"/>
      <c r="E228" s="1">
        <v>41456</v>
      </c>
      <c r="F228" s="9">
        <f t="shared" si="6"/>
        <v>553.94799999999998</v>
      </c>
      <c r="H228" s="1">
        <v>41456</v>
      </c>
      <c r="I228" s="9">
        <f t="shared" si="7"/>
        <v>547.65499999999997</v>
      </c>
    </row>
    <row r="229" spans="1:9">
      <c r="A229" s="1">
        <v>41487</v>
      </c>
      <c r="B229" s="2">
        <v>558.34</v>
      </c>
      <c r="C229" s="3"/>
      <c r="E229" s="1">
        <v>41487</v>
      </c>
      <c r="F229" s="9">
        <f t="shared" si="6"/>
        <v>556.6</v>
      </c>
      <c r="H229" s="1">
        <v>41487</v>
      </c>
      <c r="I229" s="9">
        <f t="shared" si="7"/>
        <v>553.94799999999998</v>
      </c>
    </row>
    <row r="230" spans="1:9">
      <c r="A230" s="1">
        <v>41518</v>
      </c>
      <c r="B230" s="2">
        <v>560.76700000000005</v>
      </c>
      <c r="C230" s="3"/>
      <c r="E230" s="1">
        <v>41518</v>
      </c>
      <c r="F230" s="9">
        <f t="shared" si="6"/>
        <v>558.34</v>
      </c>
      <c r="H230" s="1">
        <v>41518</v>
      </c>
      <c r="I230" s="9">
        <f t="shared" si="7"/>
        <v>556.6</v>
      </c>
    </row>
    <row r="231" spans="1:9">
      <c r="A231" s="1">
        <v>41548</v>
      </c>
      <c r="B231" s="2">
        <v>562.24099999999999</v>
      </c>
      <c r="C231" s="3"/>
      <c r="E231" s="1">
        <v>41548</v>
      </c>
      <c r="F231" s="9">
        <f t="shared" si="6"/>
        <v>560.76700000000005</v>
      </c>
      <c r="H231" s="1">
        <v>41548</v>
      </c>
      <c r="I231" s="9">
        <f t="shared" si="7"/>
        <v>558.34</v>
      </c>
    </row>
    <row r="232" spans="1:9">
      <c r="A232" s="1">
        <v>41579</v>
      </c>
      <c r="B232" s="2">
        <v>564.20100000000002</v>
      </c>
      <c r="C232" s="3"/>
      <c r="E232" s="1">
        <v>41579</v>
      </c>
      <c r="F232" s="9">
        <f t="shared" si="6"/>
        <v>562.24099999999999</v>
      </c>
      <c r="H232" s="1">
        <v>41579</v>
      </c>
      <c r="I232" s="9">
        <f t="shared" si="7"/>
        <v>560.76700000000005</v>
      </c>
    </row>
    <row r="233" spans="1:9">
      <c r="A233" s="1">
        <v>41609</v>
      </c>
      <c r="B233" s="2">
        <v>564.76499999999999</v>
      </c>
      <c r="C233" s="3"/>
      <c r="E233" s="1">
        <v>41609</v>
      </c>
      <c r="F233" s="9">
        <f t="shared" si="6"/>
        <v>564.20100000000002</v>
      </c>
      <c r="H233" s="1">
        <v>41609</v>
      </c>
      <c r="I233" s="9">
        <f t="shared" si="7"/>
        <v>562.24099999999999</v>
      </c>
    </row>
    <row r="234" spans="1:9">
      <c r="A234" s="1">
        <v>41640</v>
      </c>
      <c r="B234" s="2">
        <v>569.72</v>
      </c>
      <c r="C234" s="3"/>
      <c r="E234" s="1">
        <v>41640</v>
      </c>
      <c r="F234" s="9">
        <f t="shared" si="6"/>
        <v>564.76499999999999</v>
      </c>
      <c r="H234" s="1">
        <v>41640</v>
      </c>
      <c r="I234" s="9">
        <f t="shared" si="7"/>
        <v>564.20100000000002</v>
      </c>
    </row>
    <row r="235" spans="1:9">
      <c r="A235" s="1">
        <v>41671</v>
      </c>
      <c r="B235" s="2">
        <v>571.577</v>
      </c>
      <c r="C235" s="3"/>
      <c r="E235" s="1">
        <v>41671</v>
      </c>
      <c r="F235" s="9">
        <f t="shared" si="6"/>
        <v>569.72</v>
      </c>
      <c r="H235" s="1">
        <v>41671</v>
      </c>
      <c r="I235" s="9">
        <f t="shared" si="7"/>
        <v>564.76499999999999</v>
      </c>
    </row>
    <row r="236" spans="1:9">
      <c r="A236" s="1">
        <v>41699</v>
      </c>
      <c r="B236" s="2">
        <v>573.15599999999995</v>
      </c>
      <c r="C236" s="3"/>
      <c r="E236" s="1">
        <v>41699</v>
      </c>
      <c r="F236" s="9">
        <f t="shared" si="6"/>
        <v>571.577</v>
      </c>
      <c r="H236" s="1">
        <v>41699</v>
      </c>
      <c r="I236" s="9">
        <f t="shared" si="7"/>
        <v>569.72</v>
      </c>
    </row>
    <row r="237" spans="1:9">
      <c r="A237" s="1">
        <v>41730</v>
      </c>
      <c r="B237" s="2">
        <v>578.22400000000005</v>
      </c>
      <c r="C237" s="3"/>
      <c r="E237" s="1">
        <v>41730</v>
      </c>
      <c r="F237" s="9">
        <f t="shared" si="6"/>
        <v>573.15599999999995</v>
      </c>
      <c r="H237" s="1">
        <v>41730</v>
      </c>
      <c r="I237" s="9">
        <f t="shared" si="7"/>
        <v>571.577</v>
      </c>
    </row>
    <row r="238" spans="1:9">
      <c r="A238" s="1">
        <v>41760</v>
      </c>
      <c r="B238" s="2">
        <v>590.09900000000005</v>
      </c>
      <c r="C238" s="3"/>
      <c r="E238" s="1">
        <v>41760</v>
      </c>
      <c r="F238" s="9">
        <f t="shared" si="6"/>
        <v>578.22400000000005</v>
      </c>
      <c r="H238" s="1">
        <v>41760</v>
      </c>
      <c r="I238" s="9">
        <f t="shared" si="7"/>
        <v>573.15599999999995</v>
      </c>
    </row>
    <row r="239" spans="1:9">
      <c r="A239" s="1">
        <v>41791</v>
      </c>
      <c r="B239" s="2">
        <v>594.01300000000003</v>
      </c>
      <c r="C239" s="3"/>
      <c r="E239" s="1">
        <v>41791</v>
      </c>
      <c r="F239" s="9">
        <f t="shared" si="6"/>
        <v>590.09900000000005</v>
      </c>
      <c r="H239" s="1">
        <v>41791</v>
      </c>
      <c r="I239" s="9">
        <f t="shared" si="7"/>
        <v>578.22400000000005</v>
      </c>
    </row>
    <row r="240" spans="1:9">
      <c r="A240" s="1">
        <v>41821</v>
      </c>
      <c r="B240" s="2">
        <v>598.44100000000003</v>
      </c>
      <c r="C240" s="3"/>
      <c r="E240" s="1">
        <v>41821</v>
      </c>
      <c r="F240" s="9">
        <f t="shared" si="6"/>
        <v>594.01300000000003</v>
      </c>
      <c r="H240" s="1">
        <v>41821</v>
      </c>
      <c r="I240" s="9">
        <f t="shared" si="7"/>
        <v>590.09900000000005</v>
      </c>
    </row>
    <row r="241" spans="1:9">
      <c r="A241" s="1">
        <v>41852</v>
      </c>
      <c r="B241" s="2">
        <v>598.89800000000002</v>
      </c>
      <c r="C241" s="3"/>
      <c r="E241" s="1">
        <v>41852</v>
      </c>
      <c r="F241" s="9">
        <f t="shared" si="6"/>
        <v>598.44100000000003</v>
      </c>
      <c r="H241" s="1">
        <v>41852</v>
      </c>
      <c r="I241" s="9">
        <f t="shared" si="7"/>
        <v>594.01300000000003</v>
      </c>
    </row>
    <row r="242" spans="1:9">
      <c r="A242" s="1">
        <v>41883</v>
      </c>
      <c r="B242" s="2">
        <v>599.82299999999998</v>
      </c>
      <c r="C242" s="3"/>
      <c r="E242" s="1">
        <v>41883</v>
      </c>
      <c r="F242" s="9">
        <f t="shared" si="6"/>
        <v>598.89800000000002</v>
      </c>
      <c r="H242" s="1">
        <v>41883</v>
      </c>
      <c r="I242" s="9">
        <f t="shared" si="7"/>
        <v>598.44100000000003</v>
      </c>
    </row>
    <row r="243" spans="1:9">
      <c r="A243" s="1">
        <v>41913</v>
      </c>
      <c r="B243" s="2">
        <v>600.86500000000001</v>
      </c>
      <c r="C243" s="3"/>
      <c r="E243" s="1">
        <v>41913</v>
      </c>
      <c r="F243" s="9">
        <f t="shared" si="6"/>
        <v>599.82299999999998</v>
      </c>
      <c r="H243" s="1">
        <v>41913</v>
      </c>
      <c r="I243" s="9">
        <f t="shared" si="7"/>
        <v>598.89800000000002</v>
      </c>
    </row>
    <row r="244" spans="1:9">
      <c r="A244" s="1">
        <v>41944</v>
      </c>
      <c r="B244" s="2">
        <v>603.524</v>
      </c>
      <c r="C244" s="3"/>
      <c r="E244" s="1">
        <v>41944</v>
      </c>
      <c r="F244" s="9">
        <f t="shared" si="6"/>
        <v>600.86500000000001</v>
      </c>
      <c r="H244" s="1">
        <v>41944</v>
      </c>
      <c r="I244" s="9">
        <f t="shared" si="7"/>
        <v>599.82299999999998</v>
      </c>
    </row>
    <row r="245" spans="1:9">
      <c r="A245" s="1">
        <v>41974</v>
      </c>
      <c r="B245" s="2">
        <v>604.02599999999995</v>
      </c>
      <c r="C245" s="3"/>
      <c r="E245" s="1">
        <v>41974</v>
      </c>
      <c r="F245" s="9">
        <f t="shared" si="6"/>
        <v>603.524</v>
      </c>
      <c r="H245" s="1">
        <v>41974</v>
      </c>
      <c r="I245" s="9">
        <f t="shared" si="7"/>
        <v>600.86500000000001</v>
      </c>
    </row>
    <row r="246" spans="1:9">
      <c r="A246" s="1">
        <v>42005</v>
      </c>
      <c r="B246" s="2">
        <v>609.56799999999998</v>
      </c>
      <c r="C246" s="3"/>
      <c r="E246" s="1">
        <v>42005</v>
      </c>
      <c r="F246" s="9">
        <f t="shared" si="6"/>
        <v>604.02599999999995</v>
      </c>
      <c r="H246" s="1">
        <v>42005</v>
      </c>
      <c r="I246" s="9">
        <f t="shared" si="7"/>
        <v>603.524</v>
      </c>
    </row>
    <row r="247" spans="1:9">
      <c r="A247" s="1">
        <v>42036</v>
      </c>
      <c r="B247" s="2">
        <v>611.447</v>
      </c>
      <c r="C247" s="3"/>
      <c r="E247" s="1">
        <v>42036</v>
      </c>
      <c r="F247" s="9">
        <f t="shared" si="6"/>
        <v>609.56799999999998</v>
      </c>
      <c r="H247" s="1">
        <v>42036</v>
      </c>
      <c r="I247" s="9">
        <f t="shared" si="7"/>
        <v>604.02599999999995</v>
      </c>
    </row>
    <row r="248" spans="1:9">
      <c r="A248" s="1">
        <v>42064</v>
      </c>
      <c r="B248" s="2">
        <v>615.24800000000005</v>
      </c>
      <c r="C248" s="3"/>
      <c r="E248" s="1">
        <v>42064</v>
      </c>
      <c r="F248" s="9">
        <f t="shared" si="6"/>
        <v>611.447</v>
      </c>
      <c r="H248" s="1">
        <v>42064</v>
      </c>
      <c r="I248" s="9">
        <f t="shared" si="7"/>
        <v>609.56799999999998</v>
      </c>
    </row>
    <row r="249" spans="1:9">
      <c r="A249" s="1">
        <v>42095</v>
      </c>
      <c r="B249" s="2">
        <v>618.05999999999995</v>
      </c>
      <c r="C249" s="3"/>
      <c r="E249" s="1">
        <v>42095</v>
      </c>
      <c r="F249" s="9">
        <f t="shared" si="6"/>
        <v>615.24800000000005</v>
      </c>
      <c r="H249" s="1">
        <v>42095</v>
      </c>
      <c r="I249" s="9">
        <f t="shared" si="7"/>
        <v>611.447</v>
      </c>
    </row>
    <row r="250" spans="1:9">
      <c r="A250" s="1">
        <v>42125</v>
      </c>
      <c r="B250" s="2">
        <v>623.95100000000002</v>
      </c>
      <c r="C250" s="3"/>
      <c r="E250" s="1">
        <v>42125</v>
      </c>
      <c r="F250" s="9">
        <f t="shared" si="6"/>
        <v>618.05999999999995</v>
      </c>
      <c r="H250" s="1">
        <v>42125</v>
      </c>
      <c r="I250" s="9">
        <f t="shared" si="7"/>
        <v>615.24800000000005</v>
      </c>
    </row>
    <row r="251" spans="1:9">
      <c r="A251" s="1">
        <v>42156</v>
      </c>
      <c r="B251" s="2">
        <v>635.40300000000002</v>
      </c>
      <c r="C251" s="3"/>
      <c r="E251" s="1">
        <v>42156</v>
      </c>
      <c r="F251" s="9">
        <f t="shared" si="6"/>
        <v>623.95100000000002</v>
      </c>
      <c r="H251" s="1">
        <v>42156</v>
      </c>
      <c r="I251" s="9">
        <f t="shared" si="7"/>
        <v>618.05999999999995</v>
      </c>
    </row>
    <row r="252" spans="1:9">
      <c r="A252" s="1">
        <v>42186</v>
      </c>
      <c r="B252" s="2">
        <v>638.88</v>
      </c>
      <c r="C252" s="3"/>
      <c r="E252" s="1">
        <v>42186</v>
      </c>
      <c r="F252" s="9">
        <f t="shared" si="6"/>
        <v>635.40300000000002</v>
      </c>
      <c r="H252" s="1">
        <v>42186</v>
      </c>
      <c r="I252" s="9">
        <f t="shared" si="7"/>
        <v>623.95100000000002</v>
      </c>
    </row>
    <row r="253" spans="1:9">
      <c r="A253" s="1">
        <v>42217</v>
      </c>
      <c r="B253" s="2">
        <v>642.64400000000001</v>
      </c>
      <c r="C253" s="3"/>
      <c r="E253" s="1">
        <v>42217</v>
      </c>
      <c r="F253" s="9">
        <f t="shared" si="6"/>
        <v>638.88</v>
      </c>
      <c r="H253" s="1">
        <v>42217</v>
      </c>
      <c r="I253" s="9">
        <f t="shared" si="7"/>
        <v>635.40300000000002</v>
      </c>
    </row>
    <row r="254" spans="1:9">
      <c r="A254" s="1">
        <v>42248</v>
      </c>
      <c r="B254" s="2">
        <v>644.04600000000005</v>
      </c>
      <c r="C254" s="3"/>
      <c r="E254" s="1">
        <v>42248</v>
      </c>
      <c r="F254" s="9">
        <f t="shared" si="6"/>
        <v>642.64400000000001</v>
      </c>
      <c r="H254" s="1">
        <v>42248</v>
      </c>
      <c r="I254" s="9">
        <f t="shared" si="7"/>
        <v>638.88</v>
      </c>
    </row>
    <row r="255" spans="1:9">
      <c r="A255" s="1">
        <v>42278</v>
      </c>
      <c r="B255" s="2">
        <v>646.35500000000002</v>
      </c>
      <c r="C255" s="3"/>
      <c r="E255" s="1">
        <v>42278</v>
      </c>
      <c r="F255" s="9">
        <f t="shared" si="6"/>
        <v>644.04600000000005</v>
      </c>
      <c r="H255" s="1">
        <v>42278</v>
      </c>
      <c r="I255" s="9">
        <f t="shared" si="7"/>
        <v>642.64400000000001</v>
      </c>
    </row>
    <row r="256" spans="1:9">
      <c r="A256" s="1">
        <v>42309</v>
      </c>
      <c r="B256" s="2">
        <v>648.54200000000003</v>
      </c>
      <c r="C256" s="3"/>
      <c r="E256" s="1">
        <v>42309</v>
      </c>
      <c r="F256" s="9">
        <f t="shared" si="6"/>
        <v>646.35500000000002</v>
      </c>
      <c r="H256" s="1">
        <v>42309</v>
      </c>
      <c r="I256" s="9">
        <f t="shared" si="7"/>
        <v>644.04600000000005</v>
      </c>
    </row>
    <row r="257" spans="1:9">
      <c r="A257" s="1">
        <v>42339</v>
      </c>
      <c r="B257" s="2">
        <v>649.21600000000001</v>
      </c>
      <c r="C257" s="3"/>
      <c r="E257" s="1">
        <v>42339</v>
      </c>
      <c r="F257" s="9">
        <f t="shared" si="6"/>
        <v>648.54200000000003</v>
      </c>
      <c r="H257" s="1">
        <v>42339</v>
      </c>
      <c r="I257" s="9">
        <f t="shared" si="7"/>
        <v>646.35500000000002</v>
      </c>
    </row>
    <row r="258" spans="1:9">
      <c r="A258" s="1">
        <v>42370</v>
      </c>
      <c r="B258" s="2">
        <v>651.75900000000001</v>
      </c>
      <c r="C258" s="3"/>
      <c r="E258" s="1">
        <v>42370</v>
      </c>
      <c r="F258" s="9">
        <f t="shared" ref="F258:F321" si="8">B257</f>
        <v>649.21600000000001</v>
      </c>
      <c r="H258" s="1">
        <v>42370</v>
      </c>
      <c r="I258" s="9">
        <f t="shared" si="7"/>
        <v>648.54200000000003</v>
      </c>
    </row>
    <row r="259" spans="1:9">
      <c r="A259" s="1">
        <v>42401</v>
      </c>
      <c r="B259" s="2">
        <v>655.26300000000003</v>
      </c>
      <c r="C259" s="3"/>
      <c r="E259" s="1">
        <v>42401</v>
      </c>
      <c r="F259" s="9">
        <f t="shared" si="8"/>
        <v>651.75900000000001</v>
      </c>
      <c r="H259" s="1">
        <v>42401</v>
      </c>
      <c r="I259" s="9">
        <f t="shared" si="7"/>
        <v>649.21600000000001</v>
      </c>
    </row>
    <row r="260" spans="1:9">
      <c r="A260" s="1">
        <v>42430</v>
      </c>
      <c r="B260" s="2">
        <v>659.44600000000003</v>
      </c>
      <c r="C260" s="3"/>
      <c r="E260" s="1">
        <v>42430</v>
      </c>
      <c r="F260" s="9">
        <f t="shared" si="8"/>
        <v>655.26300000000003</v>
      </c>
      <c r="H260" s="1">
        <v>42430</v>
      </c>
      <c r="I260" s="9">
        <f t="shared" ref="I260:I323" si="9">B258</f>
        <v>651.75900000000001</v>
      </c>
    </row>
    <row r="261" spans="1:9">
      <c r="A261" s="1">
        <v>42461</v>
      </c>
      <c r="B261" s="2">
        <v>663.05700000000002</v>
      </c>
      <c r="C261" s="3"/>
      <c r="E261" s="1">
        <v>42461</v>
      </c>
      <c r="F261" s="9">
        <f t="shared" si="8"/>
        <v>659.44600000000003</v>
      </c>
      <c r="H261" s="1">
        <v>42461</v>
      </c>
      <c r="I261" s="9">
        <f t="shared" si="9"/>
        <v>655.26300000000003</v>
      </c>
    </row>
    <row r="262" spans="1:9">
      <c r="A262" s="1">
        <v>42491</v>
      </c>
      <c r="B262" s="2">
        <v>663.61</v>
      </c>
      <c r="C262" s="3"/>
      <c r="E262" s="1">
        <v>42491</v>
      </c>
      <c r="F262" s="9">
        <f t="shared" si="8"/>
        <v>663.05700000000002</v>
      </c>
      <c r="H262" s="1">
        <v>42491</v>
      </c>
      <c r="I262" s="9">
        <f t="shared" si="9"/>
        <v>659.44600000000003</v>
      </c>
    </row>
    <row r="263" spans="1:9">
      <c r="A263" s="1">
        <v>42522</v>
      </c>
      <c r="B263" s="2">
        <v>676.42</v>
      </c>
      <c r="C263" s="3"/>
      <c r="E263" s="1">
        <v>42522</v>
      </c>
      <c r="F263" s="9">
        <f t="shared" si="8"/>
        <v>663.61</v>
      </c>
      <c r="H263" s="1">
        <v>42522</v>
      </c>
      <c r="I263" s="9">
        <f t="shared" si="9"/>
        <v>663.05700000000002</v>
      </c>
    </row>
    <row r="264" spans="1:9">
      <c r="A264" s="1">
        <v>42552</v>
      </c>
      <c r="B264" s="2">
        <v>679.75099999999998</v>
      </c>
      <c r="C264" s="3"/>
      <c r="E264" s="1">
        <v>42552</v>
      </c>
      <c r="F264" s="9">
        <f t="shared" si="8"/>
        <v>676.42</v>
      </c>
      <c r="H264" s="1">
        <v>42552</v>
      </c>
      <c r="I264" s="9">
        <f t="shared" si="9"/>
        <v>663.61</v>
      </c>
    </row>
    <row r="265" spans="1:9">
      <c r="A265" s="1">
        <v>42583</v>
      </c>
      <c r="B265" s="2">
        <v>681.75599999999997</v>
      </c>
      <c r="C265" s="3"/>
      <c r="E265" s="1">
        <v>42583</v>
      </c>
      <c r="F265" s="9">
        <f t="shared" si="8"/>
        <v>679.75099999999998</v>
      </c>
      <c r="H265" s="1">
        <v>42583</v>
      </c>
      <c r="I265" s="9">
        <f t="shared" si="9"/>
        <v>676.42</v>
      </c>
    </row>
    <row r="266" spans="1:9">
      <c r="A266" s="1">
        <v>42614</v>
      </c>
      <c r="B266" s="2">
        <v>684.02499999999998</v>
      </c>
      <c r="C266" s="3"/>
      <c r="E266" s="1">
        <v>42614</v>
      </c>
      <c r="F266" s="9">
        <f t="shared" si="8"/>
        <v>681.75599999999997</v>
      </c>
      <c r="H266" s="1">
        <v>42614</v>
      </c>
      <c r="I266" s="9">
        <f t="shared" si="9"/>
        <v>679.75099999999998</v>
      </c>
    </row>
    <row r="267" spans="1:9">
      <c r="A267" s="1">
        <v>42644</v>
      </c>
      <c r="B267" s="2">
        <v>685.48900000000003</v>
      </c>
      <c r="C267" s="3"/>
      <c r="E267" s="1">
        <v>42644</v>
      </c>
      <c r="F267" s="9">
        <f t="shared" si="8"/>
        <v>684.02499999999998</v>
      </c>
      <c r="H267" s="1">
        <v>42644</v>
      </c>
      <c r="I267" s="9">
        <f t="shared" si="9"/>
        <v>681.75599999999997</v>
      </c>
    </row>
    <row r="268" spans="1:9">
      <c r="A268" s="1">
        <v>42675</v>
      </c>
      <c r="B268" s="2">
        <v>686.60699999999997</v>
      </c>
      <c r="C268" s="3"/>
      <c r="E268" s="1">
        <v>42675</v>
      </c>
      <c r="F268" s="9">
        <f t="shared" si="8"/>
        <v>685.48900000000003</v>
      </c>
      <c r="H268" s="1">
        <v>42675</v>
      </c>
      <c r="I268" s="9">
        <f t="shared" si="9"/>
        <v>684.02499999999998</v>
      </c>
    </row>
    <row r="269" spans="1:9">
      <c r="A269" s="1">
        <v>42705</v>
      </c>
      <c r="B269" s="2">
        <v>688.98500000000001</v>
      </c>
      <c r="C269" s="3"/>
      <c r="E269" s="1">
        <v>42705</v>
      </c>
      <c r="F269" s="9">
        <f t="shared" si="8"/>
        <v>686.60699999999997</v>
      </c>
      <c r="H269" s="1">
        <v>42705</v>
      </c>
      <c r="I269" s="9">
        <f t="shared" si="9"/>
        <v>685.48900000000003</v>
      </c>
    </row>
    <row r="270" spans="1:9">
      <c r="A270" s="1">
        <v>42736</v>
      </c>
      <c r="B270" s="2">
        <v>691.79200000000003</v>
      </c>
      <c r="C270" s="3"/>
      <c r="E270" s="1">
        <v>42736</v>
      </c>
      <c r="F270" s="9">
        <f t="shared" si="8"/>
        <v>688.98500000000001</v>
      </c>
      <c r="H270" s="1">
        <v>42736</v>
      </c>
      <c r="I270" s="9">
        <f t="shared" si="9"/>
        <v>686.60699999999997</v>
      </c>
    </row>
    <row r="271" spans="1:9">
      <c r="A271" s="1">
        <v>42767</v>
      </c>
      <c r="B271" s="2">
        <v>696.31399999999996</v>
      </c>
      <c r="C271" s="3"/>
      <c r="E271" s="1">
        <v>42767</v>
      </c>
      <c r="F271" s="9">
        <f t="shared" si="8"/>
        <v>691.79200000000003</v>
      </c>
      <c r="H271" s="1">
        <v>42767</v>
      </c>
      <c r="I271" s="9">
        <f t="shared" si="9"/>
        <v>688.98500000000001</v>
      </c>
    </row>
    <row r="272" spans="1:9">
      <c r="A272" s="1">
        <v>42795</v>
      </c>
      <c r="B272" s="2">
        <v>697.41</v>
      </c>
      <c r="C272" s="3"/>
      <c r="E272" s="1">
        <v>42795</v>
      </c>
      <c r="F272" s="9">
        <f t="shared" si="8"/>
        <v>696.31399999999996</v>
      </c>
      <c r="H272" s="1">
        <v>42795</v>
      </c>
      <c r="I272" s="9">
        <f t="shared" si="9"/>
        <v>691.79200000000003</v>
      </c>
    </row>
    <row r="273" spans="1:9">
      <c r="A273" s="1">
        <v>42826</v>
      </c>
      <c r="B273" s="2">
        <v>697.24400000000003</v>
      </c>
      <c r="C273" s="3"/>
      <c r="E273" s="1">
        <v>42826</v>
      </c>
      <c r="F273" s="9">
        <f t="shared" si="8"/>
        <v>697.41</v>
      </c>
      <c r="H273" s="1">
        <v>42826</v>
      </c>
      <c r="I273" s="9">
        <f t="shared" si="9"/>
        <v>696.31399999999996</v>
      </c>
    </row>
    <row r="274" spans="1:9">
      <c r="A274" s="1">
        <v>42856</v>
      </c>
      <c r="B274" s="2">
        <v>701.66399999999999</v>
      </c>
      <c r="C274" s="3"/>
      <c r="E274" s="1">
        <v>42856</v>
      </c>
      <c r="F274" s="9">
        <f t="shared" si="8"/>
        <v>697.24400000000003</v>
      </c>
      <c r="H274" s="1">
        <v>42856</v>
      </c>
      <c r="I274" s="9">
        <f t="shared" si="9"/>
        <v>697.41</v>
      </c>
    </row>
    <row r="275" spans="1:9">
      <c r="A275" s="1">
        <v>42887</v>
      </c>
      <c r="B275" s="2">
        <v>708.197</v>
      </c>
      <c r="C275" s="3"/>
      <c r="E275" s="1">
        <v>42887</v>
      </c>
      <c r="F275" s="9">
        <f t="shared" si="8"/>
        <v>701.66399999999999</v>
      </c>
      <c r="H275" s="1">
        <v>42887</v>
      </c>
      <c r="I275" s="9">
        <f t="shared" si="9"/>
        <v>697.24400000000003</v>
      </c>
    </row>
    <row r="276" spans="1:9">
      <c r="A276" s="1">
        <v>42917</v>
      </c>
      <c r="B276" s="2">
        <v>710.35500000000002</v>
      </c>
      <c r="C276" s="3"/>
      <c r="E276" s="1">
        <v>42917</v>
      </c>
      <c r="F276" s="9">
        <f t="shared" si="8"/>
        <v>708.197</v>
      </c>
      <c r="H276" s="1">
        <v>42917</v>
      </c>
      <c r="I276" s="9">
        <f t="shared" si="9"/>
        <v>701.66399999999999</v>
      </c>
    </row>
    <row r="277" spans="1:9">
      <c r="A277" s="1">
        <v>42948</v>
      </c>
      <c r="B277" s="2">
        <v>712.88400000000001</v>
      </c>
      <c r="C277" s="3"/>
      <c r="E277" s="1">
        <v>42948</v>
      </c>
      <c r="F277" s="9">
        <f t="shared" si="8"/>
        <v>710.35500000000002</v>
      </c>
      <c r="H277" s="1">
        <v>42948</v>
      </c>
      <c r="I277" s="9">
        <f t="shared" si="9"/>
        <v>708.197</v>
      </c>
    </row>
    <row r="278" spans="1:9">
      <c r="A278" s="1">
        <v>42979</v>
      </c>
      <c r="B278" s="2">
        <v>713.33</v>
      </c>
      <c r="C278" s="3"/>
      <c r="E278" s="1">
        <v>42979</v>
      </c>
      <c r="F278" s="9">
        <f t="shared" si="8"/>
        <v>712.88400000000001</v>
      </c>
      <c r="H278" s="1">
        <v>42979</v>
      </c>
      <c r="I278" s="9">
        <f t="shared" si="9"/>
        <v>710.35500000000002</v>
      </c>
    </row>
    <row r="279" spans="1:9">
      <c r="A279" s="1">
        <v>43009</v>
      </c>
      <c r="B279" s="2">
        <v>715.52700000000004</v>
      </c>
      <c r="C279" s="3"/>
      <c r="E279" s="1">
        <v>43009</v>
      </c>
      <c r="F279" s="9">
        <f t="shared" si="8"/>
        <v>713.33</v>
      </c>
      <c r="H279" s="1">
        <v>43009</v>
      </c>
      <c r="I279" s="9">
        <f t="shared" si="9"/>
        <v>712.88400000000001</v>
      </c>
    </row>
    <row r="280" spans="1:9">
      <c r="A280" s="1">
        <v>43040</v>
      </c>
      <c r="B280" s="2">
        <v>717.75099999999998</v>
      </c>
      <c r="C280" s="3"/>
      <c r="E280" s="1">
        <v>43040</v>
      </c>
      <c r="F280" s="9">
        <f t="shared" si="8"/>
        <v>715.52700000000004</v>
      </c>
      <c r="H280" s="1">
        <v>43040</v>
      </c>
      <c r="I280" s="9">
        <f t="shared" si="9"/>
        <v>713.33</v>
      </c>
    </row>
    <row r="281" spans="1:9">
      <c r="A281" s="1">
        <v>43070</v>
      </c>
      <c r="B281" s="2">
        <v>718.27599999999995</v>
      </c>
      <c r="C281" s="3"/>
      <c r="E281" s="1">
        <v>43070</v>
      </c>
      <c r="F281" s="9">
        <f t="shared" si="8"/>
        <v>717.75099999999998</v>
      </c>
      <c r="H281" s="1">
        <v>43070</v>
      </c>
      <c r="I281" s="9">
        <f t="shared" si="9"/>
        <v>715.52700000000004</v>
      </c>
    </row>
    <row r="282" spans="1:9">
      <c r="A282" s="1">
        <v>43101</v>
      </c>
      <c r="B282" s="2">
        <v>720.495</v>
      </c>
      <c r="C282" s="3"/>
      <c r="E282" s="1">
        <v>43101</v>
      </c>
      <c r="F282" s="9">
        <f t="shared" si="8"/>
        <v>718.27599999999995</v>
      </c>
      <c r="H282" s="1">
        <v>43101</v>
      </c>
      <c r="I282" s="9">
        <f t="shared" si="9"/>
        <v>717.75099999999998</v>
      </c>
    </row>
    <row r="283" spans="1:9">
      <c r="A283" s="1">
        <v>43132</v>
      </c>
      <c r="B283" s="2">
        <v>721.41399999999999</v>
      </c>
      <c r="C283" s="3"/>
      <c r="E283" s="1">
        <v>43132</v>
      </c>
      <c r="F283" s="9">
        <f t="shared" si="8"/>
        <v>720.495</v>
      </c>
      <c r="H283" s="1">
        <v>43132</v>
      </c>
      <c r="I283" s="9">
        <f t="shared" si="9"/>
        <v>718.27599999999995</v>
      </c>
    </row>
    <row r="284" spans="1:9">
      <c r="A284" s="1">
        <v>43160</v>
      </c>
      <c r="B284" s="2">
        <v>723.16300000000001</v>
      </c>
      <c r="C284" s="3"/>
      <c r="E284" s="1">
        <v>43160</v>
      </c>
      <c r="F284" s="9">
        <f t="shared" si="8"/>
        <v>721.41399999999999</v>
      </c>
      <c r="H284" s="1">
        <v>43160</v>
      </c>
      <c r="I284" s="9">
        <f t="shared" si="9"/>
        <v>720.495</v>
      </c>
    </row>
    <row r="285" spans="1:9">
      <c r="A285" s="1">
        <v>43191</v>
      </c>
      <c r="B285" s="2">
        <v>725.245</v>
      </c>
      <c r="C285" s="3"/>
      <c r="E285" s="1">
        <v>43191</v>
      </c>
      <c r="F285" s="9">
        <f t="shared" si="8"/>
        <v>723.16300000000001</v>
      </c>
      <c r="H285" s="1">
        <v>43191</v>
      </c>
      <c r="I285" s="9">
        <f t="shared" si="9"/>
        <v>721.41399999999999</v>
      </c>
    </row>
    <row r="286" spans="1:9">
      <c r="A286" s="1">
        <v>43221</v>
      </c>
      <c r="B286" s="2">
        <v>726.923</v>
      </c>
      <c r="C286" s="3"/>
      <c r="E286" s="1">
        <v>43221</v>
      </c>
      <c r="F286" s="9">
        <f t="shared" si="8"/>
        <v>725.245</v>
      </c>
      <c r="H286" s="1">
        <v>43221</v>
      </c>
      <c r="I286" s="9">
        <f t="shared" si="9"/>
        <v>723.16300000000001</v>
      </c>
    </row>
    <row r="287" spans="1:9">
      <c r="A287" s="1">
        <v>43252</v>
      </c>
      <c r="B287" s="2">
        <v>733.98400000000004</v>
      </c>
      <c r="C287" s="3"/>
      <c r="E287" s="1">
        <v>43252</v>
      </c>
      <c r="F287" s="9">
        <f t="shared" si="8"/>
        <v>726.923</v>
      </c>
      <c r="H287" s="1">
        <v>43252</v>
      </c>
      <c r="I287" s="9">
        <f t="shared" si="9"/>
        <v>725.245</v>
      </c>
    </row>
    <row r="288" spans="1:9">
      <c r="A288" s="1">
        <v>43282</v>
      </c>
      <c r="B288" s="2">
        <v>738.48699999999997</v>
      </c>
      <c r="C288" s="3"/>
      <c r="E288" s="1">
        <v>43282</v>
      </c>
      <c r="F288" s="9">
        <f t="shared" si="8"/>
        <v>733.98400000000004</v>
      </c>
      <c r="H288" s="1">
        <v>43282</v>
      </c>
      <c r="I288" s="9">
        <f t="shared" si="9"/>
        <v>726.923</v>
      </c>
    </row>
    <row r="289" spans="1:9">
      <c r="A289" s="1">
        <v>43313</v>
      </c>
      <c r="B289" s="2">
        <v>739.58299999999997</v>
      </c>
      <c r="C289" s="3"/>
      <c r="E289" s="1">
        <v>43313</v>
      </c>
      <c r="F289" s="9">
        <f t="shared" si="8"/>
        <v>738.48699999999997</v>
      </c>
      <c r="H289" s="1">
        <v>43313</v>
      </c>
      <c r="I289" s="9">
        <f t="shared" si="9"/>
        <v>733.98400000000004</v>
      </c>
    </row>
    <row r="290" spans="1:9">
      <c r="A290" s="1">
        <v>43344</v>
      </c>
      <c r="B290" s="2">
        <v>741.30499999999995</v>
      </c>
      <c r="C290" s="3"/>
      <c r="E290" s="1">
        <v>43344</v>
      </c>
      <c r="F290" s="9">
        <f t="shared" si="8"/>
        <v>739.58299999999997</v>
      </c>
      <c r="H290" s="1">
        <v>43344</v>
      </c>
      <c r="I290" s="9">
        <f t="shared" si="9"/>
        <v>738.48699999999997</v>
      </c>
    </row>
    <row r="291" spans="1:9">
      <c r="A291" s="1">
        <v>43374</v>
      </c>
      <c r="B291" s="2">
        <v>743.86599999999999</v>
      </c>
      <c r="C291" s="3"/>
      <c r="E291" s="1">
        <v>43374</v>
      </c>
      <c r="F291" s="9">
        <f t="shared" si="8"/>
        <v>741.30499999999995</v>
      </c>
      <c r="H291" s="1">
        <v>43374</v>
      </c>
      <c r="I291" s="9">
        <f t="shared" si="9"/>
        <v>739.58299999999997</v>
      </c>
    </row>
    <row r="292" spans="1:9">
      <c r="A292" s="1">
        <v>43405</v>
      </c>
      <c r="B292" s="2">
        <v>744.86500000000001</v>
      </c>
      <c r="C292" s="3"/>
      <c r="E292" s="1">
        <v>43405</v>
      </c>
      <c r="F292" s="9">
        <f t="shared" si="8"/>
        <v>743.86599999999999</v>
      </c>
      <c r="H292" s="1">
        <v>43405</v>
      </c>
      <c r="I292" s="9">
        <f t="shared" si="9"/>
        <v>741.30499999999995</v>
      </c>
    </row>
    <row r="293" spans="1:9">
      <c r="A293" s="1">
        <v>43435</v>
      </c>
      <c r="B293" s="2">
        <v>745.85599999999999</v>
      </c>
      <c r="C293" s="3"/>
      <c r="E293" s="1">
        <v>43435</v>
      </c>
      <c r="F293" s="9">
        <f t="shared" si="8"/>
        <v>744.86500000000001</v>
      </c>
      <c r="H293" s="1">
        <v>43435</v>
      </c>
      <c r="I293" s="9">
        <f t="shared" si="9"/>
        <v>743.86599999999999</v>
      </c>
    </row>
    <row r="294" spans="1:9">
      <c r="A294" s="1">
        <v>43466</v>
      </c>
      <c r="B294" s="2">
        <v>749.51700000000005</v>
      </c>
      <c r="C294" s="3"/>
      <c r="E294" s="1">
        <v>43466</v>
      </c>
      <c r="F294" s="9">
        <f t="shared" si="8"/>
        <v>745.85599999999999</v>
      </c>
      <c r="H294" s="1">
        <v>43466</v>
      </c>
      <c r="I294" s="9">
        <f t="shared" si="9"/>
        <v>744.86500000000001</v>
      </c>
    </row>
    <row r="295" spans="1:9">
      <c r="A295" s="1">
        <v>43497</v>
      </c>
      <c r="B295" s="2">
        <v>750.18</v>
      </c>
      <c r="C295" s="3"/>
      <c r="E295" s="1">
        <v>43497</v>
      </c>
      <c r="F295" s="9">
        <f t="shared" si="8"/>
        <v>749.51700000000005</v>
      </c>
      <c r="H295" s="1">
        <v>43497</v>
      </c>
      <c r="I295" s="9">
        <f t="shared" si="9"/>
        <v>745.85599999999999</v>
      </c>
    </row>
    <row r="296" spans="1:9">
      <c r="A296" s="1">
        <v>43525</v>
      </c>
      <c r="B296" s="2">
        <v>752.524</v>
      </c>
      <c r="C296" s="3"/>
      <c r="E296" s="1">
        <v>43525</v>
      </c>
      <c r="F296" s="9">
        <f t="shared" si="8"/>
        <v>750.18</v>
      </c>
      <c r="H296" s="1">
        <v>43525</v>
      </c>
      <c r="I296" s="9">
        <f t="shared" si="9"/>
        <v>749.51700000000005</v>
      </c>
    </row>
    <row r="297" spans="1:9">
      <c r="A297" s="1">
        <v>43556</v>
      </c>
      <c r="B297" s="2">
        <v>755.37300000000005</v>
      </c>
      <c r="C297" s="3"/>
      <c r="E297" s="1">
        <v>43556</v>
      </c>
      <c r="F297" s="9">
        <f t="shared" si="8"/>
        <v>752.524</v>
      </c>
      <c r="H297" s="1">
        <v>43556</v>
      </c>
      <c r="I297" s="9">
        <f t="shared" si="9"/>
        <v>750.18</v>
      </c>
    </row>
    <row r="298" spans="1:9">
      <c r="A298" s="1">
        <v>43586</v>
      </c>
      <c r="B298" s="2">
        <v>755.625</v>
      </c>
      <c r="C298" s="3"/>
      <c r="E298" s="1">
        <v>43586</v>
      </c>
      <c r="F298" s="9">
        <f t="shared" si="8"/>
        <v>755.37300000000005</v>
      </c>
      <c r="H298" s="1">
        <v>43586</v>
      </c>
      <c r="I298" s="9">
        <f t="shared" si="9"/>
        <v>752.524</v>
      </c>
    </row>
    <row r="299" spans="1:9">
      <c r="A299" s="1">
        <v>43617</v>
      </c>
      <c r="B299" s="2">
        <v>762.30399999999997</v>
      </c>
      <c r="C299" s="3"/>
      <c r="E299" s="1">
        <v>43617</v>
      </c>
      <c r="F299" s="9">
        <f t="shared" si="8"/>
        <v>755.625</v>
      </c>
      <c r="H299" s="1">
        <v>43617</v>
      </c>
      <c r="I299" s="9">
        <f t="shared" si="9"/>
        <v>755.37300000000005</v>
      </c>
    </row>
    <row r="300" spans="1:9">
      <c r="A300" s="1">
        <v>43647</v>
      </c>
      <c r="B300" s="2">
        <v>766.69899999999996</v>
      </c>
      <c r="C300" s="3"/>
      <c r="E300" s="1">
        <v>43647</v>
      </c>
      <c r="F300" s="9">
        <f t="shared" si="8"/>
        <v>762.30399999999997</v>
      </c>
      <c r="H300" s="1">
        <v>43647</v>
      </c>
      <c r="I300" s="9">
        <f t="shared" si="9"/>
        <v>755.625</v>
      </c>
    </row>
    <row r="301" spans="1:9">
      <c r="A301" s="1">
        <v>43678</v>
      </c>
      <c r="B301" s="2">
        <v>769.95100000000002</v>
      </c>
      <c r="C301" s="3"/>
      <c r="E301" s="1">
        <v>43678</v>
      </c>
      <c r="F301" s="9">
        <f t="shared" si="8"/>
        <v>766.69899999999996</v>
      </c>
      <c r="H301" s="1">
        <v>43678</v>
      </c>
      <c r="I301" s="9">
        <f t="shared" si="9"/>
        <v>762.30399999999997</v>
      </c>
    </row>
    <row r="302" spans="1:9">
      <c r="A302" s="1">
        <v>43709</v>
      </c>
      <c r="B302" s="2">
        <v>773.52</v>
      </c>
      <c r="C302" s="3"/>
      <c r="E302" s="1">
        <v>43709</v>
      </c>
      <c r="F302" s="9">
        <f t="shared" si="8"/>
        <v>769.95100000000002</v>
      </c>
      <c r="H302" s="1">
        <v>43709</v>
      </c>
      <c r="I302" s="9">
        <f t="shared" si="9"/>
        <v>766.69899999999996</v>
      </c>
    </row>
    <row r="303" spans="1:9">
      <c r="A303" s="1">
        <v>43739</v>
      </c>
      <c r="B303" s="2">
        <v>774.93899999999996</v>
      </c>
      <c r="C303" s="3"/>
      <c r="E303" s="1">
        <v>43739</v>
      </c>
      <c r="F303" s="9">
        <f t="shared" si="8"/>
        <v>773.52</v>
      </c>
      <c r="H303" s="1">
        <v>43739</v>
      </c>
      <c r="I303" s="9">
        <f t="shared" si="9"/>
        <v>769.95100000000002</v>
      </c>
    </row>
    <row r="304" spans="1:9">
      <c r="A304" s="1">
        <v>43770</v>
      </c>
      <c r="B304" s="2">
        <v>775.22500000000002</v>
      </c>
      <c r="C304" s="3"/>
      <c r="E304" s="1">
        <v>43770</v>
      </c>
      <c r="F304" s="9">
        <f t="shared" si="8"/>
        <v>774.93899999999996</v>
      </c>
      <c r="H304" s="1">
        <v>43770</v>
      </c>
      <c r="I304" s="9">
        <f t="shared" si="9"/>
        <v>773.52</v>
      </c>
    </row>
    <row r="305" spans="1:9">
      <c r="A305" s="1">
        <v>43800</v>
      </c>
      <c r="B305" s="2">
        <v>776.83900000000006</v>
      </c>
      <c r="C305" s="3"/>
      <c r="E305" s="1">
        <v>43800</v>
      </c>
      <c r="F305" s="9">
        <f t="shared" si="8"/>
        <v>775.22500000000002</v>
      </c>
      <c r="H305" s="1">
        <v>43800</v>
      </c>
      <c r="I305" s="9">
        <f t="shared" si="9"/>
        <v>774.93899999999996</v>
      </c>
    </row>
    <row r="306" spans="1:9">
      <c r="A306" s="1">
        <v>43831</v>
      </c>
      <c r="B306" s="2">
        <v>779.76599999999996</v>
      </c>
      <c r="C306" s="3"/>
      <c r="E306" s="1">
        <v>43831</v>
      </c>
      <c r="F306" s="9">
        <f t="shared" si="8"/>
        <v>776.83900000000006</v>
      </c>
      <c r="H306" s="1">
        <v>43831</v>
      </c>
      <c r="I306" s="9">
        <f t="shared" si="9"/>
        <v>775.22500000000002</v>
      </c>
    </row>
    <row r="307" spans="1:9">
      <c r="A307" s="1">
        <v>43862</v>
      </c>
      <c r="B307" s="2">
        <v>782.33600000000001</v>
      </c>
      <c r="C307" s="3"/>
      <c r="E307" s="1">
        <v>43862</v>
      </c>
      <c r="F307" s="9">
        <f t="shared" si="8"/>
        <v>779.76599999999996</v>
      </c>
      <c r="H307" s="1">
        <v>43862</v>
      </c>
      <c r="I307" s="9">
        <f t="shared" si="9"/>
        <v>776.83900000000006</v>
      </c>
    </row>
    <row r="308" spans="1:9">
      <c r="A308" s="1">
        <v>43891</v>
      </c>
      <c r="B308" s="2">
        <v>784.33799999999997</v>
      </c>
      <c r="C308" s="3"/>
      <c r="E308" s="1">
        <v>43891</v>
      </c>
      <c r="F308" s="9">
        <f t="shared" si="8"/>
        <v>782.33600000000001</v>
      </c>
      <c r="H308" s="1">
        <v>43891</v>
      </c>
      <c r="I308" s="9">
        <f t="shared" si="9"/>
        <v>779.76599999999996</v>
      </c>
    </row>
    <row r="309" spans="1:9">
      <c r="A309" s="1">
        <v>43922</v>
      </c>
      <c r="B309" s="2">
        <v>786.07</v>
      </c>
      <c r="C309" s="3"/>
      <c r="E309" s="1">
        <v>43922</v>
      </c>
      <c r="F309" s="9">
        <f t="shared" si="8"/>
        <v>784.33799999999997</v>
      </c>
      <c r="H309" s="1">
        <v>43922</v>
      </c>
      <c r="I309" s="9">
        <f t="shared" si="9"/>
        <v>782.33600000000001</v>
      </c>
    </row>
    <row r="310" spans="1:9">
      <c r="A310" s="1">
        <v>43952</v>
      </c>
      <c r="B310" s="2">
        <v>787.66600000000005</v>
      </c>
      <c r="C310" s="3"/>
      <c r="E310" s="1">
        <v>43952</v>
      </c>
      <c r="F310" s="9">
        <f t="shared" si="8"/>
        <v>786.07</v>
      </c>
      <c r="H310" s="1">
        <v>43952</v>
      </c>
      <c r="I310" s="9">
        <f t="shared" si="9"/>
        <v>784.33799999999997</v>
      </c>
    </row>
    <row r="311" spans="1:9">
      <c r="A311" s="1">
        <v>43983</v>
      </c>
      <c r="B311" s="2">
        <v>790.33100000000002</v>
      </c>
      <c r="C311" s="3"/>
      <c r="E311" s="1">
        <v>43983</v>
      </c>
      <c r="F311" s="9">
        <f t="shared" si="8"/>
        <v>787.66600000000005</v>
      </c>
      <c r="H311" s="1">
        <v>43983</v>
      </c>
      <c r="I311" s="9">
        <f t="shared" si="9"/>
        <v>786.07</v>
      </c>
    </row>
    <row r="312" spans="1:9">
      <c r="A312" s="1">
        <v>44013</v>
      </c>
      <c r="B312" s="2">
        <v>799.58900000000006</v>
      </c>
      <c r="C312" s="3"/>
      <c r="E312" s="1">
        <v>44013</v>
      </c>
      <c r="F312" s="9">
        <f t="shared" si="8"/>
        <v>790.33100000000002</v>
      </c>
      <c r="H312" s="1">
        <v>44013</v>
      </c>
      <c r="I312" s="9">
        <f t="shared" si="9"/>
        <v>787.66600000000005</v>
      </c>
    </row>
    <row r="313" spans="1:9">
      <c r="A313" s="1">
        <v>44044</v>
      </c>
      <c r="B313" s="2">
        <v>805.35599999999999</v>
      </c>
      <c r="C313" s="3"/>
      <c r="E313" s="1">
        <v>44044</v>
      </c>
      <c r="F313" s="9">
        <f t="shared" si="8"/>
        <v>799.58900000000006</v>
      </c>
      <c r="H313" s="1">
        <v>44044</v>
      </c>
      <c r="I313" s="9">
        <f t="shared" si="9"/>
        <v>790.33100000000002</v>
      </c>
    </row>
    <row r="314" spans="1:9">
      <c r="A314" s="1">
        <v>44075</v>
      </c>
      <c r="B314" s="2">
        <v>814.70100000000002</v>
      </c>
      <c r="C314" s="3"/>
      <c r="E314" s="1">
        <v>44075</v>
      </c>
      <c r="F314" s="9">
        <f t="shared" si="8"/>
        <v>805.35599999999999</v>
      </c>
      <c r="H314" s="1">
        <v>44075</v>
      </c>
      <c r="I314" s="9">
        <f t="shared" si="9"/>
        <v>799.58900000000006</v>
      </c>
    </row>
    <row r="315" spans="1:9">
      <c r="A315" s="1">
        <v>44105</v>
      </c>
      <c r="B315" s="2">
        <v>828.77800000000002</v>
      </c>
      <c r="C315" s="3"/>
      <c r="E315" s="1">
        <v>44105</v>
      </c>
      <c r="F315" s="9">
        <f t="shared" si="8"/>
        <v>814.70100000000002</v>
      </c>
      <c r="H315" s="1">
        <v>44105</v>
      </c>
      <c r="I315" s="9">
        <f t="shared" si="9"/>
        <v>805.35599999999999</v>
      </c>
    </row>
    <row r="316" spans="1:9">
      <c r="A316" s="1">
        <v>44136</v>
      </c>
      <c r="B316" s="2">
        <v>839.38199999999995</v>
      </c>
      <c r="C316" s="3"/>
      <c r="E316" s="1">
        <v>44136</v>
      </c>
      <c r="F316" s="9">
        <f t="shared" si="8"/>
        <v>828.77800000000002</v>
      </c>
      <c r="H316" s="1">
        <v>44136</v>
      </c>
      <c r="I316" s="9">
        <f t="shared" si="9"/>
        <v>814.70100000000002</v>
      </c>
    </row>
    <row r="317" spans="1:9">
      <c r="A317" s="1">
        <v>44166</v>
      </c>
      <c r="B317" s="2">
        <v>845.26800000000003</v>
      </c>
      <c r="C317" s="3"/>
      <c r="E317" s="1">
        <v>44166</v>
      </c>
      <c r="F317" s="9">
        <f t="shared" si="8"/>
        <v>839.38199999999995</v>
      </c>
      <c r="H317" s="1">
        <v>44166</v>
      </c>
      <c r="I317" s="9">
        <f t="shared" si="9"/>
        <v>828.77800000000002</v>
      </c>
    </row>
    <row r="318" spans="1:9">
      <c r="A318" s="1">
        <v>44197</v>
      </c>
      <c r="B318" s="2">
        <v>852.80899999999997</v>
      </c>
      <c r="C318" s="3"/>
      <c r="E318" s="1">
        <v>44197</v>
      </c>
      <c r="F318" s="9">
        <f t="shared" si="8"/>
        <v>845.26800000000003</v>
      </c>
      <c r="H318" s="1">
        <v>44197</v>
      </c>
      <c r="I318" s="9">
        <f t="shared" si="9"/>
        <v>839.38199999999995</v>
      </c>
    </row>
    <row r="319" spans="1:9">
      <c r="A319" s="1">
        <v>44228</v>
      </c>
      <c r="B319" s="2">
        <v>868.92899999999997</v>
      </c>
      <c r="C319" s="3"/>
      <c r="E319" s="1">
        <v>44228</v>
      </c>
      <c r="F319" s="9">
        <f t="shared" si="8"/>
        <v>852.80899999999997</v>
      </c>
      <c r="H319" s="1">
        <v>44228</v>
      </c>
      <c r="I319" s="9">
        <f t="shared" si="9"/>
        <v>845.26800000000003</v>
      </c>
    </row>
    <row r="320" spans="1:9">
      <c r="A320" s="1">
        <v>44256</v>
      </c>
      <c r="B320" s="2">
        <v>880.26499999999999</v>
      </c>
      <c r="C320" s="3"/>
      <c r="E320" s="1">
        <v>44256</v>
      </c>
      <c r="F320" s="9">
        <f t="shared" si="8"/>
        <v>868.92899999999997</v>
      </c>
      <c r="H320" s="1">
        <v>44256</v>
      </c>
      <c r="I320" s="9">
        <f t="shared" si="9"/>
        <v>852.80899999999997</v>
      </c>
    </row>
    <row r="321" spans="1:9">
      <c r="A321" s="1">
        <v>44287</v>
      </c>
      <c r="B321" s="2">
        <v>888.19100000000003</v>
      </c>
      <c r="C321" s="3"/>
      <c r="E321" s="1">
        <v>44287</v>
      </c>
      <c r="F321" s="9">
        <f t="shared" si="8"/>
        <v>880.26499999999999</v>
      </c>
      <c r="H321" s="1">
        <v>44287</v>
      </c>
      <c r="I321" s="9">
        <f t="shared" si="9"/>
        <v>868.92899999999997</v>
      </c>
    </row>
    <row r="322" spans="1:9">
      <c r="A322" s="1">
        <v>44317</v>
      </c>
      <c r="B322" s="2">
        <v>907.899</v>
      </c>
      <c r="C322" s="3"/>
      <c r="E322" s="1">
        <v>44317</v>
      </c>
      <c r="F322" s="9">
        <f t="shared" ref="F322:F361" si="10">B321</f>
        <v>888.19100000000003</v>
      </c>
      <c r="H322" s="1">
        <v>44317</v>
      </c>
      <c r="I322" s="9">
        <f t="shared" si="9"/>
        <v>880.26499999999999</v>
      </c>
    </row>
    <row r="323" spans="1:9">
      <c r="A323" s="1">
        <v>44348</v>
      </c>
      <c r="B323" s="2">
        <v>927.51199999999994</v>
      </c>
      <c r="C323" s="3"/>
      <c r="E323" s="1">
        <v>44348</v>
      </c>
      <c r="F323" s="9">
        <f t="shared" si="10"/>
        <v>907.899</v>
      </c>
      <c r="H323" s="1">
        <v>44348</v>
      </c>
      <c r="I323" s="9">
        <f t="shared" si="9"/>
        <v>888.19100000000003</v>
      </c>
    </row>
    <row r="324" spans="1:9">
      <c r="A324" s="1">
        <v>44378</v>
      </c>
      <c r="B324" s="2">
        <v>935.35900000000004</v>
      </c>
      <c r="C324" s="3"/>
      <c r="E324" s="1">
        <v>44378</v>
      </c>
      <c r="F324" s="9">
        <f t="shared" si="10"/>
        <v>927.51199999999994</v>
      </c>
      <c r="H324" s="1">
        <v>44378</v>
      </c>
      <c r="I324" s="9">
        <f t="shared" ref="I324:I361" si="11">B322</f>
        <v>907.899</v>
      </c>
    </row>
    <row r="325" spans="1:9">
      <c r="A325" s="1">
        <v>44409</v>
      </c>
      <c r="B325" s="2">
        <v>939.69899999999996</v>
      </c>
      <c r="C325" s="3"/>
      <c r="E325" s="1">
        <v>44409</v>
      </c>
      <c r="F325" s="9">
        <f t="shared" si="10"/>
        <v>935.35900000000004</v>
      </c>
      <c r="H325" s="1">
        <v>44409</v>
      </c>
      <c r="I325" s="9">
        <f t="shared" si="11"/>
        <v>927.51199999999994</v>
      </c>
    </row>
    <row r="326" spans="1:9">
      <c r="A326" s="1">
        <v>44440</v>
      </c>
      <c r="B326" s="2">
        <v>944.52</v>
      </c>
      <c r="C326" s="3"/>
      <c r="E326" s="1">
        <v>44440</v>
      </c>
      <c r="F326" s="9">
        <f t="shared" si="10"/>
        <v>939.69899999999996</v>
      </c>
      <c r="H326" s="1">
        <v>44440</v>
      </c>
      <c r="I326" s="9">
        <f t="shared" si="11"/>
        <v>935.35900000000004</v>
      </c>
    </row>
    <row r="327" spans="1:9">
      <c r="A327" s="1">
        <v>44470</v>
      </c>
      <c r="B327" s="2">
        <v>952.596</v>
      </c>
      <c r="C327" s="3"/>
      <c r="E327" s="1">
        <v>44470</v>
      </c>
      <c r="F327" s="9">
        <f t="shared" si="10"/>
        <v>944.52</v>
      </c>
      <c r="H327" s="1">
        <v>44470</v>
      </c>
      <c r="I327" s="9">
        <f t="shared" si="11"/>
        <v>939.69899999999996</v>
      </c>
    </row>
    <row r="328" spans="1:9">
      <c r="A328" s="1">
        <v>44501</v>
      </c>
      <c r="B328" s="2">
        <v>959.00099999999998</v>
      </c>
      <c r="C328" s="3"/>
      <c r="E328" s="1">
        <v>44501</v>
      </c>
      <c r="F328" s="9">
        <f t="shared" si="10"/>
        <v>952.596</v>
      </c>
      <c r="H328" s="1">
        <v>44501</v>
      </c>
      <c r="I328" s="9">
        <f t="shared" si="11"/>
        <v>944.52</v>
      </c>
    </row>
    <row r="329" spans="1:9">
      <c r="A329" s="1">
        <v>44531</v>
      </c>
      <c r="B329" s="2">
        <v>962.32100000000003</v>
      </c>
      <c r="C329" s="3"/>
      <c r="E329" s="1">
        <v>44531</v>
      </c>
      <c r="F329" s="9">
        <f t="shared" si="10"/>
        <v>959.00099999999998</v>
      </c>
      <c r="H329" s="1">
        <v>44531</v>
      </c>
      <c r="I329" s="9">
        <f t="shared" si="11"/>
        <v>952.596</v>
      </c>
    </row>
    <row r="330" spans="1:9">
      <c r="A330" s="1">
        <v>44562</v>
      </c>
      <c r="B330" s="2">
        <v>969.18399999999997</v>
      </c>
      <c r="C330" s="3"/>
      <c r="E330" s="1">
        <v>44562</v>
      </c>
      <c r="F330" s="9">
        <f t="shared" si="10"/>
        <v>962.32100000000003</v>
      </c>
      <c r="H330" s="1">
        <v>44562</v>
      </c>
      <c r="I330" s="9">
        <f t="shared" si="11"/>
        <v>959.00099999999998</v>
      </c>
    </row>
    <row r="331" spans="1:9">
      <c r="A331" s="1">
        <v>44593</v>
      </c>
      <c r="B331" s="2">
        <v>972.904</v>
      </c>
      <c r="C331" s="3"/>
      <c r="E331" s="1">
        <v>44593</v>
      </c>
      <c r="F331" s="9">
        <f t="shared" si="10"/>
        <v>969.18399999999997</v>
      </c>
      <c r="H331" s="1">
        <v>44593</v>
      </c>
      <c r="I331" s="9">
        <f t="shared" si="11"/>
        <v>962.32100000000003</v>
      </c>
    </row>
    <row r="332" spans="1:9">
      <c r="A332" s="1">
        <v>44621</v>
      </c>
      <c r="B332" s="2">
        <v>981.24400000000003</v>
      </c>
      <c r="C332" s="3"/>
      <c r="E332" s="1">
        <v>44621</v>
      </c>
      <c r="F332" s="9">
        <f t="shared" si="10"/>
        <v>972.904</v>
      </c>
      <c r="H332" s="1">
        <v>44621</v>
      </c>
      <c r="I332" s="9">
        <f t="shared" si="11"/>
        <v>969.18399999999997</v>
      </c>
    </row>
    <row r="333" spans="1:9">
      <c r="A333" s="1">
        <v>44652</v>
      </c>
      <c r="B333" s="2">
        <v>990.54300000000001</v>
      </c>
      <c r="C333" s="3"/>
      <c r="E333" s="1">
        <v>44652</v>
      </c>
      <c r="F333" s="9">
        <f t="shared" si="10"/>
        <v>981.24400000000003</v>
      </c>
      <c r="H333" s="1">
        <v>44652</v>
      </c>
      <c r="I333" s="9">
        <f t="shared" si="11"/>
        <v>972.904</v>
      </c>
    </row>
    <row r="334" spans="1:9">
      <c r="A334" s="1">
        <v>44682</v>
      </c>
      <c r="B334" s="2">
        <v>1013.164</v>
      </c>
      <c r="C334" s="3"/>
      <c r="E334" s="1">
        <v>44682</v>
      </c>
      <c r="F334" s="9">
        <f t="shared" si="10"/>
        <v>990.54300000000001</v>
      </c>
      <c r="H334" s="1">
        <v>44682</v>
      </c>
      <c r="I334" s="9">
        <f t="shared" si="11"/>
        <v>981.24400000000003</v>
      </c>
    </row>
    <row r="335" spans="1:9">
      <c r="A335" s="1">
        <v>44713</v>
      </c>
      <c r="B335" s="2">
        <v>1034.8240000000001</v>
      </c>
      <c r="C335" s="3"/>
      <c r="E335" s="1">
        <v>44713</v>
      </c>
      <c r="F335" s="9">
        <f t="shared" si="10"/>
        <v>1013.164</v>
      </c>
      <c r="H335" s="1">
        <v>44713</v>
      </c>
      <c r="I335" s="9">
        <f t="shared" si="11"/>
        <v>990.54300000000001</v>
      </c>
    </row>
    <row r="336" spans="1:9">
      <c r="A336" s="1">
        <v>44743</v>
      </c>
      <c r="B336" s="2">
        <v>1043.76</v>
      </c>
      <c r="C336" s="3"/>
      <c r="E336" s="1">
        <v>44743</v>
      </c>
      <c r="F336" s="9">
        <f t="shared" si="10"/>
        <v>1034.8240000000001</v>
      </c>
      <c r="H336" s="1">
        <v>44743</v>
      </c>
      <c r="I336" s="9">
        <f t="shared" si="11"/>
        <v>1013.164</v>
      </c>
    </row>
    <row r="337" spans="1:9">
      <c r="A337" s="1">
        <v>44774</v>
      </c>
      <c r="B337" s="2">
        <v>1044.6790000000001</v>
      </c>
      <c r="C337" s="3"/>
      <c r="E337" s="1">
        <v>44774</v>
      </c>
      <c r="F337" s="9">
        <f t="shared" si="10"/>
        <v>1043.76</v>
      </c>
      <c r="H337" s="1">
        <v>44774</v>
      </c>
      <c r="I337" s="9">
        <f t="shared" si="11"/>
        <v>1034.8240000000001</v>
      </c>
    </row>
    <row r="338" spans="1:9">
      <c r="A338" s="1">
        <v>44805</v>
      </c>
      <c r="B338" s="2">
        <v>1045.616</v>
      </c>
      <c r="C338" s="3"/>
      <c r="E338" s="1">
        <v>44805</v>
      </c>
      <c r="F338" s="9">
        <f t="shared" si="10"/>
        <v>1044.6790000000001</v>
      </c>
      <c r="H338" s="1">
        <v>44805</v>
      </c>
      <c r="I338" s="9">
        <f t="shared" si="11"/>
        <v>1043.76</v>
      </c>
    </row>
    <row r="339" spans="1:9">
      <c r="A339" s="1">
        <v>44835</v>
      </c>
      <c r="B339" s="2">
        <v>1046.896</v>
      </c>
      <c r="C339" s="3"/>
      <c r="E339" s="1">
        <v>44835</v>
      </c>
      <c r="F339" s="9">
        <f t="shared" si="10"/>
        <v>1045.616</v>
      </c>
      <c r="H339" s="1">
        <v>44835</v>
      </c>
      <c r="I339" s="9">
        <f t="shared" si="11"/>
        <v>1044.6790000000001</v>
      </c>
    </row>
    <row r="340" spans="1:9">
      <c r="A340" s="1">
        <v>44866</v>
      </c>
      <c r="B340" s="2">
        <v>1050.701</v>
      </c>
      <c r="C340" s="3"/>
      <c r="E340" s="1">
        <v>44866</v>
      </c>
      <c r="F340" s="9">
        <f t="shared" si="10"/>
        <v>1046.896</v>
      </c>
      <c r="H340" s="1">
        <v>44866</v>
      </c>
      <c r="I340" s="9">
        <f t="shared" si="11"/>
        <v>1045.616</v>
      </c>
    </row>
    <row r="341" spans="1:9">
      <c r="A341" s="1">
        <v>44896</v>
      </c>
      <c r="B341" s="2">
        <v>1051.6320000000001</v>
      </c>
      <c r="C341" s="3"/>
      <c r="E341" s="1">
        <v>44896</v>
      </c>
      <c r="F341" s="9">
        <f t="shared" si="10"/>
        <v>1050.701</v>
      </c>
      <c r="H341" s="1">
        <v>44896</v>
      </c>
      <c r="I341" s="9">
        <f t="shared" si="11"/>
        <v>1046.896</v>
      </c>
    </row>
    <row r="342" spans="1:9">
      <c r="A342" s="1">
        <v>44927</v>
      </c>
      <c r="B342" s="2">
        <v>1056.4179999999999</v>
      </c>
      <c r="C342" s="3"/>
      <c r="E342" s="1">
        <v>44927</v>
      </c>
      <c r="F342" s="9">
        <f t="shared" si="10"/>
        <v>1051.6320000000001</v>
      </c>
      <c r="H342" s="1">
        <v>44927</v>
      </c>
      <c r="I342" s="9">
        <f t="shared" si="11"/>
        <v>1050.701</v>
      </c>
    </row>
    <row r="343" spans="1:9">
      <c r="A343" s="1">
        <v>44958</v>
      </c>
      <c r="B343" s="2">
        <v>1056.896</v>
      </c>
      <c r="C343" s="3"/>
      <c r="E343" s="1">
        <v>44958</v>
      </c>
      <c r="F343" s="9">
        <f t="shared" si="10"/>
        <v>1056.4179999999999</v>
      </c>
      <c r="H343" s="1">
        <v>44958</v>
      </c>
      <c r="I343" s="9">
        <f t="shared" si="11"/>
        <v>1051.6320000000001</v>
      </c>
    </row>
    <row r="344" spans="1:9">
      <c r="A344" s="1">
        <v>44986</v>
      </c>
      <c r="B344" s="2">
        <v>1060.116</v>
      </c>
      <c r="C344" s="3"/>
      <c r="E344" s="1">
        <v>44986</v>
      </c>
      <c r="F344" s="9">
        <f t="shared" si="10"/>
        <v>1056.896</v>
      </c>
      <c r="H344" s="1">
        <v>44986</v>
      </c>
      <c r="I344" s="9">
        <f t="shared" si="11"/>
        <v>1056.4179999999999</v>
      </c>
    </row>
    <row r="345" spans="1:9">
      <c r="A345" s="1">
        <v>45017</v>
      </c>
      <c r="B345" s="2">
        <v>1061.635</v>
      </c>
      <c r="C345" s="3"/>
      <c r="E345" s="1">
        <v>45017</v>
      </c>
      <c r="F345" s="9">
        <f t="shared" si="10"/>
        <v>1060.116</v>
      </c>
      <c r="H345" s="1">
        <v>45017</v>
      </c>
      <c r="I345" s="9">
        <f t="shared" si="11"/>
        <v>1056.896</v>
      </c>
    </row>
    <row r="346" spans="1:9">
      <c r="A346" s="5">
        <v>45047</v>
      </c>
      <c r="B346" s="6">
        <v>1067.9190000000001</v>
      </c>
      <c r="C346" s="7"/>
      <c r="D346" s="8"/>
      <c r="E346" s="5">
        <v>45047</v>
      </c>
      <c r="F346" s="9">
        <f t="shared" si="10"/>
        <v>1061.635</v>
      </c>
      <c r="H346" s="5">
        <v>45047</v>
      </c>
      <c r="I346" s="9">
        <f t="shared" si="11"/>
        <v>1060.116</v>
      </c>
    </row>
    <row r="347" spans="1:9">
      <c r="A347" s="5">
        <v>45078</v>
      </c>
      <c r="B347" s="6">
        <v>1075.54</v>
      </c>
      <c r="C347" s="10"/>
      <c r="E347" s="5">
        <v>45078</v>
      </c>
      <c r="F347" s="9">
        <f t="shared" si="10"/>
        <v>1067.9190000000001</v>
      </c>
      <c r="H347" s="5">
        <v>45078</v>
      </c>
      <c r="I347" s="9">
        <f t="shared" si="11"/>
        <v>1061.635</v>
      </c>
    </row>
    <row r="348" spans="1:9">
      <c r="A348" s="5">
        <v>45108</v>
      </c>
      <c r="B348" s="6">
        <v>1076.626</v>
      </c>
      <c r="C348" s="10"/>
      <c r="E348" s="5">
        <v>45108</v>
      </c>
      <c r="F348" s="9">
        <f t="shared" si="10"/>
        <v>1075.54</v>
      </c>
      <c r="H348" s="5">
        <v>45108</v>
      </c>
      <c r="I348" s="9">
        <f t="shared" si="11"/>
        <v>1067.9190000000001</v>
      </c>
    </row>
    <row r="349" spans="1:9">
      <c r="A349" s="5">
        <v>45139</v>
      </c>
      <c r="B349" s="6">
        <v>1078.412</v>
      </c>
      <c r="C349" s="10"/>
      <c r="E349" s="5">
        <v>45139</v>
      </c>
      <c r="F349" s="9">
        <f t="shared" si="10"/>
        <v>1076.626</v>
      </c>
      <c r="H349" s="5">
        <v>45139</v>
      </c>
      <c r="I349" s="9">
        <f t="shared" si="11"/>
        <v>1075.54</v>
      </c>
    </row>
    <row r="350" spans="1:9">
      <c r="A350" s="5">
        <v>45170</v>
      </c>
      <c r="B350" s="6">
        <v>1082.104</v>
      </c>
      <c r="C350" s="10"/>
      <c r="E350" s="5">
        <v>45170</v>
      </c>
      <c r="F350" s="9">
        <f t="shared" si="10"/>
        <v>1078.412</v>
      </c>
      <c r="H350" s="5">
        <v>45170</v>
      </c>
      <c r="I350" s="9">
        <f t="shared" si="11"/>
        <v>1076.626</v>
      </c>
    </row>
    <row r="351" spans="1:9">
      <c r="A351" s="1">
        <v>45200</v>
      </c>
      <c r="B351" s="2">
        <v>1084.242</v>
      </c>
      <c r="C351" s="3"/>
      <c r="E351" s="1">
        <v>45200</v>
      </c>
      <c r="F351" s="9">
        <f t="shared" si="10"/>
        <v>1082.104</v>
      </c>
      <c r="H351" s="1">
        <v>45200</v>
      </c>
      <c r="I351" s="9">
        <f t="shared" si="11"/>
        <v>1078.412</v>
      </c>
    </row>
    <row r="352" spans="1:9">
      <c r="A352" s="1">
        <v>45231</v>
      </c>
      <c r="B352" s="2">
        <v>1084.9860000000001</v>
      </c>
      <c r="C352" s="3"/>
      <c r="E352" s="1">
        <v>45231</v>
      </c>
      <c r="F352" s="9">
        <f t="shared" si="10"/>
        <v>1084.242</v>
      </c>
      <c r="H352" s="1">
        <v>45231</v>
      </c>
      <c r="I352" s="9">
        <f t="shared" si="11"/>
        <v>1082.104</v>
      </c>
    </row>
    <row r="353" spans="1:9">
      <c r="A353" s="5">
        <v>45261</v>
      </c>
      <c r="B353" s="6">
        <v>1088.3119999999999</v>
      </c>
      <c r="C353" s="7"/>
      <c r="D353" s="8"/>
      <c r="E353" s="5">
        <v>45261</v>
      </c>
      <c r="F353" s="9">
        <f t="shared" si="10"/>
        <v>1084.9860000000001</v>
      </c>
      <c r="H353" s="5">
        <v>45261</v>
      </c>
      <c r="I353" s="9">
        <f t="shared" si="11"/>
        <v>1084.242</v>
      </c>
    </row>
    <row r="354" spans="1:9">
      <c r="A354" s="5">
        <v>45292</v>
      </c>
      <c r="B354" s="6">
        <v>1091.25</v>
      </c>
      <c r="C354" s="7"/>
      <c r="D354" s="8"/>
      <c r="E354" s="5">
        <v>45292</v>
      </c>
      <c r="F354" s="9">
        <f t="shared" si="10"/>
        <v>1088.3119999999999</v>
      </c>
      <c r="H354" s="5">
        <v>45292</v>
      </c>
      <c r="I354" s="9">
        <f t="shared" si="11"/>
        <v>1084.9860000000001</v>
      </c>
    </row>
    <row r="355" spans="1:9">
      <c r="A355" s="1">
        <v>45323</v>
      </c>
      <c r="B355" s="2">
        <v>1092.6849999999999</v>
      </c>
      <c r="C355" s="3"/>
      <c r="E355" s="1">
        <v>45323</v>
      </c>
      <c r="F355" s="9">
        <f t="shared" si="10"/>
        <v>1091.25</v>
      </c>
      <c r="H355" s="1">
        <v>45323</v>
      </c>
      <c r="I355" s="9">
        <f t="shared" si="11"/>
        <v>1088.3119999999999</v>
      </c>
    </row>
    <row r="356" spans="1:9">
      <c r="A356" s="5">
        <v>45352</v>
      </c>
      <c r="B356" s="6">
        <v>1095.7380000000001</v>
      </c>
      <c r="C356" s="7"/>
      <c r="D356" s="8"/>
      <c r="E356" s="5">
        <v>45352</v>
      </c>
      <c r="F356" s="9">
        <f t="shared" si="10"/>
        <v>1092.6849999999999</v>
      </c>
      <c r="H356" s="5">
        <v>45352</v>
      </c>
      <c r="I356" s="9">
        <f t="shared" si="11"/>
        <v>1091.25</v>
      </c>
    </row>
    <row r="357" spans="1:9">
      <c r="A357" s="5">
        <v>45383</v>
      </c>
      <c r="B357" s="6">
        <v>1101.3889999999999</v>
      </c>
      <c r="C357" s="10"/>
      <c r="E357" s="5">
        <v>45383</v>
      </c>
      <c r="F357" s="9">
        <f t="shared" si="10"/>
        <v>1095.7380000000001</v>
      </c>
      <c r="H357" s="5">
        <v>45383</v>
      </c>
      <c r="I357" s="9">
        <f t="shared" si="11"/>
        <v>1092.6849999999999</v>
      </c>
    </row>
    <row r="358" spans="1:9">
      <c r="A358" s="5">
        <v>45413</v>
      </c>
      <c r="B358" s="6">
        <v>1110.8869999999999</v>
      </c>
      <c r="C358" s="10"/>
      <c r="E358" s="5">
        <v>45413</v>
      </c>
      <c r="F358" s="9">
        <f t="shared" si="10"/>
        <v>1101.3889999999999</v>
      </c>
      <c r="H358" s="5">
        <v>45413</v>
      </c>
      <c r="I358" s="9">
        <f t="shared" si="11"/>
        <v>1095.7380000000001</v>
      </c>
    </row>
    <row r="359" spans="1:9">
      <c r="A359" s="5">
        <v>45444</v>
      </c>
      <c r="B359" s="6">
        <v>1118.827</v>
      </c>
      <c r="C359" s="10"/>
      <c r="E359" s="5">
        <v>45444</v>
      </c>
      <c r="F359" s="9">
        <f t="shared" si="10"/>
        <v>1110.8869999999999</v>
      </c>
      <c r="H359" s="5">
        <v>45444</v>
      </c>
      <c r="I359" s="9">
        <f t="shared" si="11"/>
        <v>1101.3889999999999</v>
      </c>
    </row>
    <row r="360" spans="1:9">
      <c r="A360" s="5">
        <v>45474</v>
      </c>
      <c r="B360" s="6">
        <v>1126.9159999999999</v>
      </c>
      <c r="C360" s="10"/>
      <c r="E360" s="5">
        <v>45474</v>
      </c>
      <c r="F360" s="9">
        <f t="shared" si="10"/>
        <v>1118.827</v>
      </c>
      <c r="H360" s="5">
        <v>45474</v>
      </c>
      <c r="I360" s="9">
        <f t="shared" si="11"/>
        <v>1110.8869999999999</v>
      </c>
    </row>
    <row r="361" spans="1:9">
      <c r="A361" s="5">
        <v>45505</v>
      </c>
      <c r="B361" s="6">
        <v>1134.7750000000001</v>
      </c>
      <c r="C361" s="10"/>
      <c r="E361" s="5">
        <v>45505</v>
      </c>
      <c r="F361" s="9">
        <f t="shared" si="10"/>
        <v>1126.9159999999999</v>
      </c>
      <c r="H361" s="5">
        <v>45505</v>
      </c>
      <c r="I361" s="9">
        <f t="shared" si="11"/>
        <v>1118.827</v>
      </c>
    </row>
    <row r="362" spans="1:9">
      <c r="A362" s="5">
        <v>45536</v>
      </c>
      <c r="B362" s="6">
        <v>1141.3979999999999</v>
      </c>
      <c r="C362" s="10"/>
      <c r="E362" s="5">
        <v>45536</v>
      </c>
      <c r="F362" s="9">
        <f>B361</f>
        <v>1134.7750000000001</v>
      </c>
      <c r="H362" s="5">
        <v>45536</v>
      </c>
      <c r="I362" s="9">
        <f>B360</f>
        <v>1126.9159999999999</v>
      </c>
    </row>
    <row r="363" spans="1:9">
      <c r="A363" s="5">
        <v>45566</v>
      </c>
      <c r="B363" s="6">
        <v>1149.17</v>
      </c>
      <c r="C363" s="10"/>
      <c r="E363" s="5">
        <v>45566</v>
      </c>
      <c r="F363" s="9">
        <f>B362</f>
        <v>1141.3979999999999</v>
      </c>
      <c r="H363" s="5">
        <v>45566</v>
      </c>
      <c r="I363" s="9">
        <f t="shared" ref="I363:I426" si="12">B361</f>
        <v>1134.7750000000001</v>
      </c>
    </row>
    <row r="364" spans="1:9">
      <c r="A364" s="5">
        <v>45597</v>
      </c>
      <c r="B364" s="6">
        <v>1153.7249999999999</v>
      </c>
      <c r="C364" s="10"/>
      <c r="E364" s="5">
        <v>45597</v>
      </c>
      <c r="F364" s="9">
        <f t="shared" ref="F364:F426" si="13">B363</f>
        <v>1149.17</v>
      </c>
      <c r="H364" s="5">
        <v>45597</v>
      </c>
      <c r="I364" s="9">
        <f t="shared" si="12"/>
        <v>1141.3979999999999</v>
      </c>
    </row>
    <row r="365" spans="1:9">
      <c r="A365" s="1">
        <v>45627</v>
      </c>
      <c r="B365" s="2">
        <v>1159.5360000000001</v>
      </c>
      <c r="C365" s="10"/>
      <c r="E365" s="1">
        <v>45627</v>
      </c>
      <c r="F365" s="4">
        <f t="shared" si="13"/>
        <v>1153.7249999999999</v>
      </c>
      <c r="H365" s="1">
        <v>45627</v>
      </c>
      <c r="I365" s="4">
        <f t="shared" si="12"/>
        <v>1149.17</v>
      </c>
    </row>
    <row r="366" spans="1:9">
      <c r="A366" s="1">
        <v>45658</v>
      </c>
      <c r="B366" s="2">
        <v>1169.116</v>
      </c>
      <c r="C366" s="10"/>
      <c r="E366" s="1">
        <v>45658</v>
      </c>
      <c r="F366" s="4">
        <f t="shared" si="13"/>
        <v>1159.5360000000001</v>
      </c>
      <c r="H366" s="1">
        <v>45658</v>
      </c>
      <c r="I366" s="4">
        <f t="shared" si="12"/>
        <v>1153.7249999999999</v>
      </c>
    </row>
    <row r="367" spans="1:9">
      <c r="A367" s="5">
        <v>45689</v>
      </c>
      <c r="B367" s="6">
        <v>1173.7750000000001</v>
      </c>
      <c r="C367" s="10"/>
      <c r="E367" s="1">
        <v>45689</v>
      </c>
      <c r="F367" s="4">
        <f t="shared" si="13"/>
        <v>1169.116</v>
      </c>
      <c r="H367" s="1">
        <v>45689</v>
      </c>
      <c r="I367" s="4">
        <f t="shared" si="12"/>
        <v>1159.5360000000001</v>
      </c>
    </row>
    <row r="368" spans="1:9">
      <c r="A368" s="1">
        <v>45717</v>
      </c>
      <c r="B368" s="2">
        <v>1178.386</v>
      </c>
      <c r="C368" s="10"/>
      <c r="E368" s="1">
        <v>45717</v>
      </c>
      <c r="F368" s="4">
        <f t="shared" si="13"/>
        <v>1173.7750000000001</v>
      </c>
      <c r="H368" s="1">
        <v>45717</v>
      </c>
      <c r="I368" s="4">
        <f t="shared" si="12"/>
        <v>1169.116</v>
      </c>
    </row>
    <row r="369" spans="1:9">
      <c r="A369" s="1">
        <v>45748</v>
      </c>
      <c r="B369" s="2">
        <v>1184.462</v>
      </c>
      <c r="C369" s="10"/>
      <c r="E369" s="1">
        <v>45748</v>
      </c>
      <c r="F369" s="4">
        <f t="shared" si="13"/>
        <v>1178.386</v>
      </c>
      <c r="H369" s="1">
        <v>45748</v>
      </c>
      <c r="I369" s="4">
        <f t="shared" si="12"/>
        <v>1173.7750000000001</v>
      </c>
    </row>
    <row r="370" spans="1:9">
      <c r="A370" s="1">
        <v>45778</v>
      </c>
      <c r="B370" s="2">
        <v>1191.327</v>
      </c>
      <c r="C370" s="10"/>
      <c r="E370" s="1">
        <v>45778</v>
      </c>
      <c r="F370" s="4">
        <f t="shared" si="13"/>
        <v>1184.462</v>
      </c>
      <c r="H370" s="1">
        <v>45778</v>
      </c>
      <c r="I370" s="4">
        <f t="shared" si="12"/>
        <v>1178.386</v>
      </c>
    </row>
    <row r="371" spans="1:9">
      <c r="A371" s="1">
        <v>45809</v>
      </c>
      <c r="B371" s="2">
        <v>1199.509</v>
      </c>
      <c r="C371" s="10"/>
      <c r="E371" s="1">
        <v>45809</v>
      </c>
      <c r="F371" s="4">
        <f t="shared" si="13"/>
        <v>1191.327</v>
      </c>
      <c r="H371" s="1">
        <v>45809</v>
      </c>
      <c r="I371" s="4">
        <f t="shared" si="12"/>
        <v>1184.462</v>
      </c>
    </row>
    <row r="372" spans="1:9">
      <c r="A372" s="1">
        <v>45839</v>
      </c>
      <c r="B372" s="2">
        <v>1210.471</v>
      </c>
      <c r="C372" s="10"/>
      <c r="E372" s="1">
        <v>45839</v>
      </c>
      <c r="F372" s="4">
        <f t="shared" si="13"/>
        <v>1199.509</v>
      </c>
      <c r="H372" s="1">
        <v>45839</v>
      </c>
      <c r="I372" s="4">
        <f t="shared" si="12"/>
        <v>1191.327</v>
      </c>
    </row>
    <row r="373" spans="1:9">
      <c r="A373" s="1">
        <v>45870</v>
      </c>
      <c r="B373" s="2">
        <v>1216.7059999999999</v>
      </c>
      <c r="C373" s="10"/>
      <c r="E373" s="1">
        <v>45870</v>
      </c>
      <c r="F373" s="4">
        <f t="shared" si="13"/>
        <v>1210.471</v>
      </c>
      <c r="H373" s="1">
        <v>45870</v>
      </c>
      <c r="I373" s="4">
        <f t="shared" si="12"/>
        <v>1199.509</v>
      </c>
    </row>
    <row r="374" spans="1:9">
      <c r="A374" s="1">
        <v>45901</v>
      </c>
      <c r="B374" s="2">
        <v>1218.7470000000001</v>
      </c>
      <c r="C374" s="10"/>
      <c r="E374" s="1">
        <v>45901</v>
      </c>
      <c r="F374" s="9">
        <f t="shared" si="13"/>
        <v>1216.7059999999999</v>
      </c>
      <c r="H374" s="1">
        <v>45901</v>
      </c>
      <c r="I374" s="4">
        <f t="shared" si="12"/>
        <v>1210.471</v>
      </c>
    </row>
    <row r="375" spans="1:9">
      <c r="A375" s="1">
        <v>45931</v>
      </c>
      <c r="B375" s="2">
        <v>1222.356</v>
      </c>
      <c r="C375" s="10"/>
      <c r="E375" s="1">
        <v>45931</v>
      </c>
      <c r="F375" s="9">
        <f t="shared" si="13"/>
        <v>1218.7470000000001</v>
      </c>
      <c r="H375" s="1">
        <v>45931</v>
      </c>
      <c r="I375" s="4">
        <f t="shared" si="12"/>
        <v>1216.7059999999999</v>
      </c>
    </row>
    <row r="376" spans="1:9">
      <c r="A376" s="1">
        <v>45962</v>
      </c>
      <c r="B376" s="2">
        <v>1225.633</v>
      </c>
      <c r="C376" s="10"/>
      <c r="E376" s="1">
        <v>45962</v>
      </c>
      <c r="F376" s="4">
        <f t="shared" si="13"/>
        <v>1222.356</v>
      </c>
      <c r="H376" s="1">
        <v>45962</v>
      </c>
      <c r="I376" s="4">
        <f t="shared" si="12"/>
        <v>1218.7470000000001</v>
      </c>
    </row>
    <row r="377" spans="1:9">
      <c r="A377" s="1">
        <v>45992</v>
      </c>
      <c r="B377" s="2">
        <v>1228.1610000000001</v>
      </c>
      <c r="C377" s="10"/>
      <c r="E377" s="1">
        <v>45992</v>
      </c>
      <c r="F377" s="4">
        <f t="shared" si="13"/>
        <v>1225.633</v>
      </c>
      <c r="H377" s="1">
        <v>45992</v>
      </c>
      <c r="I377" s="4">
        <f t="shared" si="12"/>
        <v>1222.356</v>
      </c>
    </row>
    <row r="378" spans="1:9">
      <c r="A378" s="1">
        <v>46023</v>
      </c>
      <c r="B378" s="2">
        <v>1237.0360000000001</v>
      </c>
      <c r="C378" s="10"/>
      <c r="E378" s="1">
        <v>46023</v>
      </c>
      <c r="F378" s="9">
        <f t="shared" si="13"/>
        <v>1228.1610000000001</v>
      </c>
      <c r="H378" s="1">
        <v>46023</v>
      </c>
      <c r="I378" s="9">
        <f t="shared" si="12"/>
        <v>1225.633</v>
      </c>
    </row>
    <row r="379" spans="1:9">
      <c r="A379" s="1">
        <v>46054</v>
      </c>
      <c r="B379" s="2">
        <v>1240.481</v>
      </c>
      <c r="C379" s="10"/>
      <c r="E379" s="1">
        <v>46054</v>
      </c>
      <c r="F379" s="9">
        <f t="shared" si="13"/>
        <v>1237.0360000000001</v>
      </c>
      <c r="H379" s="1">
        <v>46054</v>
      </c>
      <c r="I379" s="9">
        <f t="shared" si="12"/>
        <v>1228.1610000000001</v>
      </c>
    </row>
    <row r="380" spans="1:9">
      <c r="A380" s="1">
        <v>46082</v>
      </c>
      <c r="B380" s="2">
        <v>1247.181</v>
      </c>
      <c r="C380" s="10"/>
      <c r="E380" s="1">
        <v>46082</v>
      </c>
      <c r="F380" s="9">
        <f t="shared" si="13"/>
        <v>1240.481</v>
      </c>
      <c r="H380" s="1">
        <v>46082</v>
      </c>
      <c r="I380" s="9">
        <f t="shared" si="12"/>
        <v>1237.0360000000001</v>
      </c>
    </row>
    <row r="381" spans="1:9">
      <c r="A381" s="1">
        <v>46113</v>
      </c>
      <c r="B381" s="2">
        <v>1259.652</v>
      </c>
      <c r="C381" s="10"/>
      <c r="E381" s="1">
        <v>46113</v>
      </c>
      <c r="F381" s="9">
        <f t="shared" si="13"/>
        <v>1247.181</v>
      </c>
      <c r="H381" s="1">
        <v>46113</v>
      </c>
      <c r="I381" s="9">
        <f t="shared" si="12"/>
        <v>1240.481</v>
      </c>
    </row>
    <row r="382" spans="1:9">
      <c r="A382" s="1">
        <v>46143</v>
      </c>
      <c r="B382" s="2">
        <v>1270.6949999999999</v>
      </c>
      <c r="C382" s="10"/>
      <c r="E382" s="1">
        <v>46143</v>
      </c>
      <c r="F382" s="9">
        <f t="shared" si="13"/>
        <v>1259.652</v>
      </c>
      <c r="H382" s="1">
        <v>46143</v>
      </c>
      <c r="I382" s="9">
        <f t="shared" si="12"/>
        <v>1247.181</v>
      </c>
    </row>
    <row r="383" spans="1:9">
      <c r="A383" s="11">
        <v>46174</v>
      </c>
      <c r="B383" s="12">
        <f t="shared" ref="B383:B416" si="14">B382</f>
        <v>1270.6949999999999</v>
      </c>
      <c r="C383" s="10"/>
      <c r="E383" s="1">
        <v>46174</v>
      </c>
      <c r="F383" s="9">
        <f t="shared" si="13"/>
        <v>1270.6949999999999</v>
      </c>
      <c r="H383" s="1">
        <v>46174</v>
      </c>
      <c r="I383" s="4">
        <f t="shared" si="12"/>
        <v>1259.652</v>
      </c>
    </row>
    <row r="384" spans="1:9">
      <c r="A384" s="11">
        <v>46204</v>
      </c>
      <c r="B384" s="12">
        <f t="shared" si="14"/>
        <v>1270.6949999999999</v>
      </c>
      <c r="C384" s="10"/>
      <c r="E384" s="11">
        <v>46204</v>
      </c>
      <c r="F384" s="9">
        <f t="shared" si="13"/>
        <v>1270.6949999999999</v>
      </c>
      <c r="H384" s="11">
        <v>46204</v>
      </c>
      <c r="I384" s="9">
        <f t="shared" si="12"/>
        <v>1270.6949999999999</v>
      </c>
    </row>
    <row r="385" spans="1:9">
      <c r="A385" s="11">
        <v>46235</v>
      </c>
      <c r="B385" s="12">
        <f t="shared" si="14"/>
        <v>1270.6949999999999</v>
      </c>
      <c r="C385" s="10"/>
      <c r="E385" s="11">
        <v>46235</v>
      </c>
      <c r="F385" s="9">
        <f t="shared" si="13"/>
        <v>1270.6949999999999</v>
      </c>
      <c r="H385" s="11">
        <v>46235</v>
      </c>
      <c r="I385" s="9">
        <f t="shared" si="12"/>
        <v>1270.6949999999999</v>
      </c>
    </row>
    <row r="386" spans="1:9">
      <c r="A386" s="11">
        <v>46266</v>
      </c>
      <c r="B386" s="12">
        <f t="shared" si="14"/>
        <v>1270.6949999999999</v>
      </c>
      <c r="C386" s="10"/>
      <c r="E386" s="11">
        <v>46266</v>
      </c>
      <c r="F386" s="9">
        <f t="shared" si="13"/>
        <v>1270.6949999999999</v>
      </c>
      <c r="H386" s="11">
        <v>46266</v>
      </c>
      <c r="I386" s="9">
        <f t="shared" si="12"/>
        <v>1270.6949999999999</v>
      </c>
    </row>
    <row r="387" spans="1:9">
      <c r="A387" s="11">
        <v>46296</v>
      </c>
      <c r="B387" s="12">
        <f t="shared" si="14"/>
        <v>1270.6949999999999</v>
      </c>
      <c r="C387" s="10"/>
      <c r="E387" s="11">
        <v>46296</v>
      </c>
      <c r="F387" s="9">
        <f t="shared" si="13"/>
        <v>1270.6949999999999</v>
      </c>
      <c r="H387" s="11">
        <v>46296</v>
      </c>
      <c r="I387" s="9">
        <f t="shared" si="12"/>
        <v>1270.6949999999999</v>
      </c>
    </row>
    <row r="388" spans="1:9">
      <c r="A388" s="11">
        <v>46327</v>
      </c>
      <c r="B388" s="12">
        <f t="shared" si="14"/>
        <v>1270.6949999999999</v>
      </c>
      <c r="C388" s="10"/>
      <c r="E388" s="11">
        <v>46327</v>
      </c>
      <c r="F388" s="9">
        <f t="shared" si="13"/>
        <v>1270.6949999999999</v>
      </c>
      <c r="H388" s="11">
        <v>46327</v>
      </c>
      <c r="I388" s="9">
        <f t="shared" si="12"/>
        <v>1270.6949999999999</v>
      </c>
    </row>
    <row r="389" spans="1:9">
      <c r="A389" s="11">
        <v>46357</v>
      </c>
      <c r="B389" s="12">
        <f t="shared" si="14"/>
        <v>1270.6949999999999</v>
      </c>
      <c r="C389" s="10"/>
      <c r="E389" s="11">
        <v>46357</v>
      </c>
      <c r="F389" s="9">
        <f t="shared" si="13"/>
        <v>1270.6949999999999</v>
      </c>
      <c r="H389" s="11">
        <v>46357</v>
      </c>
      <c r="I389" s="9">
        <f t="shared" si="12"/>
        <v>1270.6949999999999</v>
      </c>
    </row>
    <row r="390" spans="1:9">
      <c r="A390" s="11">
        <v>46388</v>
      </c>
      <c r="B390" s="12">
        <f t="shared" si="14"/>
        <v>1270.6949999999999</v>
      </c>
      <c r="C390" s="10"/>
      <c r="E390" s="11">
        <v>46388</v>
      </c>
      <c r="F390" s="9">
        <f t="shared" si="13"/>
        <v>1270.6949999999999</v>
      </c>
      <c r="H390" s="11">
        <v>46388</v>
      </c>
      <c r="I390" s="9">
        <f t="shared" si="12"/>
        <v>1270.6949999999999</v>
      </c>
    </row>
    <row r="391" spans="1:9">
      <c r="A391" s="11">
        <v>46419</v>
      </c>
      <c r="B391" s="12">
        <f t="shared" si="14"/>
        <v>1270.6949999999999</v>
      </c>
      <c r="C391" s="10"/>
      <c r="E391" s="11">
        <v>46419</v>
      </c>
      <c r="F391" s="9">
        <f t="shared" si="13"/>
        <v>1270.6949999999999</v>
      </c>
      <c r="H391" s="11">
        <v>46419</v>
      </c>
      <c r="I391" s="9">
        <f t="shared" si="12"/>
        <v>1270.6949999999999</v>
      </c>
    </row>
    <row r="392" spans="1:9">
      <c r="A392" s="11">
        <v>46447</v>
      </c>
      <c r="B392" s="12">
        <f t="shared" si="14"/>
        <v>1270.6949999999999</v>
      </c>
      <c r="C392" s="10"/>
      <c r="E392" s="11">
        <v>46447</v>
      </c>
      <c r="F392" s="9">
        <f t="shared" si="13"/>
        <v>1270.6949999999999</v>
      </c>
      <c r="H392" s="11">
        <v>46447</v>
      </c>
      <c r="I392" s="9">
        <f t="shared" si="12"/>
        <v>1270.6949999999999</v>
      </c>
    </row>
    <row r="393" spans="1:9">
      <c r="A393" s="11">
        <v>46478</v>
      </c>
      <c r="B393" s="12">
        <f t="shared" si="14"/>
        <v>1270.6949999999999</v>
      </c>
      <c r="C393" s="10"/>
      <c r="E393" s="11">
        <v>46478</v>
      </c>
      <c r="F393" s="9">
        <f t="shared" si="13"/>
        <v>1270.6949999999999</v>
      </c>
      <c r="H393" s="11">
        <v>46478</v>
      </c>
      <c r="I393" s="9">
        <f t="shared" si="12"/>
        <v>1270.6949999999999</v>
      </c>
    </row>
    <row r="394" spans="1:9">
      <c r="A394" s="11">
        <v>46508</v>
      </c>
      <c r="B394" s="12">
        <f t="shared" si="14"/>
        <v>1270.6949999999999</v>
      </c>
      <c r="C394" s="10"/>
      <c r="E394" s="11">
        <v>46508</v>
      </c>
      <c r="F394" s="9">
        <f t="shared" si="13"/>
        <v>1270.6949999999999</v>
      </c>
      <c r="H394" s="11">
        <v>46508</v>
      </c>
      <c r="I394" s="9">
        <f t="shared" si="12"/>
        <v>1270.6949999999999</v>
      </c>
    </row>
    <row r="395" spans="1:9">
      <c r="A395" s="11">
        <v>46539</v>
      </c>
      <c r="B395" s="12">
        <f t="shared" si="14"/>
        <v>1270.6949999999999</v>
      </c>
      <c r="C395" s="10"/>
      <c r="E395" s="11">
        <v>46539</v>
      </c>
      <c r="F395" s="9">
        <f t="shared" si="13"/>
        <v>1270.6949999999999</v>
      </c>
      <c r="H395" s="11">
        <v>46539</v>
      </c>
      <c r="I395" s="9">
        <f t="shared" si="12"/>
        <v>1270.6949999999999</v>
      </c>
    </row>
    <row r="396" spans="1:9">
      <c r="A396" s="11">
        <v>46569</v>
      </c>
      <c r="B396" s="12">
        <f t="shared" si="14"/>
        <v>1270.6949999999999</v>
      </c>
      <c r="C396" s="10"/>
      <c r="E396" s="11">
        <v>46569</v>
      </c>
      <c r="F396" s="9">
        <f t="shared" si="13"/>
        <v>1270.6949999999999</v>
      </c>
      <c r="H396" s="11">
        <v>46569</v>
      </c>
      <c r="I396" s="9">
        <f t="shared" si="12"/>
        <v>1270.6949999999999</v>
      </c>
    </row>
    <row r="397" spans="1:9">
      <c r="A397" s="11">
        <v>46600</v>
      </c>
      <c r="B397" s="12">
        <f t="shared" si="14"/>
        <v>1270.6949999999999</v>
      </c>
      <c r="C397" s="10"/>
      <c r="E397" s="11">
        <v>46600</v>
      </c>
      <c r="F397" s="9">
        <f t="shared" si="13"/>
        <v>1270.6949999999999</v>
      </c>
      <c r="H397" s="11">
        <v>46600</v>
      </c>
      <c r="I397" s="9">
        <f t="shared" si="12"/>
        <v>1270.6949999999999</v>
      </c>
    </row>
    <row r="398" spans="1:9">
      <c r="A398" s="11">
        <v>46631</v>
      </c>
      <c r="B398" s="12">
        <f t="shared" si="14"/>
        <v>1270.6949999999999</v>
      </c>
      <c r="C398" s="10"/>
      <c r="E398" s="11">
        <v>46631</v>
      </c>
      <c r="F398" s="9">
        <f t="shared" si="13"/>
        <v>1270.6949999999999</v>
      </c>
      <c r="H398" s="11">
        <v>46631</v>
      </c>
      <c r="I398" s="9">
        <f t="shared" si="12"/>
        <v>1270.6949999999999</v>
      </c>
    </row>
    <row r="399" spans="1:9">
      <c r="A399" s="11">
        <v>46661</v>
      </c>
      <c r="B399" s="12">
        <f t="shared" si="14"/>
        <v>1270.6949999999999</v>
      </c>
      <c r="C399" s="10"/>
      <c r="E399" s="11">
        <v>46661</v>
      </c>
      <c r="F399" s="9">
        <f t="shared" si="13"/>
        <v>1270.6949999999999</v>
      </c>
      <c r="H399" s="11">
        <v>46661</v>
      </c>
      <c r="I399" s="9">
        <f t="shared" si="12"/>
        <v>1270.6949999999999</v>
      </c>
    </row>
    <row r="400" spans="1:9">
      <c r="A400" s="11">
        <v>46692</v>
      </c>
      <c r="B400" s="12">
        <f t="shared" si="14"/>
        <v>1270.6949999999999</v>
      </c>
      <c r="C400" s="10"/>
      <c r="E400" s="11">
        <v>46692</v>
      </c>
      <c r="F400" s="9">
        <f t="shared" si="13"/>
        <v>1270.6949999999999</v>
      </c>
      <c r="H400" s="11">
        <v>46692</v>
      </c>
      <c r="I400" s="9">
        <f t="shared" si="12"/>
        <v>1270.6949999999999</v>
      </c>
    </row>
    <row r="401" spans="1:9">
      <c r="A401" s="11">
        <v>46722</v>
      </c>
      <c r="B401" s="12">
        <f t="shared" si="14"/>
        <v>1270.6949999999999</v>
      </c>
      <c r="C401" s="10"/>
      <c r="E401" s="11">
        <v>46722</v>
      </c>
      <c r="F401" s="9">
        <f t="shared" si="13"/>
        <v>1270.6949999999999</v>
      </c>
      <c r="H401" s="11">
        <v>46722</v>
      </c>
      <c r="I401" s="9">
        <f t="shared" si="12"/>
        <v>1270.6949999999999</v>
      </c>
    </row>
    <row r="402" spans="1:9">
      <c r="A402" s="11">
        <v>46753</v>
      </c>
      <c r="B402" s="12">
        <f t="shared" si="14"/>
        <v>1270.6949999999999</v>
      </c>
      <c r="C402" s="10"/>
      <c r="E402" s="11">
        <v>46753</v>
      </c>
      <c r="F402" s="9">
        <f t="shared" si="13"/>
        <v>1270.6949999999999</v>
      </c>
      <c r="H402" s="11">
        <v>46753</v>
      </c>
      <c r="I402" s="9">
        <f t="shared" si="12"/>
        <v>1270.6949999999999</v>
      </c>
    </row>
    <row r="403" spans="1:9">
      <c r="A403" s="11">
        <v>46784</v>
      </c>
      <c r="B403" s="12">
        <f t="shared" si="14"/>
        <v>1270.6949999999999</v>
      </c>
      <c r="C403" s="10"/>
      <c r="E403" s="11">
        <v>46784</v>
      </c>
      <c r="F403" s="9">
        <f t="shared" si="13"/>
        <v>1270.6949999999999</v>
      </c>
      <c r="H403" s="11">
        <v>46784</v>
      </c>
      <c r="I403" s="9">
        <f t="shared" si="12"/>
        <v>1270.6949999999999</v>
      </c>
    </row>
    <row r="404" spans="1:9">
      <c r="A404" s="11">
        <v>46813</v>
      </c>
      <c r="B404" s="12">
        <f t="shared" si="14"/>
        <v>1270.6949999999999</v>
      </c>
      <c r="C404" s="10"/>
      <c r="E404" s="11">
        <v>46813</v>
      </c>
      <c r="F404" s="9">
        <f t="shared" si="13"/>
        <v>1270.6949999999999</v>
      </c>
      <c r="H404" s="11">
        <v>46813</v>
      </c>
      <c r="I404" s="9">
        <f t="shared" si="12"/>
        <v>1270.6949999999999</v>
      </c>
    </row>
    <row r="405" spans="1:9">
      <c r="A405" s="11">
        <v>46844</v>
      </c>
      <c r="B405" s="12">
        <f t="shared" si="14"/>
        <v>1270.6949999999999</v>
      </c>
      <c r="C405" s="10"/>
      <c r="E405" s="11">
        <v>46844</v>
      </c>
      <c r="F405" s="9">
        <f t="shared" si="13"/>
        <v>1270.6949999999999</v>
      </c>
      <c r="H405" s="11">
        <v>46844</v>
      </c>
      <c r="I405" s="9">
        <f t="shared" si="12"/>
        <v>1270.6949999999999</v>
      </c>
    </row>
    <row r="406" spans="1:9">
      <c r="A406" s="11">
        <v>46874</v>
      </c>
      <c r="B406" s="12">
        <f t="shared" si="14"/>
        <v>1270.6949999999999</v>
      </c>
      <c r="C406" s="10"/>
      <c r="E406" s="11">
        <v>46874</v>
      </c>
      <c r="F406" s="9">
        <f t="shared" si="13"/>
        <v>1270.6949999999999</v>
      </c>
      <c r="H406" s="11">
        <v>46874</v>
      </c>
      <c r="I406" s="9">
        <f t="shared" si="12"/>
        <v>1270.6949999999999</v>
      </c>
    </row>
    <row r="407" spans="1:9">
      <c r="A407" s="11">
        <v>46905</v>
      </c>
      <c r="B407" s="12">
        <f t="shared" si="14"/>
        <v>1270.6949999999999</v>
      </c>
      <c r="C407" s="10"/>
      <c r="E407" s="11">
        <v>46905</v>
      </c>
      <c r="F407" s="9">
        <f t="shared" si="13"/>
        <v>1270.6949999999999</v>
      </c>
      <c r="H407" s="11">
        <v>46905</v>
      </c>
      <c r="I407" s="9">
        <f t="shared" si="12"/>
        <v>1270.6949999999999</v>
      </c>
    </row>
    <row r="408" spans="1:9">
      <c r="A408" s="11">
        <v>46935</v>
      </c>
      <c r="B408" s="12">
        <f t="shared" si="14"/>
        <v>1270.6949999999999</v>
      </c>
      <c r="C408" s="10"/>
      <c r="E408" s="11">
        <v>46935</v>
      </c>
      <c r="F408" s="9">
        <f t="shared" si="13"/>
        <v>1270.6949999999999</v>
      </c>
      <c r="H408" s="11">
        <v>46935</v>
      </c>
      <c r="I408" s="9">
        <f t="shared" si="12"/>
        <v>1270.6949999999999</v>
      </c>
    </row>
    <row r="409" spans="1:9">
      <c r="A409" s="11">
        <v>46966</v>
      </c>
      <c r="B409" s="12">
        <f t="shared" si="14"/>
        <v>1270.6949999999999</v>
      </c>
      <c r="C409" s="10"/>
      <c r="E409" s="11">
        <v>46966</v>
      </c>
      <c r="F409" s="9">
        <f t="shared" si="13"/>
        <v>1270.6949999999999</v>
      </c>
      <c r="H409" s="11">
        <v>46966</v>
      </c>
      <c r="I409" s="9">
        <f t="shared" si="12"/>
        <v>1270.6949999999999</v>
      </c>
    </row>
    <row r="410" spans="1:9">
      <c r="A410" s="11">
        <v>46997</v>
      </c>
      <c r="B410" s="12">
        <f t="shared" si="14"/>
        <v>1270.6949999999999</v>
      </c>
      <c r="C410" s="10"/>
      <c r="E410" s="11">
        <v>46997</v>
      </c>
      <c r="F410" s="9">
        <f t="shared" si="13"/>
        <v>1270.6949999999999</v>
      </c>
      <c r="H410" s="11">
        <v>46997</v>
      </c>
      <c r="I410" s="9">
        <f t="shared" si="12"/>
        <v>1270.6949999999999</v>
      </c>
    </row>
    <row r="411" spans="1:9">
      <c r="A411" s="11">
        <v>47027</v>
      </c>
      <c r="B411" s="12">
        <f t="shared" si="14"/>
        <v>1270.6949999999999</v>
      </c>
      <c r="C411" s="10"/>
      <c r="E411" s="11">
        <v>47027</v>
      </c>
      <c r="F411" s="9">
        <f t="shared" si="13"/>
        <v>1270.6949999999999</v>
      </c>
      <c r="H411" s="11">
        <v>47027</v>
      </c>
      <c r="I411" s="9">
        <f t="shared" si="12"/>
        <v>1270.6949999999999</v>
      </c>
    </row>
    <row r="412" spans="1:9">
      <c r="A412" s="11">
        <v>47058</v>
      </c>
      <c r="B412" s="12">
        <f t="shared" si="14"/>
        <v>1270.6949999999999</v>
      </c>
      <c r="C412" s="10"/>
      <c r="E412" s="11">
        <v>47058</v>
      </c>
      <c r="F412" s="9">
        <f t="shared" si="13"/>
        <v>1270.6949999999999</v>
      </c>
      <c r="H412" s="11">
        <v>47058</v>
      </c>
      <c r="I412" s="9">
        <f t="shared" si="12"/>
        <v>1270.6949999999999</v>
      </c>
    </row>
    <row r="413" spans="1:9">
      <c r="A413" s="11">
        <v>47088</v>
      </c>
      <c r="B413" s="12">
        <f t="shared" si="14"/>
        <v>1270.6949999999999</v>
      </c>
      <c r="C413" s="10"/>
      <c r="E413" s="11">
        <v>47088</v>
      </c>
      <c r="F413" s="9">
        <f t="shared" si="13"/>
        <v>1270.6949999999999</v>
      </c>
      <c r="H413" s="11">
        <v>47088</v>
      </c>
      <c r="I413" s="9">
        <f t="shared" si="12"/>
        <v>1270.6949999999999</v>
      </c>
    </row>
    <row r="414" spans="1:9">
      <c r="A414" s="11">
        <v>47119</v>
      </c>
      <c r="B414" s="12">
        <f t="shared" si="14"/>
        <v>1270.6949999999999</v>
      </c>
      <c r="C414" s="10"/>
      <c r="E414" s="11">
        <v>47119</v>
      </c>
      <c r="F414" s="9">
        <f t="shared" si="13"/>
        <v>1270.6949999999999</v>
      </c>
      <c r="H414" s="11">
        <v>47119</v>
      </c>
      <c r="I414" s="9">
        <f t="shared" si="12"/>
        <v>1270.6949999999999</v>
      </c>
    </row>
    <row r="415" spans="1:9">
      <c r="A415" s="11">
        <v>47150</v>
      </c>
      <c r="B415" s="12">
        <f t="shared" si="14"/>
        <v>1270.6949999999999</v>
      </c>
      <c r="C415" s="10"/>
      <c r="E415" s="11">
        <v>47150</v>
      </c>
      <c r="F415" s="9">
        <f t="shared" si="13"/>
        <v>1270.6949999999999</v>
      </c>
      <c r="H415" s="11">
        <v>47150</v>
      </c>
      <c r="I415" s="9">
        <f t="shared" si="12"/>
        <v>1270.6949999999999</v>
      </c>
    </row>
    <row r="416" spans="1:9">
      <c r="A416" s="11">
        <v>47178</v>
      </c>
      <c r="B416" s="12">
        <f t="shared" si="14"/>
        <v>1270.6949999999999</v>
      </c>
      <c r="C416" s="10"/>
      <c r="E416" s="11">
        <v>47178</v>
      </c>
      <c r="F416" s="9">
        <f t="shared" si="13"/>
        <v>1270.6949999999999</v>
      </c>
      <c r="H416" s="11">
        <v>47178</v>
      </c>
      <c r="I416" s="9">
        <f t="shared" si="12"/>
        <v>1270.6949999999999</v>
      </c>
    </row>
    <row r="417" spans="1:9">
      <c r="A417" s="11">
        <v>47209</v>
      </c>
      <c r="B417" s="12">
        <f t="shared" ref="B417:B480" si="15">B416</f>
        <v>1270.6949999999999</v>
      </c>
      <c r="C417" s="10"/>
      <c r="E417" s="11">
        <v>47209</v>
      </c>
      <c r="F417" s="9">
        <f t="shared" si="13"/>
        <v>1270.6949999999999</v>
      </c>
      <c r="H417" s="11">
        <v>47209</v>
      </c>
      <c r="I417" s="9">
        <f t="shared" si="12"/>
        <v>1270.6949999999999</v>
      </c>
    </row>
    <row r="418" spans="1:9">
      <c r="A418" s="11">
        <v>47239</v>
      </c>
      <c r="B418" s="12">
        <f t="shared" si="15"/>
        <v>1270.6949999999999</v>
      </c>
      <c r="C418" s="10"/>
      <c r="E418" s="11">
        <v>47239</v>
      </c>
      <c r="F418" s="9">
        <f t="shared" si="13"/>
        <v>1270.6949999999999</v>
      </c>
      <c r="H418" s="11">
        <v>47239</v>
      </c>
      <c r="I418" s="9">
        <f t="shared" si="12"/>
        <v>1270.6949999999999</v>
      </c>
    </row>
    <row r="419" spans="1:9">
      <c r="A419" s="11">
        <v>47270</v>
      </c>
      <c r="B419" s="12">
        <f t="shared" si="15"/>
        <v>1270.6949999999999</v>
      </c>
      <c r="C419" s="10"/>
      <c r="E419" s="11">
        <v>47270</v>
      </c>
      <c r="F419" s="9">
        <f t="shared" si="13"/>
        <v>1270.6949999999999</v>
      </c>
      <c r="H419" s="11">
        <v>47270</v>
      </c>
      <c r="I419" s="9">
        <f t="shared" si="12"/>
        <v>1270.6949999999999</v>
      </c>
    </row>
    <row r="420" spans="1:9">
      <c r="A420" s="11">
        <v>47300</v>
      </c>
      <c r="B420" s="12">
        <f t="shared" si="15"/>
        <v>1270.6949999999999</v>
      </c>
      <c r="C420" s="10"/>
      <c r="E420" s="11">
        <v>47300</v>
      </c>
      <c r="F420" s="9">
        <f t="shared" si="13"/>
        <v>1270.6949999999999</v>
      </c>
      <c r="H420" s="11">
        <v>47300</v>
      </c>
      <c r="I420" s="9">
        <f t="shared" si="12"/>
        <v>1270.6949999999999</v>
      </c>
    </row>
    <row r="421" spans="1:9">
      <c r="A421" s="11">
        <v>47331</v>
      </c>
      <c r="B421" s="12">
        <f t="shared" si="15"/>
        <v>1270.6949999999999</v>
      </c>
      <c r="C421" s="10"/>
      <c r="E421" s="11">
        <v>47331</v>
      </c>
      <c r="F421" s="9">
        <f t="shared" si="13"/>
        <v>1270.6949999999999</v>
      </c>
      <c r="H421" s="11">
        <v>47331</v>
      </c>
      <c r="I421" s="9">
        <f t="shared" si="12"/>
        <v>1270.6949999999999</v>
      </c>
    </row>
    <row r="422" spans="1:9">
      <c r="A422" s="11">
        <v>47362</v>
      </c>
      <c r="B422" s="12">
        <f t="shared" si="15"/>
        <v>1270.6949999999999</v>
      </c>
      <c r="C422" s="10"/>
      <c r="E422" s="11">
        <v>47362</v>
      </c>
      <c r="F422" s="9">
        <f t="shared" si="13"/>
        <v>1270.6949999999999</v>
      </c>
      <c r="H422" s="11">
        <v>47362</v>
      </c>
      <c r="I422" s="9">
        <f t="shared" si="12"/>
        <v>1270.6949999999999</v>
      </c>
    </row>
    <row r="423" spans="1:9">
      <c r="A423" s="11">
        <v>47392</v>
      </c>
      <c r="B423" s="12">
        <f t="shared" si="15"/>
        <v>1270.6949999999999</v>
      </c>
      <c r="C423" s="10"/>
      <c r="E423" s="11">
        <v>47392</v>
      </c>
      <c r="F423" s="9">
        <f t="shared" si="13"/>
        <v>1270.6949999999999</v>
      </c>
      <c r="H423" s="11">
        <v>47392</v>
      </c>
      <c r="I423" s="9">
        <f t="shared" si="12"/>
        <v>1270.6949999999999</v>
      </c>
    </row>
    <row r="424" spans="1:9">
      <c r="A424" s="11">
        <v>47423</v>
      </c>
      <c r="B424" s="12">
        <f t="shared" si="15"/>
        <v>1270.6949999999999</v>
      </c>
      <c r="C424" s="10"/>
      <c r="E424" s="11">
        <v>47423</v>
      </c>
      <c r="F424" s="9">
        <f t="shared" si="13"/>
        <v>1270.6949999999999</v>
      </c>
      <c r="H424" s="11">
        <v>47423</v>
      </c>
      <c r="I424" s="9">
        <f t="shared" si="12"/>
        <v>1270.6949999999999</v>
      </c>
    </row>
    <row r="425" spans="1:9">
      <c r="A425" s="11">
        <v>47453</v>
      </c>
      <c r="B425" s="12">
        <f t="shared" si="15"/>
        <v>1270.6949999999999</v>
      </c>
      <c r="C425" s="10"/>
      <c r="E425" s="11">
        <v>47453</v>
      </c>
      <c r="F425" s="9">
        <f t="shared" si="13"/>
        <v>1270.6949999999999</v>
      </c>
      <c r="H425" s="11">
        <v>47453</v>
      </c>
      <c r="I425" s="9">
        <f t="shared" si="12"/>
        <v>1270.6949999999999</v>
      </c>
    </row>
    <row r="426" spans="1:9">
      <c r="A426" s="11">
        <v>47484</v>
      </c>
      <c r="B426" s="12">
        <f t="shared" si="15"/>
        <v>1270.6949999999999</v>
      </c>
      <c r="C426" s="10"/>
      <c r="E426" s="11">
        <v>47484</v>
      </c>
      <c r="F426" s="9">
        <f t="shared" si="13"/>
        <v>1270.6949999999999</v>
      </c>
      <c r="H426" s="11">
        <v>47484</v>
      </c>
      <c r="I426" s="9">
        <f t="shared" si="12"/>
        <v>1270.6949999999999</v>
      </c>
    </row>
    <row r="427" spans="1:9">
      <c r="A427" s="11">
        <v>47515</v>
      </c>
      <c r="B427" s="12">
        <f t="shared" si="15"/>
        <v>1270.6949999999999</v>
      </c>
      <c r="C427" s="10"/>
      <c r="E427" s="11">
        <v>47515</v>
      </c>
      <c r="F427" s="9">
        <f t="shared" ref="F427:F490" si="16">B426</f>
        <v>1270.6949999999999</v>
      </c>
      <c r="H427" s="11">
        <v>47515</v>
      </c>
      <c r="I427" s="9">
        <f t="shared" ref="I427:I490" si="17">B425</f>
        <v>1270.6949999999999</v>
      </c>
    </row>
    <row r="428" spans="1:9">
      <c r="A428" s="11">
        <v>47543</v>
      </c>
      <c r="B428" s="12">
        <f t="shared" si="15"/>
        <v>1270.6949999999999</v>
      </c>
      <c r="C428" s="10"/>
      <c r="E428" s="11">
        <v>47543</v>
      </c>
      <c r="F428" s="9">
        <f t="shared" si="16"/>
        <v>1270.6949999999999</v>
      </c>
      <c r="H428" s="11">
        <v>47543</v>
      </c>
      <c r="I428" s="9">
        <f t="shared" si="17"/>
        <v>1270.6949999999999</v>
      </c>
    </row>
    <row r="429" spans="1:9">
      <c r="A429" s="11">
        <v>47574</v>
      </c>
      <c r="B429" s="12">
        <f t="shared" si="15"/>
        <v>1270.6949999999999</v>
      </c>
      <c r="C429" s="10"/>
      <c r="E429" s="11">
        <v>47574</v>
      </c>
      <c r="F429" s="9">
        <f t="shared" si="16"/>
        <v>1270.6949999999999</v>
      </c>
      <c r="H429" s="11">
        <v>47574</v>
      </c>
      <c r="I429" s="9">
        <f t="shared" si="17"/>
        <v>1270.6949999999999</v>
      </c>
    </row>
    <row r="430" spans="1:9">
      <c r="A430" s="11">
        <v>47604</v>
      </c>
      <c r="B430" s="12">
        <f t="shared" si="15"/>
        <v>1270.6949999999999</v>
      </c>
      <c r="C430" s="10"/>
      <c r="E430" s="11">
        <v>47604</v>
      </c>
      <c r="F430" s="9">
        <f t="shared" si="16"/>
        <v>1270.6949999999999</v>
      </c>
      <c r="H430" s="11">
        <v>47604</v>
      </c>
      <c r="I430" s="9">
        <f t="shared" si="17"/>
        <v>1270.6949999999999</v>
      </c>
    </row>
    <row r="431" spans="1:9">
      <c r="A431" s="11">
        <v>47635</v>
      </c>
      <c r="B431" s="12">
        <f t="shared" si="15"/>
        <v>1270.6949999999999</v>
      </c>
      <c r="C431" s="10"/>
      <c r="E431" s="11">
        <v>47635</v>
      </c>
      <c r="F431" s="9">
        <f t="shared" si="16"/>
        <v>1270.6949999999999</v>
      </c>
      <c r="H431" s="11">
        <v>47635</v>
      </c>
      <c r="I431" s="9">
        <f t="shared" si="17"/>
        <v>1270.6949999999999</v>
      </c>
    </row>
    <row r="432" spans="1:9">
      <c r="A432" s="11">
        <v>47665</v>
      </c>
      <c r="B432" s="12">
        <f t="shared" si="15"/>
        <v>1270.6949999999999</v>
      </c>
      <c r="C432" s="10"/>
      <c r="E432" s="11">
        <v>47665</v>
      </c>
      <c r="F432" s="9">
        <f t="shared" si="16"/>
        <v>1270.6949999999999</v>
      </c>
      <c r="H432" s="11">
        <v>47665</v>
      </c>
      <c r="I432" s="9">
        <f t="shared" si="17"/>
        <v>1270.6949999999999</v>
      </c>
    </row>
    <row r="433" spans="1:9">
      <c r="A433" s="11">
        <v>47696</v>
      </c>
      <c r="B433" s="12">
        <f t="shared" si="15"/>
        <v>1270.6949999999999</v>
      </c>
      <c r="C433" s="10"/>
      <c r="E433" s="11">
        <v>47696</v>
      </c>
      <c r="F433" s="9">
        <f t="shared" si="16"/>
        <v>1270.6949999999999</v>
      </c>
      <c r="H433" s="11">
        <v>47696</v>
      </c>
      <c r="I433" s="9">
        <f t="shared" si="17"/>
        <v>1270.6949999999999</v>
      </c>
    </row>
    <row r="434" spans="1:9">
      <c r="A434" s="11">
        <v>47727</v>
      </c>
      <c r="B434" s="12">
        <f t="shared" si="15"/>
        <v>1270.6949999999999</v>
      </c>
      <c r="C434" s="10"/>
      <c r="E434" s="11">
        <v>47727</v>
      </c>
      <c r="F434" s="9">
        <f t="shared" si="16"/>
        <v>1270.6949999999999</v>
      </c>
      <c r="H434" s="11">
        <v>47727</v>
      </c>
      <c r="I434" s="9">
        <f t="shared" si="17"/>
        <v>1270.6949999999999</v>
      </c>
    </row>
    <row r="435" spans="1:9">
      <c r="A435" s="11">
        <v>47757</v>
      </c>
      <c r="B435" s="12">
        <f t="shared" si="15"/>
        <v>1270.6949999999999</v>
      </c>
      <c r="C435" s="10"/>
      <c r="E435" s="11">
        <v>47757</v>
      </c>
      <c r="F435" s="9">
        <f t="shared" si="16"/>
        <v>1270.6949999999999</v>
      </c>
      <c r="H435" s="11">
        <v>47757</v>
      </c>
      <c r="I435" s="9">
        <f t="shared" si="17"/>
        <v>1270.6949999999999</v>
      </c>
    </row>
    <row r="436" spans="1:9">
      <c r="A436" s="11">
        <v>47788</v>
      </c>
      <c r="B436" s="12">
        <f t="shared" si="15"/>
        <v>1270.6949999999999</v>
      </c>
      <c r="C436" s="10"/>
      <c r="E436" s="11">
        <v>47788</v>
      </c>
      <c r="F436" s="9">
        <f t="shared" si="16"/>
        <v>1270.6949999999999</v>
      </c>
      <c r="H436" s="11">
        <v>47788</v>
      </c>
      <c r="I436" s="9">
        <f t="shared" si="17"/>
        <v>1270.6949999999999</v>
      </c>
    </row>
    <row r="437" spans="1:9">
      <c r="A437" s="11">
        <v>47818</v>
      </c>
      <c r="B437" s="12">
        <f t="shared" si="15"/>
        <v>1270.6949999999999</v>
      </c>
      <c r="C437" s="10"/>
      <c r="E437" s="11">
        <v>47818</v>
      </c>
      <c r="F437" s="9">
        <f t="shared" si="16"/>
        <v>1270.6949999999999</v>
      </c>
      <c r="H437" s="11">
        <v>47818</v>
      </c>
      <c r="I437" s="9">
        <f t="shared" si="17"/>
        <v>1270.6949999999999</v>
      </c>
    </row>
    <row r="438" spans="1:9">
      <c r="A438" s="11">
        <v>47849</v>
      </c>
      <c r="B438" s="12">
        <f t="shared" si="15"/>
        <v>1270.6949999999999</v>
      </c>
      <c r="C438" s="10"/>
      <c r="E438" s="11">
        <v>47849</v>
      </c>
      <c r="F438" s="9">
        <f t="shared" si="16"/>
        <v>1270.6949999999999</v>
      </c>
      <c r="H438" s="11">
        <v>47849</v>
      </c>
      <c r="I438" s="9">
        <f t="shared" si="17"/>
        <v>1270.6949999999999</v>
      </c>
    </row>
    <row r="439" spans="1:9">
      <c r="A439" s="11">
        <v>47880</v>
      </c>
      <c r="B439" s="12">
        <f t="shared" si="15"/>
        <v>1270.6949999999999</v>
      </c>
      <c r="C439" s="10"/>
      <c r="E439" s="11">
        <v>47880</v>
      </c>
      <c r="F439" s="9">
        <f t="shared" si="16"/>
        <v>1270.6949999999999</v>
      </c>
      <c r="H439" s="11">
        <v>47880</v>
      </c>
      <c r="I439" s="9">
        <f t="shared" si="17"/>
        <v>1270.6949999999999</v>
      </c>
    </row>
    <row r="440" spans="1:9">
      <c r="A440" s="11">
        <v>47908</v>
      </c>
      <c r="B440" s="12">
        <f t="shared" si="15"/>
        <v>1270.6949999999999</v>
      </c>
      <c r="C440" s="10"/>
      <c r="E440" s="11">
        <v>47908</v>
      </c>
      <c r="F440" s="9">
        <f t="shared" si="16"/>
        <v>1270.6949999999999</v>
      </c>
      <c r="H440" s="11">
        <v>47908</v>
      </c>
      <c r="I440" s="9">
        <f t="shared" si="17"/>
        <v>1270.6949999999999</v>
      </c>
    </row>
    <row r="441" spans="1:9">
      <c r="A441" s="11">
        <v>47939</v>
      </c>
      <c r="B441" s="12">
        <f t="shared" si="15"/>
        <v>1270.6949999999999</v>
      </c>
      <c r="C441" s="10"/>
      <c r="E441" s="11">
        <v>47939</v>
      </c>
      <c r="F441" s="9">
        <f t="shared" si="16"/>
        <v>1270.6949999999999</v>
      </c>
      <c r="H441" s="11">
        <v>47939</v>
      </c>
      <c r="I441" s="9">
        <f t="shared" si="17"/>
        <v>1270.6949999999999</v>
      </c>
    </row>
    <row r="442" spans="1:9">
      <c r="A442" s="11">
        <v>47969</v>
      </c>
      <c r="B442" s="12">
        <f t="shared" si="15"/>
        <v>1270.6949999999999</v>
      </c>
      <c r="C442" s="10"/>
      <c r="E442" s="11">
        <v>47969</v>
      </c>
      <c r="F442" s="9">
        <f t="shared" si="16"/>
        <v>1270.6949999999999</v>
      </c>
      <c r="H442" s="11">
        <v>47969</v>
      </c>
      <c r="I442" s="9">
        <f t="shared" si="17"/>
        <v>1270.6949999999999</v>
      </c>
    </row>
    <row r="443" spans="1:9">
      <c r="A443" s="11">
        <v>48000</v>
      </c>
      <c r="B443" s="12">
        <f t="shared" si="15"/>
        <v>1270.6949999999999</v>
      </c>
      <c r="C443" s="10"/>
      <c r="E443" s="11">
        <v>48000</v>
      </c>
      <c r="F443" s="9">
        <f t="shared" si="16"/>
        <v>1270.6949999999999</v>
      </c>
      <c r="H443" s="11">
        <v>48000</v>
      </c>
      <c r="I443" s="9">
        <f t="shared" si="17"/>
        <v>1270.6949999999999</v>
      </c>
    </row>
    <row r="444" spans="1:9">
      <c r="A444" s="11">
        <v>48030</v>
      </c>
      <c r="B444" s="12">
        <f t="shared" si="15"/>
        <v>1270.6949999999999</v>
      </c>
      <c r="C444" s="10"/>
      <c r="E444" s="11">
        <v>48030</v>
      </c>
      <c r="F444" s="9">
        <f t="shared" si="16"/>
        <v>1270.6949999999999</v>
      </c>
      <c r="H444" s="11">
        <v>48030</v>
      </c>
      <c r="I444" s="9">
        <f t="shared" si="17"/>
        <v>1270.6949999999999</v>
      </c>
    </row>
    <row r="445" spans="1:9">
      <c r="A445" s="11">
        <v>48061</v>
      </c>
      <c r="B445" s="12">
        <f t="shared" si="15"/>
        <v>1270.6949999999999</v>
      </c>
      <c r="C445" s="10"/>
      <c r="E445" s="11">
        <v>48061</v>
      </c>
      <c r="F445" s="9">
        <f t="shared" si="16"/>
        <v>1270.6949999999999</v>
      </c>
      <c r="H445" s="11">
        <v>48061</v>
      </c>
      <c r="I445" s="9">
        <f t="shared" si="17"/>
        <v>1270.6949999999999</v>
      </c>
    </row>
    <row r="446" spans="1:9">
      <c r="A446" s="11">
        <v>48092</v>
      </c>
      <c r="B446" s="12">
        <f t="shared" si="15"/>
        <v>1270.6949999999999</v>
      </c>
      <c r="C446" s="10"/>
      <c r="E446" s="11">
        <v>48092</v>
      </c>
      <c r="F446" s="9">
        <f t="shared" si="16"/>
        <v>1270.6949999999999</v>
      </c>
      <c r="H446" s="11">
        <v>48092</v>
      </c>
      <c r="I446" s="9">
        <f t="shared" si="17"/>
        <v>1270.6949999999999</v>
      </c>
    </row>
    <row r="447" spans="1:9">
      <c r="A447" s="11">
        <v>48122</v>
      </c>
      <c r="B447" s="12">
        <f t="shared" si="15"/>
        <v>1270.6949999999999</v>
      </c>
      <c r="C447" s="10"/>
      <c r="E447" s="11">
        <v>48122</v>
      </c>
      <c r="F447" s="9">
        <f t="shared" si="16"/>
        <v>1270.6949999999999</v>
      </c>
      <c r="H447" s="11">
        <v>48122</v>
      </c>
      <c r="I447" s="9">
        <f t="shared" si="17"/>
        <v>1270.6949999999999</v>
      </c>
    </row>
    <row r="448" spans="1:9">
      <c r="A448" s="11">
        <v>48153</v>
      </c>
      <c r="B448" s="12">
        <f t="shared" si="15"/>
        <v>1270.6949999999999</v>
      </c>
      <c r="C448" s="10"/>
      <c r="E448" s="11">
        <v>48153</v>
      </c>
      <c r="F448" s="9">
        <f t="shared" si="16"/>
        <v>1270.6949999999999</v>
      </c>
      <c r="H448" s="11">
        <v>48153</v>
      </c>
      <c r="I448" s="9">
        <f t="shared" si="17"/>
        <v>1270.6949999999999</v>
      </c>
    </row>
    <row r="449" spans="1:9">
      <c r="A449" s="11">
        <v>48183</v>
      </c>
      <c r="B449" s="12">
        <f t="shared" si="15"/>
        <v>1270.6949999999999</v>
      </c>
      <c r="C449" s="10"/>
      <c r="E449" s="11">
        <v>48183</v>
      </c>
      <c r="F449" s="9">
        <f t="shared" si="16"/>
        <v>1270.6949999999999</v>
      </c>
      <c r="H449" s="11">
        <v>48183</v>
      </c>
      <c r="I449" s="9">
        <f t="shared" si="17"/>
        <v>1270.6949999999999</v>
      </c>
    </row>
    <row r="450" spans="1:9">
      <c r="A450" s="11">
        <v>48214</v>
      </c>
      <c r="B450" s="12">
        <f t="shared" si="15"/>
        <v>1270.6949999999999</v>
      </c>
      <c r="C450" s="10"/>
      <c r="E450" s="11">
        <v>48214</v>
      </c>
      <c r="F450" s="9">
        <f t="shared" si="16"/>
        <v>1270.6949999999999</v>
      </c>
      <c r="H450" s="11">
        <v>48214</v>
      </c>
      <c r="I450" s="9">
        <f t="shared" si="17"/>
        <v>1270.6949999999999</v>
      </c>
    </row>
    <row r="451" spans="1:9">
      <c r="A451" s="11">
        <v>48245</v>
      </c>
      <c r="B451" s="12">
        <f t="shared" si="15"/>
        <v>1270.6949999999999</v>
      </c>
      <c r="C451" s="10"/>
      <c r="E451" s="11">
        <v>48245</v>
      </c>
      <c r="F451" s="9">
        <f t="shared" si="16"/>
        <v>1270.6949999999999</v>
      </c>
      <c r="H451" s="11">
        <v>48245</v>
      </c>
      <c r="I451" s="9">
        <f t="shared" si="17"/>
        <v>1270.6949999999999</v>
      </c>
    </row>
    <row r="452" spans="1:9">
      <c r="A452" s="11">
        <v>48274</v>
      </c>
      <c r="B452" s="12">
        <f t="shared" si="15"/>
        <v>1270.6949999999999</v>
      </c>
      <c r="C452" s="10"/>
      <c r="E452" s="11">
        <v>48274</v>
      </c>
      <c r="F452" s="9">
        <f t="shared" si="16"/>
        <v>1270.6949999999999</v>
      </c>
      <c r="H452" s="11">
        <v>48274</v>
      </c>
      <c r="I452" s="9">
        <f t="shared" si="17"/>
        <v>1270.6949999999999</v>
      </c>
    </row>
    <row r="453" spans="1:9">
      <c r="A453" s="11">
        <v>48305</v>
      </c>
      <c r="B453" s="12">
        <f t="shared" si="15"/>
        <v>1270.6949999999999</v>
      </c>
      <c r="C453" s="10"/>
      <c r="E453" s="11">
        <v>48305</v>
      </c>
      <c r="F453" s="9">
        <f t="shared" si="16"/>
        <v>1270.6949999999999</v>
      </c>
      <c r="H453" s="11">
        <v>48305</v>
      </c>
      <c r="I453" s="9">
        <f t="shared" si="17"/>
        <v>1270.6949999999999</v>
      </c>
    </row>
    <row r="454" spans="1:9">
      <c r="A454" s="11">
        <v>48335</v>
      </c>
      <c r="B454" s="12">
        <f t="shared" si="15"/>
        <v>1270.6949999999999</v>
      </c>
      <c r="C454" s="10"/>
      <c r="E454" s="11">
        <v>48335</v>
      </c>
      <c r="F454" s="9">
        <f t="shared" si="16"/>
        <v>1270.6949999999999</v>
      </c>
      <c r="H454" s="11">
        <v>48335</v>
      </c>
      <c r="I454" s="9">
        <f t="shared" si="17"/>
        <v>1270.6949999999999</v>
      </c>
    </row>
    <row r="455" spans="1:9">
      <c r="A455" s="11">
        <v>48366</v>
      </c>
      <c r="B455" s="12">
        <f t="shared" si="15"/>
        <v>1270.6949999999999</v>
      </c>
      <c r="C455" s="10"/>
      <c r="E455" s="11">
        <v>48366</v>
      </c>
      <c r="F455" s="9">
        <f t="shared" si="16"/>
        <v>1270.6949999999999</v>
      </c>
      <c r="H455" s="11">
        <v>48366</v>
      </c>
      <c r="I455" s="9">
        <f t="shared" si="17"/>
        <v>1270.6949999999999</v>
      </c>
    </row>
    <row r="456" spans="1:9">
      <c r="A456" s="11">
        <v>48396</v>
      </c>
      <c r="B456" s="12">
        <f t="shared" si="15"/>
        <v>1270.6949999999999</v>
      </c>
      <c r="C456" s="10"/>
      <c r="E456" s="11">
        <v>48396</v>
      </c>
      <c r="F456" s="9">
        <f t="shared" si="16"/>
        <v>1270.6949999999999</v>
      </c>
      <c r="H456" s="11">
        <v>48396</v>
      </c>
      <c r="I456" s="9">
        <f t="shared" si="17"/>
        <v>1270.6949999999999</v>
      </c>
    </row>
    <row r="457" spans="1:9">
      <c r="A457" s="11">
        <v>48427</v>
      </c>
      <c r="B457" s="12">
        <f t="shared" si="15"/>
        <v>1270.6949999999999</v>
      </c>
      <c r="C457" s="10"/>
      <c r="E457" s="11">
        <v>48427</v>
      </c>
      <c r="F457" s="9">
        <f t="shared" si="16"/>
        <v>1270.6949999999999</v>
      </c>
      <c r="H457" s="11">
        <v>48427</v>
      </c>
      <c r="I457" s="9">
        <f t="shared" si="17"/>
        <v>1270.6949999999999</v>
      </c>
    </row>
    <row r="458" spans="1:9">
      <c r="A458" s="11">
        <v>48458</v>
      </c>
      <c r="B458" s="12">
        <f t="shared" si="15"/>
        <v>1270.6949999999999</v>
      </c>
      <c r="C458" s="10"/>
      <c r="E458" s="11">
        <v>48458</v>
      </c>
      <c r="F458" s="9">
        <f t="shared" si="16"/>
        <v>1270.6949999999999</v>
      </c>
      <c r="H458" s="11">
        <v>48458</v>
      </c>
      <c r="I458" s="9">
        <f t="shared" si="17"/>
        <v>1270.6949999999999</v>
      </c>
    </row>
    <row r="459" spans="1:9">
      <c r="A459" s="11">
        <v>48488</v>
      </c>
      <c r="B459" s="12">
        <f t="shared" si="15"/>
        <v>1270.6949999999999</v>
      </c>
      <c r="C459" s="10"/>
      <c r="E459" s="11">
        <v>48488</v>
      </c>
      <c r="F459" s="9">
        <f t="shared" si="16"/>
        <v>1270.6949999999999</v>
      </c>
      <c r="H459" s="11">
        <v>48488</v>
      </c>
      <c r="I459" s="9">
        <f t="shared" si="17"/>
        <v>1270.6949999999999</v>
      </c>
    </row>
    <row r="460" spans="1:9">
      <c r="A460" s="11">
        <v>48519</v>
      </c>
      <c r="B460" s="12">
        <f t="shared" si="15"/>
        <v>1270.6949999999999</v>
      </c>
      <c r="C460" s="10"/>
      <c r="E460" s="11">
        <v>48519</v>
      </c>
      <c r="F460" s="9">
        <f t="shared" si="16"/>
        <v>1270.6949999999999</v>
      </c>
      <c r="H460" s="11">
        <v>48519</v>
      </c>
      <c r="I460" s="9">
        <f t="shared" si="17"/>
        <v>1270.6949999999999</v>
      </c>
    </row>
    <row r="461" spans="1:9">
      <c r="A461" s="11">
        <v>48549</v>
      </c>
      <c r="B461" s="12">
        <f t="shared" si="15"/>
        <v>1270.6949999999999</v>
      </c>
      <c r="C461" s="10"/>
      <c r="E461" s="11">
        <v>48549</v>
      </c>
      <c r="F461" s="9">
        <f t="shared" si="16"/>
        <v>1270.6949999999999</v>
      </c>
      <c r="H461" s="11">
        <v>48549</v>
      </c>
      <c r="I461" s="9">
        <f t="shared" si="17"/>
        <v>1270.6949999999999</v>
      </c>
    </row>
    <row r="462" spans="1:9">
      <c r="A462" s="11">
        <v>48580</v>
      </c>
      <c r="B462" s="12">
        <f t="shared" si="15"/>
        <v>1270.6949999999999</v>
      </c>
      <c r="C462" s="10"/>
      <c r="E462" s="11">
        <v>48580</v>
      </c>
      <c r="F462" s="9">
        <f t="shared" si="16"/>
        <v>1270.6949999999999</v>
      </c>
      <c r="H462" s="11">
        <v>48580</v>
      </c>
      <c r="I462" s="9">
        <f t="shared" si="17"/>
        <v>1270.6949999999999</v>
      </c>
    </row>
    <row r="463" spans="1:9">
      <c r="A463" s="11">
        <v>48611</v>
      </c>
      <c r="B463" s="12">
        <f t="shared" si="15"/>
        <v>1270.6949999999999</v>
      </c>
      <c r="C463" s="10"/>
      <c r="E463" s="11">
        <v>48611</v>
      </c>
      <c r="F463" s="9">
        <f t="shared" si="16"/>
        <v>1270.6949999999999</v>
      </c>
      <c r="H463" s="11">
        <v>48611</v>
      </c>
      <c r="I463" s="9">
        <f t="shared" si="17"/>
        <v>1270.6949999999999</v>
      </c>
    </row>
    <row r="464" spans="1:9">
      <c r="A464" s="11">
        <v>48639</v>
      </c>
      <c r="B464" s="12">
        <f t="shared" si="15"/>
        <v>1270.6949999999999</v>
      </c>
      <c r="C464" s="10"/>
      <c r="E464" s="11">
        <v>48639</v>
      </c>
      <c r="F464" s="9">
        <f t="shared" si="16"/>
        <v>1270.6949999999999</v>
      </c>
      <c r="H464" s="11">
        <v>48639</v>
      </c>
      <c r="I464" s="9">
        <f t="shared" si="17"/>
        <v>1270.6949999999999</v>
      </c>
    </row>
    <row r="465" spans="1:9">
      <c r="A465" s="11">
        <v>48670</v>
      </c>
      <c r="B465" s="12">
        <f t="shared" si="15"/>
        <v>1270.6949999999999</v>
      </c>
      <c r="C465" s="10"/>
      <c r="E465" s="11">
        <v>48670</v>
      </c>
      <c r="F465" s="9">
        <f t="shared" si="16"/>
        <v>1270.6949999999999</v>
      </c>
      <c r="H465" s="11">
        <v>48670</v>
      </c>
      <c r="I465" s="9">
        <f t="shared" si="17"/>
        <v>1270.6949999999999</v>
      </c>
    </row>
    <row r="466" spans="1:9">
      <c r="A466" s="11">
        <v>48700</v>
      </c>
      <c r="B466" s="12">
        <f t="shared" si="15"/>
        <v>1270.6949999999999</v>
      </c>
      <c r="C466" s="10"/>
      <c r="E466" s="11">
        <v>48700</v>
      </c>
      <c r="F466" s="9">
        <f t="shared" si="16"/>
        <v>1270.6949999999999</v>
      </c>
      <c r="H466" s="11">
        <v>48700</v>
      </c>
      <c r="I466" s="9">
        <f t="shared" si="17"/>
        <v>1270.6949999999999</v>
      </c>
    </row>
    <row r="467" spans="1:9">
      <c r="A467" s="11">
        <v>48731</v>
      </c>
      <c r="B467" s="12">
        <f t="shared" si="15"/>
        <v>1270.6949999999999</v>
      </c>
      <c r="C467" s="10"/>
      <c r="E467" s="11">
        <v>48731</v>
      </c>
      <c r="F467" s="9">
        <f t="shared" si="16"/>
        <v>1270.6949999999999</v>
      </c>
      <c r="H467" s="11">
        <v>48731</v>
      </c>
      <c r="I467" s="9">
        <f t="shared" si="17"/>
        <v>1270.6949999999999</v>
      </c>
    </row>
    <row r="468" spans="1:9">
      <c r="A468" s="11">
        <v>48761</v>
      </c>
      <c r="B468" s="12">
        <f t="shared" si="15"/>
        <v>1270.6949999999999</v>
      </c>
      <c r="C468" s="10"/>
      <c r="E468" s="11">
        <v>48761</v>
      </c>
      <c r="F468" s="9">
        <f t="shared" si="16"/>
        <v>1270.6949999999999</v>
      </c>
      <c r="H468" s="11">
        <v>48761</v>
      </c>
      <c r="I468" s="9">
        <f t="shared" si="17"/>
        <v>1270.6949999999999</v>
      </c>
    </row>
    <row r="469" spans="1:9">
      <c r="A469" s="11">
        <v>48792</v>
      </c>
      <c r="B469" s="12">
        <f t="shared" si="15"/>
        <v>1270.6949999999999</v>
      </c>
      <c r="C469" s="10"/>
      <c r="E469" s="11">
        <v>48792</v>
      </c>
      <c r="F469" s="9">
        <f t="shared" si="16"/>
        <v>1270.6949999999999</v>
      </c>
      <c r="H469" s="11">
        <v>48792</v>
      </c>
      <c r="I469" s="9">
        <f t="shared" si="17"/>
        <v>1270.6949999999999</v>
      </c>
    </row>
    <row r="470" spans="1:9">
      <c r="A470" s="11">
        <v>48823</v>
      </c>
      <c r="B470" s="12">
        <f t="shared" si="15"/>
        <v>1270.6949999999999</v>
      </c>
      <c r="C470" s="10"/>
      <c r="E470" s="11">
        <v>48823</v>
      </c>
      <c r="F470" s="9">
        <f t="shared" si="16"/>
        <v>1270.6949999999999</v>
      </c>
      <c r="H470" s="11">
        <v>48823</v>
      </c>
      <c r="I470" s="9">
        <f t="shared" si="17"/>
        <v>1270.6949999999999</v>
      </c>
    </row>
    <row r="471" spans="1:9">
      <c r="A471" s="11">
        <v>48853</v>
      </c>
      <c r="B471" s="12">
        <f t="shared" si="15"/>
        <v>1270.6949999999999</v>
      </c>
      <c r="C471" s="10"/>
      <c r="E471" s="11">
        <v>48853</v>
      </c>
      <c r="F471" s="9">
        <f t="shared" si="16"/>
        <v>1270.6949999999999</v>
      </c>
      <c r="H471" s="11">
        <v>48853</v>
      </c>
      <c r="I471" s="9">
        <f t="shared" si="17"/>
        <v>1270.6949999999999</v>
      </c>
    </row>
    <row r="472" spans="1:9">
      <c r="A472" s="11">
        <v>48884</v>
      </c>
      <c r="B472" s="12">
        <f t="shared" si="15"/>
        <v>1270.6949999999999</v>
      </c>
      <c r="C472" s="10"/>
      <c r="E472" s="11">
        <v>48884</v>
      </c>
      <c r="F472" s="9">
        <f t="shared" si="16"/>
        <v>1270.6949999999999</v>
      </c>
      <c r="H472" s="11">
        <v>48884</v>
      </c>
      <c r="I472" s="9">
        <f t="shared" si="17"/>
        <v>1270.6949999999999</v>
      </c>
    </row>
    <row r="473" spans="1:9">
      <c r="A473" s="11">
        <v>48914</v>
      </c>
      <c r="B473" s="12">
        <f t="shared" si="15"/>
        <v>1270.6949999999999</v>
      </c>
      <c r="C473" s="10"/>
      <c r="E473" s="11">
        <v>48914</v>
      </c>
      <c r="F473" s="9">
        <f t="shared" si="16"/>
        <v>1270.6949999999999</v>
      </c>
      <c r="H473" s="11">
        <v>48914</v>
      </c>
      <c r="I473" s="9">
        <f t="shared" si="17"/>
        <v>1270.6949999999999</v>
      </c>
    </row>
    <row r="474" spans="1:9">
      <c r="A474" s="11">
        <v>48945</v>
      </c>
      <c r="B474" s="12">
        <f t="shared" si="15"/>
        <v>1270.6949999999999</v>
      </c>
      <c r="C474" s="10"/>
      <c r="E474" s="11">
        <v>48945</v>
      </c>
      <c r="F474" s="9">
        <f t="shared" si="16"/>
        <v>1270.6949999999999</v>
      </c>
      <c r="H474" s="11">
        <v>48945</v>
      </c>
      <c r="I474" s="9">
        <f t="shared" si="17"/>
        <v>1270.6949999999999</v>
      </c>
    </row>
    <row r="475" spans="1:9">
      <c r="A475" s="11">
        <v>48976</v>
      </c>
      <c r="B475" s="12">
        <f t="shared" si="15"/>
        <v>1270.6949999999999</v>
      </c>
      <c r="C475" s="10"/>
      <c r="E475" s="11">
        <v>48976</v>
      </c>
      <c r="F475" s="9">
        <f t="shared" si="16"/>
        <v>1270.6949999999999</v>
      </c>
      <c r="H475" s="11">
        <v>48976</v>
      </c>
      <c r="I475" s="9">
        <f t="shared" si="17"/>
        <v>1270.6949999999999</v>
      </c>
    </row>
    <row r="476" spans="1:9">
      <c r="A476" s="11">
        <v>49004</v>
      </c>
      <c r="B476" s="12">
        <f t="shared" si="15"/>
        <v>1270.6949999999999</v>
      </c>
      <c r="C476" s="10"/>
      <c r="E476" s="11">
        <v>49004</v>
      </c>
      <c r="F476" s="9">
        <f t="shared" si="16"/>
        <v>1270.6949999999999</v>
      </c>
      <c r="H476" s="11">
        <v>49004</v>
      </c>
      <c r="I476" s="9">
        <f t="shared" si="17"/>
        <v>1270.6949999999999</v>
      </c>
    </row>
    <row r="477" spans="1:9">
      <c r="A477" s="11">
        <v>49035</v>
      </c>
      <c r="B477" s="12">
        <f t="shared" si="15"/>
        <v>1270.6949999999999</v>
      </c>
      <c r="C477" s="10"/>
      <c r="E477" s="11">
        <v>49035</v>
      </c>
      <c r="F477" s="9">
        <f t="shared" si="16"/>
        <v>1270.6949999999999</v>
      </c>
      <c r="H477" s="11">
        <v>49035</v>
      </c>
      <c r="I477" s="9">
        <f t="shared" si="17"/>
        <v>1270.6949999999999</v>
      </c>
    </row>
    <row r="478" spans="1:9">
      <c r="A478" s="11">
        <v>49065</v>
      </c>
      <c r="B478" s="12">
        <f t="shared" si="15"/>
        <v>1270.6949999999999</v>
      </c>
      <c r="C478" s="10"/>
      <c r="E478" s="11">
        <v>49065</v>
      </c>
      <c r="F478" s="9">
        <f t="shared" si="16"/>
        <v>1270.6949999999999</v>
      </c>
      <c r="H478" s="11">
        <v>49065</v>
      </c>
      <c r="I478" s="9">
        <f t="shared" si="17"/>
        <v>1270.6949999999999</v>
      </c>
    </row>
    <row r="479" spans="1:9">
      <c r="A479" s="11">
        <v>49096</v>
      </c>
      <c r="B479" s="12">
        <f t="shared" si="15"/>
        <v>1270.6949999999999</v>
      </c>
      <c r="C479" s="10"/>
      <c r="E479" s="11">
        <v>49096</v>
      </c>
      <c r="F479" s="9">
        <f t="shared" si="16"/>
        <v>1270.6949999999999</v>
      </c>
      <c r="H479" s="11">
        <v>49096</v>
      </c>
      <c r="I479" s="9">
        <f t="shared" si="17"/>
        <v>1270.6949999999999</v>
      </c>
    </row>
    <row r="480" spans="1:9">
      <c r="A480" s="11">
        <v>49126</v>
      </c>
      <c r="B480" s="12">
        <f t="shared" si="15"/>
        <v>1270.6949999999999</v>
      </c>
      <c r="C480" s="10"/>
      <c r="E480" s="11">
        <v>49126</v>
      </c>
      <c r="F480" s="9">
        <f t="shared" si="16"/>
        <v>1270.6949999999999</v>
      </c>
      <c r="H480" s="11">
        <v>49126</v>
      </c>
      <c r="I480" s="9">
        <f t="shared" si="17"/>
        <v>1270.6949999999999</v>
      </c>
    </row>
    <row r="481" spans="1:9">
      <c r="A481" s="11">
        <v>49157</v>
      </c>
      <c r="B481" s="12">
        <f t="shared" ref="B481:B544" si="18">B480</f>
        <v>1270.6949999999999</v>
      </c>
      <c r="C481" s="10"/>
      <c r="E481" s="11">
        <v>49157</v>
      </c>
      <c r="F481" s="9">
        <f t="shared" si="16"/>
        <v>1270.6949999999999</v>
      </c>
      <c r="H481" s="11">
        <v>49157</v>
      </c>
      <c r="I481" s="9">
        <f t="shared" si="17"/>
        <v>1270.6949999999999</v>
      </c>
    </row>
    <row r="482" spans="1:9">
      <c r="A482" s="11">
        <v>49188</v>
      </c>
      <c r="B482" s="12">
        <f t="shared" si="18"/>
        <v>1270.6949999999999</v>
      </c>
      <c r="C482" s="10"/>
      <c r="E482" s="11">
        <v>49188</v>
      </c>
      <c r="F482" s="9">
        <f t="shared" si="16"/>
        <v>1270.6949999999999</v>
      </c>
      <c r="H482" s="11">
        <v>49188</v>
      </c>
      <c r="I482" s="9">
        <f t="shared" si="17"/>
        <v>1270.6949999999999</v>
      </c>
    </row>
    <row r="483" spans="1:9">
      <c r="A483" s="11">
        <v>49218</v>
      </c>
      <c r="B483" s="12">
        <f t="shared" si="18"/>
        <v>1270.6949999999999</v>
      </c>
      <c r="C483" s="10"/>
      <c r="E483" s="11">
        <v>49218</v>
      </c>
      <c r="F483" s="9">
        <f t="shared" si="16"/>
        <v>1270.6949999999999</v>
      </c>
      <c r="H483" s="11">
        <v>49218</v>
      </c>
      <c r="I483" s="9">
        <f t="shared" si="17"/>
        <v>1270.6949999999999</v>
      </c>
    </row>
    <row r="484" spans="1:9">
      <c r="A484" s="11">
        <v>49249</v>
      </c>
      <c r="B484" s="12">
        <f t="shared" si="18"/>
        <v>1270.6949999999999</v>
      </c>
      <c r="C484" s="10"/>
      <c r="E484" s="11">
        <v>49249</v>
      </c>
      <c r="F484" s="9">
        <f t="shared" si="16"/>
        <v>1270.6949999999999</v>
      </c>
      <c r="H484" s="11">
        <v>49249</v>
      </c>
      <c r="I484" s="9">
        <f t="shared" si="17"/>
        <v>1270.6949999999999</v>
      </c>
    </row>
    <row r="485" spans="1:9">
      <c r="A485" s="11">
        <v>49279</v>
      </c>
      <c r="B485" s="12">
        <f t="shared" si="18"/>
        <v>1270.6949999999999</v>
      </c>
      <c r="C485" s="10"/>
      <c r="E485" s="11">
        <v>49279</v>
      </c>
      <c r="F485" s="9">
        <f t="shared" si="16"/>
        <v>1270.6949999999999</v>
      </c>
      <c r="H485" s="11">
        <v>49279</v>
      </c>
      <c r="I485" s="9">
        <f t="shared" si="17"/>
        <v>1270.6949999999999</v>
      </c>
    </row>
    <row r="486" spans="1:9">
      <c r="A486" s="11">
        <v>49310</v>
      </c>
      <c r="B486" s="12">
        <f t="shared" si="18"/>
        <v>1270.6949999999999</v>
      </c>
      <c r="C486" s="10"/>
      <c r="E486" s="11">
        <v>49310</v>
      </c>
      <c r="F486" s="9">
        <f t="shared" si="16"/>
        <v>1270.6949999999999</v>
      </c>
      <c r="H486" s="11">
        <v>49310</v>
      </c>
      <c r="I486" s="9">
        <f t="shared" si="17"/>
        <v>1270.6949999999999</v>
      </c>
    </row>
    <row r="487" spans="1:9">
      <c r="A487" s="11">
        <v>49341</v>
      </c>
      <c r="B487" s="12">
        <f t="shared" si="18"/>
        <v>1270.6949999999999</v>
      </c>
      <c r="C487" s="10"/>
      <c r="E487" s="11">
        <v>49341</v>
      </c>
      <c r="F487" s="9">
        <f t="shared" si="16"/>
        <v>1270.6949999999999</v>
      </c>
      <c r="H487" s="11">
        <v>49341</v>
      </c>
      <c r="I487" s="9">
        <f t="shared" si="17"/>
        <v>1270.6949999999999</v>
      </c>
    </row>
    <row r="488" spans="1:9">
      <c r="A488" s="11">
        <v>49369</v>
      </c>
      <c r="B488" s="12">
        <f t="shared" si="18"/>
        <v>1270.6949999999999</v>
      </c>
      <c r="C488" s="10"/>
      <c r="E488" s="11">
        <v>49369</v>
      </c>
      <c r="F488" s="9">
        <f t="shared" si="16"/>
        <v>1270.6949999999999</v>
      </c>
      <c r="H488" s="11">
        <v>49369</v>
      </c>
      <c r="I488" s="9">
        <f t="shared" si="17"/>
        <v>1270.6949999999999</v>
      </c>
    </row>
    <row r="489" spans="1:9">
      <c r="A489" s="11">
        <v>49400</v>
      </c>
      <c r="B489" s="12">
        <f t="shared" si="18"/>
        <v>1270.6949999999999</v>
      </c>
      <c r="C489" s="10"/>
      <c r="E489" s="11">
        <v>49400</v>
      </c>
      <c r="F489" s="9">
        <f t="shared" si="16"/>
        <v>1270.6949999999999</v>
      </c>
      <c r="H489" s="11">
        <v>49400</v>
      </c>
      <c r="I489" s="9">
        <f t="shared" si="17"/>
        <v>1270.6949999999999</v>
      </c>
    </row>
    <row r="490" spans="1:9">
      <c r="A490" s="11">
        <v>49430</v>
      </c>
      <c r="B490" s="12">
        <f t="shared" si="18"/>
        <v>1270.6949999999999</v>
      </c>
      <c r="C490" s="10"/>
      <c r="E490" s="11">
        <v>49430</v>
      </c>
      <c r="F490" s="9">
        <f t="shared" si="16"/>
        <v>1270.6949999999999</v>
      </c>
      <c r="H490" s="11">
        <v>49430</v>
      </c>
      <c r="I490" s="9">
        <f t="shared" si="17"/>
        <v>1270.6949999999999</v>
      </c>
    </row>
    <row r="491" spans="1:9">
      <c r="A491" s="11">
        <v>49461</v>
      </c>
      <c r="B491" s="12">
        <f t="shared" si="18"/>
        <v>1270.6949999999999</v>
      </c>
      <c r="C491" s="10"/>
      <c r="E491" s="11">
        <v>49461</v>
      </c>
      <c r="F491" s="9">
        <f t="shared" ref="F491:F554" si="19">B490</f>
        <v>1270.6949999999999</v>
      </c>
      <c r="H491" s="11">
        <v>49461</v>
      </c>
      <c r="I491" s="9">
        <f t="shared" ref="I491:I554" si="20">B489</f>
        <v>1270.6949999999999</v>
      </c>
    </row>
    <row r="492" spans="1:9">
      <c r="A492" s="11">
        <v>49491</v>
      </c>
      <c r="B492" s="12">
        <f t="shared" si="18"/>
        <v>1270.6949999999999</v>
      </c>
      <c r="C492" s="10"/>
      <c r="E492" s="11">
        <v>49491</v>
      </c>
      <c r="F492" s="9">
        <f t="shared" si="19"/>
        <v>1270.6949999999999</v>
      </c>
      <c r="H492" s="11">
        <v>49491</v>
      </c>
      <c r="I492" s="9">
        <f t="shared" si="20"/>
        <v>1270.6949999999999</v>
      </c>
    </row>
    <row r="493" spans="1:9">
      <c r="A493" s="11">
        <v>49522</v>
      </c>
      <c r="B493" s="12">
        <f t="shared" si="18"/>
        <v>1270.6949999999999</v>
      </c>
      <c r="C493" s="10"/>
      <c r="E493" s="11">
        <v>49522</v>
      </c>
      <c r="F493" s="9">
        <f t="shared" si="19"/>
        <v>1270.6949999999999</v>
      </c>
      <c r="H493" s="11">
        <v>49522</v>
      </c>
      <c r="I493" s="9">
        <f t="shared" si="20"/>
        <v>1270.6949999999999</v>
      </c>
    </row>
    <row r="494" spans="1:9">
      <c r="A494" s="11">
        <v>49553</v>
      </c>
      <c r="B494" s="12">
        <f t="shared" si="18"/>
        <v>1270.6949999999999</v>
      </c>
      <c r="C494" s="10"/>
      <c r="E494" s="11">
        <v>49553</v>
      </c>
      <c r="F494" s="9">
        <f t="shared" si="19"/>
        <v>1270.6949999999999</v>
      </c>
      <c r="H494" s="11">
        <v>49553</v>
      </c>
      <c r="I494" s="9">
        <f t="shared" si="20"/>
        <v>1270.6949999999999</v>
      </c>
    </row>
    <row r="495" spans="1:9">
      <c r="A495" s="11">
        <v>49583</v>
      </c>
      <c r="B495" s="12">
        <f t="shared" si="18"/>
        <v>1270.6949999999999</v>
      </c>
      <c r="C495" s="10"/>
      <c r="E495" s="11">
        <v>49583</v>
      </c>
      <c r="F495" s="9">
        <f t="shared" si="19"/>
        <v>1270.6949999999999</v>
      </c>
      <c r="H495" s="11">
        <v>49583</v>
      </c>
      <c r="I495" s="9">
        <f t="shared" si="20"/>
        <v>1270.6949999999999</v>
      </c>
    </row>
    <row r="496" spans="1:9">
      <c r="A496" s="11">
        <v>49614</v>
      </c>
      <c r="B496" s="12">
        <f t="shared" si="18"/>
        <v>1270.6949999999999</v>
      </c>
      <c r="C496" s="10"/>
      <c r="E496" s="11">
        <v>49614</v>
      </c>
      <c r="F496" s="9">
        <f t="shared" si="19"/>
        <v>1270.6949999999999</v>
      </c>
      <c r="H496" s="11">
        <v>49614</v>
      </c>
      <c r="I496" s="9">
        <f t="shared" si="20"/>
        <v>1270.6949999999999</v>
      </c>
    </row>
    <row r="497" spans="1:9">
      <c r="A497" s="11">
        <v>49644</v>
      </c>
      <c r="B497" s="12">
        <f t="shared" si="18"/>
        <v>1270.6949999999999</v>
      </c>
      <c r="C497" s="10"/>
      <c r="E497" s="11">
        <v>49644</v>
      </c>
      <c r="F497" s="9">
        <f t="shared" si="19"/>
        <v>1270.6949999999999</v>
      </c>
      <c r="H497" s="11">
        <v>49644</v>
      </c>
      <c r="I497" s="9">
        <f t="shared" si="20"/>
        <v>1270.6949999999999</v>
      </c>
    </row>
    <row r="498" spans="1:9">
      <c r="A498" s="11">
        <v>49675</v>
      </c>
      <c r="B498" s="12">
        <f t="shared" si="18"/>
        <v>1270.6949999999999</v>
      </c>
      <c r="C498" s="10"/>
      <c r="E498" s="11">
        <v>49675</v>
      </c>
      <c r="F498" s="9">
        <f t="shared" si="19"/>
        <v>1270.6949999999999</v>
      </c>
      <c r="H498" s="11">
        <v>49675</v>
      </c>
      <c r="I498" s="9">
        <f t="shared" si="20"/>
        <v>1270.6949999999999</v>
      </c>
    </row>
    <row r="499" spans="1:9">
      <c r="A499" s="11">
        <v>49706</v>
      </c>
      <c r="B499" s="12">
        <f t="shared" si="18"/>
        <v>1270.6949999999999</v>
      </c>
      <c r="C499" s="10"/>
      <c r="E499" s="11">
        <v>49706</v>
      </c>
      <c r="F499" s="9">
        <f t="shared" si="19"/>
        <v>1270.6949999999999</v>
      </c>
      <c r="H499" s="11">
        <v>49706</v>
      </c>
      <c r="I499" s="9">
        <f t="shared" si="20"/>
        <v>1270.6949999999999</v>
      </c>
    </row>
    <row r="500" spans="1:9">
      <c r="A500" s="11">
        <v>49735</v>
      </c>
      <c r="B500" s="12">
        <f t="shared" si="18"/>
        <v>1270.6949999999999</v>
      </c>
      <c r="C500" s="10"/>
      <c r="E500" s="11">
        <v>49735</v>
      </c>
      <c r="F500" s="9">
        <f t="shared" si="19"/>
        <v>1270.6949999999999</v>
      </c>
      <c r="H500" s="11">
        <v>49735</v>
      </c>
      <c r="I500" s="9">
        <f t="shared" si="20"/>
        <v>1270.6949999999999</v>
      </c>
    </row>
    <row r="501" spans="1:9">
      <c r="A501" s="11">
        <v>49766</v>
      </c>
      <c r="B501" s="12">
        <f t="shared" si="18"/>
        <v>1270.6949999999999</v>
      </c>
      <c r="C501" s="10"/>
      <c r="E501" s="11">
        <v>49766</v>
      </c>
      <c r="F501" s="9">
        <f t="shared" si="19"/>
        <v>1270.6949999999999</v>
      </c>
      <c r="H501" s="11">
        <v>49766</v>
      </c>
      <c r="I501" s="9">
        <f t="shared" si="20"/>
        <v>1270.6949999999999</v>
      </c>
    </row>
    <row r="502" spans="1:9">
      <c r="A502" s="11">
        <v>49796</v>
      </c>
      <c r="B502" s="12">
        <f t="shared" si="18"/>
        <v>1270.6949999999999</v>
      </c>
      <c r="C502" s="10"/>
      <c r="E502" s="11">
        <v>49796</v>
      </c>
      <c r="F502" s="9">
        <f t="shared" si="19"/>
        <v>1270.6949999999999</v>
      </c>
      <c r="H502" s="11">
        <v>49796</v>
      </c>
      <c r="I502" s="9">
        <f t="shared" si="20"/>
        <v>1270.6949999999999</v>
      </c>
    </row>
    <row r="503" spans="1:9">
      <c r="A503" s="11">
        <v>49827</v>
      </c>
      <c r="B503" s="12">
        <f t="shared" si="18"/>
        <v>1270.6949999999999</v>
      </c>
      <c r="C503" s="10"/>
      <c r="E503" s="11">
        <v>49827</v>
      </c>
      <c r="F503" s="9">
        <f t="shared" si="19"/>
        <v>1270.6949999999999</v>
      </c>
      <c r="H503" s="11">
        <v>49827</v>
      </c>
      <c r="I503" s="9">
        <f t="shared" si="20"/>
        <v>1270.6949999999999</v>
      </c>
    </row>
    <row r="504" spans="1:9">
      <c r="A504" s="11">
        <v>49857</v>
      </c>
      <c r="B504" s="12">
        <f t="shared" si="18"/>
        <v>1270.6949999999999</v>
      </c>
      <c r="C504" s="10"/>
      <c r="E504" s="11">
        <v>49857</v>
      </c>
      <c r="F504" s="9">
        <f t="shared" si="19"/>
        <v>1270.6949999999999</v>
      </c>
      <c r="H504" s="11">
        <v>49857</v>
      </c>
      <c r="I504" s="9">
        <f t="shared" si="20"/>
        <v>1270.6949999999999</v>
      </c>
    </row>
    <row r="505" spans="1:9">
      <c r="A505" s="11">
        <v>49888</v>
      </c>
      <c r="B505" s="12">
        <f t="shared" si="18"/>
        <v>1270.6949999999999</v>
      </c>
      <c r="C505" s="10"/>
      <c r="E505" s="11">
        <v>49888</v>
      </c>
      <c r="F505" s="9">
        <f t="shared" si="19"/>
        <v>1270.6949999999999</v>
      </c>
      <c r="H505" s="11">
        <v>49888</v>
      </c>
      <c r="I505" s="9">
        <f t="shared" si="20"/>
        <v>1270.6949999999999</v>
      </c>
    </row>
    <row r="506" spans="1:9">
      <c r="A506" s="11">
        <v>49919</v>
      </c>
      <c r="B506" s="12">
        <f t="shared" si="18"/>
        <v>1270.6949999999999</v>
      </c>
      <c r="C506" s="10"/>
      <c r="E506" s="11">
        <v>49919</v>
      </c>
      <c r="F506" s="9">
        <f t="shared" si="19"/>
        <v>1270.6949999999999</v>
      </c>
      <c r="H506" s="11">
        <v>49919</v>
      </c>
      <c r="I506" s="9">
        <f t="shared" si="20"/>
        <v>1270.6949999999999</v>
      </c>
    </row>
    <row r="507" spans="1:9">
      <c r="A507" s="11">
        <v>49949</v>
      </c>
      <c r="B507" s="12">
        <f t="shared" si="18"/>
        <v>1270.6949999999999</v>
      </c>
      <c r="C507" s="10"/>
      <c r="E507" s="11">
        <v>49949</v>
      </c>
      <c r="F507" s="9">
        <f t="shared" si="19"/>
        <v>1270.6949999999999</v>
      </c>
      <c r="H507" s="11">
        <v>49949</v>
      </c>
      <c r="I507" s="9">
        <f t="shared" si="20"/>
        <v>1270.6949999999999</v>
      </c>
    </row>
    <row r="508" spans="1:9">
      <c r="A508" s="11">
        <v>49980</v>
      </c>
      <c r="B508" s="12">
        <f t="shared" si="18"/>
        <v>1270.6949999999999</v>
      </c>
      <c r="C508" s="10"/>
      <c r="E508" s="11">
        <v>49980</v>
      </c>
      <c r="F508" s="9">
        <f t="shared" si="19"/>
        <v>1270.6949999999999</v>
      </c>
      <c r="H508" s="11">
        <v>49980</v>
      </c>
      <c r="I508" s="9">
        <f t="shared" si="20"/>
        <v>1270.6949999999999</v>
      </c>
    </row>
    <row r="509" spans="1:9">
      <c r="A509" s="11">
        <v>50010</v>
      </c>
      <c r="B509" s="12">
        <f t="shared" si="18"/>
        <v>1270.6949999999999</v>
      </c>
      <c r="C509" s="10"/>
      <c r="E509" s="11">
        <v>50010</v>
      </c>
      <c r="F509" s="9">
        <f t="shared" si="19"/>
        <v>1270.6949999999999</v>
      </c>
      <c r="H509" s="11">
        <v>50010</v>
      </c>
      <c r="I509" s="9">
        <f t="shared" si="20"/>
        <v>1270.6949999999999</v>
      </c>
    </row>
    <row r="510" spans="1:9">
      <c r="A510" s="11">
        <v>50041</v>
      </c>
      <c r="B510" s="12">
        <f t="shared" si="18"/>
        <v>1270.6949999999999</v>
      </c>
      <c r="C510" s="10"/>
      <c r="E510" s="11">
        <v>50041</v>
      </c>
      <c r="F510" s="9">
        <f t="shared" si="19"/>
        <v>1270.6949999999999</v>
      </c>
      <c r="H510" s="11">
        <v>50041</v>
      </c>
      <c r="I510" s="9">
        <f t="shared" si="20"/>
        <v>1270.6949999999999</v>
      </c>
    </row>
    <row r="511" spans="1:9">
      <c r="A511" s="11">
        <v>50072</v>
      </c>
      <c r="B511" s="12">
        <f t="shared" si="18"/>
        <v>1270.6949999999999</v>
      </c>
      <c r="C511" s="10"/>
      <c r="E511" s="11">
        <v>50072</v>
      </c>
      <c r="F511" s="9">
        <f t="shared" si="19"/>
        <v>1270.6949999999999</v>
      </c>
      <c r="H511" s="11">
        <v>50072</v>
      </c>
      <c r="I511" s="9">
        <f t="shared" si="20"/>
        <v>1270.6949999999999</v>
      </c>
    </row>
    <row r="512" spans="1:9">
      <c r="A512" s="11">
        <v>50100</v>
      </c>
      <c r="B512" s="12">
        <f t="shared" si="18"/>
        <v>1270.6949999999999</v>
      </c>
      <c r="C512" s="10"/>
      <c r="E512" s="11">
        <v>50100</v>
      </c>
      <c r="F512" s="9">
        <f t="shared" si="19"/>
        <v>1270.6949999999999</v>
      </c>
      <c r="H512" s="11">
        <v>50100</v>
      </c>
      <c r="I512" s="9">
        <f t="shared" si="20"/>
        <v>1270.6949999999999</v>
      </c>
    </row>
    <row r="513" spans="1:9">
      <c r="A513" s="11">
        <v>50131</v>
      </c>
      <c r="B513" s="12">
        <f t="shared" si="18"/>
        <v>1270.6949999999999</v>
      </c>
      <c r="C513" s="10"/>
      <c r="E513" s="11">
        <v>50131</v>
      </c>
      <c r="F513" s="9">
        <f t="shared" si="19"/>
        <v>1270.6949999999999</v>
      </c>
      <c r="H513" s="11">
        <v>50131</v>
      </c>
      <c r="I513" s="9">
        <f t="shared" si="20"/>
        <v>1270.6949999999999</v>
      </c>
    </row>
    <row r="514" spans="1:9">
      <c r="A514" s="11">
        <v>50161</v>
      </c>
      <c r="B514" s="12">
        <f t="shared" si="18"/>
        <v>1270.6949999999999</v>
      </c>
      <c r="C514" s="10"/>
      <c r="E514" s="11">
        <v>50161</v>
      </c>
      <c r="F514" s="9">
        <f t="shared" si="19"/>
        <v>1270.6949999999999</v>
      </c>
      <c r="H514" s="11">
        <v>50161</v>
      </c>
      <c r="I514" s="9">
        <f t="shared" si="20"/>
        <v>1270.6949999999999</v>
      </c>
    </row>
    <row r="515" spans="1:9">
      <c r="A515" s="11">
        <v>50192</v>
      </c>
      <c r="B515" s="12">
        <f t="shared" si="18"/>
        <v>1270.6949999999999</v>
      </c>
      <c r="C515" s="10"/>
      <c r="E515" s="11">
        <v>50192</v>
      </c>
      <c r="F515" s="9">
        <f t="shared" si="19"/>
        <v>1270.6949999999999</v>
      </c>
      <c r="H515" s="11">
        <v>50192</v>
      </c>
      <c r="I515" s="9">
        <f t="shared" si="20"/>
        <v>1270.6949999999999</v>
      </c>
    </row>
    <row r="516" spans="1:9">
      <c r="A516" s="11">
        <v>50222</v>
      </c>
      <c r="B516" s="12">
        <f t="shared" si="18"/>
        <v>1270.6949999999999</v>
      </c>
      <c r="C516" s="10"/>
      <c r="E516" s="11">
        <v>50222</v>
      </c>
      <c r="F516" s="9">
        <f t="shared" si="19"/>
        <v>1270.6949999999999</v>
      </c>
      <c r="H516" s="11">
        <v>50222</v>
      </c>
      <c r="I516" s="9">
        <f t="shared" si="20"/>
        <v>1270.6949999999999</v>
      </c>
    </row>
    <row r="517" spans="1:9">
      <c r="A517" s="11">
        <v>50253</v>
      </c>
      <c r="B517" s="12">
        <f t="shared" si="18"/>
        <v>1270.6949999999999</v>
      </c>
      <c r="C517" s="10"/>
      <c r="E517" s="11">
        <v>50253</v>
      </c>
      <c r="F517" s="9">
        <f t="shared" si="19"/>
        <v>1270.6949999999999</v>
      </c>
      <c r="H517" s="11">
        <v>50253</v>
      </c>
      <c r="I517" s="9">
        <f t="shared" si="20"/>
        <v>1270.6949999999999</v>
      </c>
    </row>
    <row r="518" spans="1:9">
      <c r="A518" s="11">
        <v>50284</v>
      </c>
      <c r="B518" s="12">
        <f t="shared" si="18"/>
        <v>1270.6949999999999</v>
      </c>
      <c r="C518" s="10"/>
      <c r="E518" s="11">
        <v>50284</v>
      </c>
      <c r="F518" s="9">
        <f t="shared" si="19"/>
        <v>1270.6949999999999</v>
      </c>
      <c r="H518" s="11">
        <v>50284</v>
      </c>
      <c r="I518" s="9">
        <f t="shared" si="20"/>
        <v>1270.6949999999999</v>
      </c>
    </row>
    <row r="519" spans="1:9">
      <c r="A519" s="11">
        <v>50314</v>
      </c>
      <c r="B519" s="12">
        <f t="shared" si="18"/>
        <v>1270.6949999999999</v>
      </c>
      <c r="C519" s="10"/>
      <c r="E519" s="11">
        <v>50314</v>
      </c>
      <c r="F519" s="9">
        <f t="shared" si="19"/>
        <v>1270.6949999999999</v>
      </c>
      <c r="H519" s="11">
        <v>50314</v>
      </c>
      <c r="I519" s="9">
        <f t="shared" si="20"/>
        <v>1270.6949999999999</v>
      </c>
    </row>
    <row r="520" spans="1:9">
      <c r="A520" s="11">
        <v>50345</v>
      </c>
      <c r="B520" s="12">
        <f t="shared" si="18"/>
        <v>1270.6949999999999</v>
      </c>
      <c r="C520" s="10"/>
      <c r="E520" s="11">
        <v>50345</v>
      </c>
      <c r="F520" s="9">
        <f t="shared" si="19"/>
        <v>1270.6949999999999</v>
      </c>
      <c r="H520" s="11">
        <v>50345</v>
      </c>
      <c r="I520" s="9">
        <f t="shared" si="20"/>
        <v>1270.6949999999999</v>
      </c>
    </row>
    <row r="521" spans="1:9">
      <c r="A521" s="11">
        <v>50375</v>
      </c>
      <c r="B521" s="12">
        <f t="shared" si="18"/>
        <v>1270.6949999999999</v>
      </c>
      <c r="C521" s="10"/>
      <c r="E521" s="11">
        <v>50375</v>
      </c>
      <c r="F521" s="9">
        <f t="shared" si="19"/>
        <v>1270.6949999999999</v>
      </c>
      <c r="H521" s="11">
        <v>50375</v>
      </c>
      <c r="I521" s="9">
        <f t="shared" si="20"/>
        <v>1270.6949999999999</v>
      </c>
    </row>
    <row r="522" spans="1:9">
      <c r="A522" s="11">
        <v>50406</v>
      </c>
      <c r="B522" s="12">
        <f t="shared" si="18"/>
        <v>1270.6949999999999</v>
      </c>
      <c r="C522" s="10"/>
      <c r="E522" s="11">
        <v>50406</v>
      </c>
      <c r="F522" s="9">
        <f t="shared" si="19"/>
        <v>1270.6949999999999</v>
      </c>
      <c r="H522" s="11">
        <v>50406</v>
      </c>
      <c r="I522" s="9">
        <f t="shared" si="20"/>
        <v>1270.6949999999999</v>
      </c>
    </row>
    <row r="523" spans="1:9">
      <c r="A523" s="11">
        <v>50437</v>
      </c>
      <c r="B523" s="12">
        <f t="shared" si="18"/>
        <v>1270.6949999999999</v>
      </c>
      <c r="C523" s="10"/>
      <c r="E523" s="11">
        <v>50437</v>
      </c>
      <c r="F523" s="9">
        <f t="shared" si="19"/>
        <v>1270.6949999999999</v>
      </c>
      <c r="H523" s="11">
        <v>50437</v>
      </c>
      <c r="I523" s="9">
        <f t="shared" si="20"/>
        <v>1270.6949999999999</v>
      </c>
    </row>
    <row r="524" spans="1:9">
      <c r="A524" s="11">
        <v>50465</v>
      </c>
      <c r="B524" s="12">
        <f t="shared" si="18"/>
        <v>1270.6949999999999</v>
      </c>
      <c r="C524" s="10"/>
      <c r="E524" s="11">
        <v>50465</v>
      </c>
      <c r="F524" s="9">
        <f t="shared" si="19"/>
        <v>1270.6949999999999</v>
      </c>
      <c r="H524" s="11">
        <v>50465</v>
      </c>
      <c r="I524" s="9">
        <f t="shared" si="20"/>
        <v>1270.6949999999999</v>
      </c>
    </row>
    <row r="525" spans="1:9">
      <c r="A525" s="11">
        <v>50496</v>
      </c>
      <c r="B525" s="12">
        <f t="shared" si="18"/>
        <v>1270.6949999999999</v>
      </c>
      <c r="C525" s="10"/>
      <c r="E525" s="11">
        <v>50496</v>
      </c>
      <c r="F525" s="9">
        <f t="shared" si="19"/>
        <v>1270.6949999999999</v>
      </c>
      <c r="H525" s="11">
        <v>50496</v>
      </c>
      <c r="I525" s="9">
        <f t="shared" si="20"/>
        <v>1270.6949999999999</v>
      </c>
    </row>
    <row r="526" spans="1:9">
      <c r="A526" s="11">
        <v>50526</v>
      </c>
      <c r="B526" s="12">
        <f t="shared" si="18"/>
        <v>1270.6949999999999</v>
      </c>
      <c r="C526" s="10"/>
      <c r="E526" s="11">
        <v>50526</v>
      </c>
      <c r="F526" s="9">
        <f t="shared" si="19"/>
        <v>1270.6949999999999</v>
      </c>
      <c r="H526" s="11">
        <v>50526</v>
      </c>
      <c r="I526" s="9">
        <f t="shared" si="20"/>
        <v>1270.6949999999999</v>
      </c>
    </row>
    <row r="527" spans="1:9">
      <c r="A527" s="11">
        <v>50557</v>
      </c>
      <c r="B527" s="12">
        <f t="shared" si="18"/>
        <v>1270.6949999999999</v>
      </c>
      <c r="C527" s="10"/>
      <c r="E527" s="11">
        <v>50557</v>
      </c>
      <c r="F527" s="9">
        <f t="shared" si="19"/>
        <v>1270.6949999999999</v>
      </c>
      <c r="H527" s="11">
        <v>50557</v>
      </c>
      <c r="I527" s="9">
        <f t="shared" si="20"/>
        <v>1270.6949999999999</v>
      </c>
    </row>
    <row r="528" spans="1:9">
      <c r="A528" s="11">
        <v>50587</v>
      </c>
      <c r="B528" s="12">
        <f t="shared" si="18"/>
        <v>1270.6949999999999</v>
      </c>
      <c r="C528" s="10"/>
      <c r="E528" s="11">
        <v>50587</v>
      </c>
      <c r="F528" s="9">
        <f t="shared" si="19"/>
        <v>1270.6949999999999</v>
      </c>
      <c r="H528" s="11">
        <v>50587</v>
      </c>
      <c r="I528" s="9">
        <f t="shared" si="20"/>
        <v>1270.6949999999999</v>
      </c>
    </row>
    <row r="529" spans="1:9">
      <c r="A529" s="11">
        <v>50618</v>
      </c>
      <c r="B529" s="12">
        <f t="shared" si="18"/>
        <v>1270.6949999999999</v>
      </c>
      <c r="C529" s="10"/>
      <c r="E529" s="11">
        <v>50618</v>
      </c>
      <c r="F529" s="9">
        <f t="shared" si="19"/>
        <v>1270.6949999999999</v>
      </c>
      <c r="H529" s="11">
        <v>50618</v>
      </c>
      <c r="I529" s="9">
        <f t="shared" si="20"/>
        <v>1270.6949999999999</v>
      </c>
    </row>
    <row r="530" spans="1:9">
      <c r="A530" s="11">
        <v>50649</v>
      </c>
      <c r="B530" s="12">
        <f t="shared" si="18"/>
        <v>1270.6949999999999</v>
      </c>
      <c r="C530" s="10"/>
      <c r="E530" s="11">
        <v>50649</v>
      </c>
      <c r="F530" s="9">
        <f t="shared" si="19"/>
        <v>1270.6949999999999</v>
      </c>
      <c r="H530" s="11">
        <v>50649</v>
      </c>
      <c r="I530" s="9">
        <f t="shared" si="20"/>
        <v>1270.6949999999999</v>
      </c>
    </row>
    <row r="531" spans="1:9">
      <c r="A531" s="11">
        <v>50679</v>
      </c>
      <c r="B531" s="12">
        <f t="shared" si="18"/>
        <v>1270.6949999999999</v>
      </c>
      <c r="C531" s="10"/>
      <c r="E531" s="11">
        <v>50679</v>
      </c>
      <c r="F531" s="9">
        <f t="shared" si="19"/>
        <v>1270.6949999999999</v>
      </c>
      <c r="H531" s="11">
        <v>50679</v>
      </c>
      <c r="I531" s="9">
        <f t="shared" si="20"/>
        <v>1270.6949999999999</v>
      </c>
    </row>
    <row r="532" spans="1:9">
      <c r="A532" s="11">
        <v>50710</v>
      </c>
      <c r="B532" s="12">
        <f t="shared" si="18"/>
        <v>1270.6949999999999</v>
      </c>
      <c r="C532" s="10"/>
      <c r="E532" s="11">
        <v>50710</v>
      </c>
      <c r="F532" s="9">
        <f t="shared" si="19"/>
        <v>1270.6949999999999</v>
      </c>
      <c r="H532" s="11">
        <v>50710</v>
      </c>
      <c r="I532" s="9">
        <f t="shared" si="20"/>
        <v>1270.6949999999999</v>
      </c>
    </row>
    <row r="533" spans="1:9">
      <c r="A533" s="11">
        <v>50740</v>
      </c>
      <c r="B533" s="12">
        <f t="shared" si="18"/>
        <v>1270.6949999999999</v>
      </c>
      <c r="C533" s="10"/>
      <c r="E533" s="11">
        <v>50740</v>
      </c>
      <c r="F533" s="9">
        <f t="shared" si="19"/>
        <v>1270.6949999999999</v>
      </c>
      <c r="H533" s="11">
        <v>50740</v>
      </c>
      <c r="I533" s="9">
        <f t="shared" si="20"/>
        <v>1270.6949999999999</v>
      </c>
    </row>
    <row r="534" spans="1:9">
      <c r="A534" s="11">
        <v>50771</v>
      </c>
      <c r="B534" s="12">
        <f t="shared" si="18"/>
        <v>1270.6949999999999</v>
      </c>
      <c r="C534" s="10"/>
      <c r="E534" s="11">
        <v>50771</v>
      </c>
      <c r="F534" s="9">
        <f t="shared" si="19"/>
        <v>1270.6949999999999</v>
      </c>
      <c r="H534" s="11">
        <v>50771</v>
      </c>
      <c r="I534" s="9">
        <f t="shared" si="20"/>
        <v>1270.6949999999999</v>
      </c>
    </row>
    <row r="535" spans="1:9">
      <c r="A535" s="11">
        <v>50802</v>
      </c>
      <c r="B535" s="12">
        <f t="shared" si="18"/>
        <v>1270.6949999999999</v>
      </c>
      <c r="C535" s="10"/>
      <c r="E535" s="11">
        <v>50802</v>
      </c>
      <c r="F535" s="9">
        <f t="shared" si="19"/>
        <v>1270.6949999999999</v>
      </c>
      <c r="H535" s="11">
        <v>50802</v>
      </c>
      <c r="I535" s="9">
        <f t="shared" si="20"/>
        <v>1270.6949999999999</v>
      </c>
    </row>
    <row r="536" spans="1:9">
      <c r="A536" s="11">
        <v>50830</v>
      </c>
      <c r="B536" s="12">
        <f t="shared" si="18"/>
        <v>1270.6949999999999</v>
      </c>
      <c r="C536" s="10"/>
      <c r="E536" s="11">
        <v>50830</v>
      </c>
      <c r="F536" s="9">
        <f t="shared" si="19"/>
        <v>1270.6949999999999</v>
      </c>
      <c r="H536" s="11">
        <v>50830</v>
      </c>
      <c r="I536" s="9">
        <f t="shared" si="20"/>
        <v>1270.6949999999999</v>
      </c>
    </row>
    <row r="537" spans="1:9">
      <c r="A537" s="11">
        <v>50861</v>
      </c>
      <c r="B537" s="12">
        <f t="shared" si="18"/>
        <v>1270.6949999999999</v>
      </c>
      <c r="C537" s="10"/>
      <c r="E537" s="11">
        <v>50861</v>
      </c>
      <c r="F537" s="9">
        <f t="shared" si="19"/>
        <v>1270.6949999999999</v>
      </c>
      <c r="H537" s="11">
        <v>50861</v>
      </c>
      <c r="I537" s="9">
        <f t="shared" si="20"/>
        <v>1270.6949999999999</v>
      </c>
    </row>
    <row r="538" spans="1:9">
      <c r="A538" s="11">
        <v>50891</v>
      </c>
      <c r="B538" s="12">
        <f t="shared" si="18"/>
        <v>1270.6949999999999</v>
      </c>
      <c r="C538" s="10"/>
      <c r="E538" s="11">
        <v>50891</v>
      </c>
      <c r="F538" s="9">
        <f t="shared" si="19"/>
        <v>1270.6949999999999</v>
      </c>
      <c r="H538" s="11">
        <v>50891</v>
      </c>
      <c r="I538" s="9">
        <f t="shared" si="20"/>
        <v>1270.6949999999999</v>
      </c>
    </row>
    <row r="539" spans="1:9">
      <c r="A539" s="11">
        <v>50922</v>
      </c>
      <c r="B539" s="12">
        <f t="shared" si="18"/>
        <v>1270.6949999999999</v>
      </c>
      <c r="C539" s="10"/>
      <c r="E539" s="11">
        <v>50922</v>
      </c>
      <c r="F539" s="9">
        <f t="shared" si="19"/>
        <v>1270.6949999999999</v>
      </c>
      <c r="H539" s="11">
        <v>50922</v>
      </c>
      <c r="I539" s="9">
        <f t="shared" si="20"/>
        <v>1270.6949999999999</v>
      </c>
    </row>
    <row r="540" spans="1:9">
      <c r="A540" s="11">
        <v>50952</v>
      </c>
      <c r="B540" s="12">
        <f t="shared" si="18"/>
        <v>1270.6949999999999</v>
      </c>
      <c r="C540" s="10"/>
      <c r="E540" s="11">
        <v>50952</v>
      </c>
      <c r="F540" s="9">
        <f t="shared" si="19"/>
        <v>1270.6949999999999</v>
      </c>
      <c r="H540" s="11">
        <v>50952</v>
      </c>
      <c r="I540" s="9">
        <f t="shared" si="20"/>
        <v>1270.6949999999999</v>
      </c>
    </row>
    <row r="541" spans="1:9">
      <c r="A541" s="11">
        <v>50983</v>
      </c>
      <c r="B541" s="12">
        <f t="shared" si="18"/>
        <v>1270.6949999999999</v>
      </c>
      <c r="C541" s="10"/>
      <c r="E541" s="11">
        <v>50983</v>
      </c>
      <c r="F541" s="9">
        <f t="shared" si="19"/>
        <v>1270.6949999999999</v>
      </c>
      <c r="H541" s="11">
        <v>50983</v>
      </c>
      <c r="I541" s="9">
        <f t="shared" si="20"/>
        <v>1270.6949999999999</v>
      </c>
    </row>
    <row r="542" spans="1:9">
      <c r="A542" s="11">
        <v>51014</v>
      </c>
      <c r="B542" s="12">
        <f t="shared" si="18"/>
        <v>1270.6949999999999</v>
      </c>
      <c r="C542" s="10"/>
      <c r="E542" s="11">
        <v>51014</v>
      </c>
      <c r="F542" s="9">
        <f t="shared" si="19"/>
        <v>1270.6949999999999</v>
      </c>
      <c r="H542" s="11">
        <v>51014</v>
      </c>
      <c r="I542" s="9">
        <f t="shared" si="20"/>
        <v>1270.6949999999999</v>
      </c>
    </row>
    <row r="543" spans="1:9">
      <c r="A543" s="11">
        <v>51044</v>
      </c>
      <c r="B543" s="12">
        <f t="shared" si="18"/>
        <v>1270.6949999999999</v>
      </c>
      <c r="C543" s="10"/>
      <c r="E543" s="11">
        <v>51044</v>
      </c>
      <c r="F543" s="9">
        <f t="shared" si="19"/>
        <v>1270.6949999999999</v>
      </c>
      <c r="H543" s="11">
        <v>51044</v>
      </c>
      <c r="I543" s="9">
        <f t="shared" si="20"/>
        <v>1270.6949999999999</v>
      </c>
    </row>
    <row r="544" spans="1:9">
      <c r="A544" s="11">
        <v>51075</v>
      </c>
      <c r="B544" s="12">
        <f t="shared" si="18"/>
        <v>1270.6949999999999</v>
      </c>
      <c r="C544" s="10"/>
      <c r="E544" s="11">
        <v>51075</v>
      </c>
      <c r="F544" s="9">
        <f t="shared" si="19"/>
        <v>1270.6949999999999</v>
      </c>
      <c r="H544" s="11">
        <v>51075</v>
      </c>
      <c r="I544" s="9">
        <f t="shared" si="20"/>
        <v>1270.6949999999999</v>
      </c>
    </row>
    <row r="545" spans="1:9">
      <c r="A545" s="11">
        <v>51105</v>
      </c>
      <c r="B545" s="12">
        <f t="shared" ref="B545:B608" si="21">B544</f>
        <v>1270.6949999999999</v>
      </c>
      <c r="C545" s="10"/>
      <c r="E545" s="11">
        <v>51105</v>
      </c>
      <c r="F545" s="9">
        <f t="shared" si="19"/>
        <v>1270.6949999999999</v>
      </c>
      <c r="H545" s="11">
        <v>51105</v>
      </c>
      <c r="I545" s="9">
        <f t="shared" si="20"/>
        <v>1270.6949999999999</v>
      </c>
    </row>
    <row r="546" spans="1:9">
      <c r="A546" s="11">
        <v>51136</v>
      </c>
      <c r="B546" s="12">
        <f t="shared" si="21"/>
        <v>1270.6949999999999</v>
      </c>
      <c r="C546" s="10"/>
      <c r="E546" s="11">
        <v>51136</v>
      </c>
      <c r="F546" s="9">
        <f t="shared" si="19"/>
        <v>1270.6949999999999</v>
      </c>
      <c r="H546" s="11">
        <v>51136</v>
      </c>
      <c r="I546" s="9">
        <f t="shared" si="20"/>
        <v>1270.6949999999999</v>
      </c>
    </row>
    <row r="547" spans="1:9">
      <c r="A547" s="11">
        <v>51167</v>
      </c>
      <c r="B547" s="12">
        <f t="shared" si="21"/>
        <v>1270.6949999999999</v>
      </c>
      <c r="C547" s="10"/>
      <c r="E547" s="11">
        <v>51167</v>
      </c>
      <c r="F547" s="9">
        <f t="shared" si="19"/>
        <v>1270.6949999999999</v>
      </c>
      <c r="H547" s="11">
        <v>51167</v>
      </c>
      <c r="I547" s="9">
        <f t="shared" si="20"/>
        <v>1270.6949999999999</v>
      </c>
    </row>
    <row r="548" spans="1:9">
      <c r="A548" s="11">
        <v>51196</v>
      </c>
      <c r="B548" s="12">
        <f t="shared" si="21"/>
        <v>1270.6949999999999</v>
      </c>
      <c r="C548" s="10"/>
      <c r="E548" s="11">
        <v>51196</v>
      </c>
      <c r="F548" s="9">
        <f t="shared" si="19"/>
        <v>1270.6949999999999</v>
      </c>
      <c r="H548" s="11">
        <v>51196</v>
      </c>
      <c r="I548" s="9">
        <f t="shared" si="20"/>
        <v>1270.6949999999999</v>
      </c>
    </row>
    <row r="549" spans="1:9">
      <c r="A549" s="11">
        <v>51227</v>
      </c>
      <c r="B549" s="12">
        <f t="shared" si="21"/>
        <v>1270.6949999999999</v>
      </c>
      <c r="C549" s="10"/>
      <c r="E549" s="11">
        <v>51227</v>
      </c>
      <c r="F549" s="9">
        <f t="shared" si="19"/>
        <v>1270.6949999999999</v>
      </c>
      <c r="H549" s="11">
        <v>51227</v>
      </c>
      <c r="I549" s="9">
        <f t="shared" si="20"/>
        <v>1270.6949999999999</v>
      </c>
    </row>
    <row r="550" spans="1:9">
      <c r="A550" s="11">
        <v>51257</v>
      </c>
      <c r="B550" s="12">
        <f t="shared" si="21"/>
        <v>1270.6949999999999</v>
      </c>
      <c r="C550" s="10"/>
      <c r="E550" s="11">
        <v>51257</v>
      </c>
      <c r="F550" s="9">
        <f t="shared" si="19"/>
        <v>1270.6949999999999</v>
      </c>
      <c r="H550" s="11">
        <v>51257</v>
      </c>
      <c r="I550" s="9">
        <f t="shared" si="20"/>
        <v>1270.6949999999999</v>
      </c>
    </row>
    <row r="551" spans="1:9">
      <c r="A551" s="11">
        <v>51288</v>
      </c>
      <c r="B551" s="12">
        <f t="shared" si="21"/>
        <v>1270.6949999999999</v>
      </c>
      <c r="C551" s="10"/>
      <c r="E551" s="11">
        <v>51288</v>
      </c>
      <c r="F551" s="9">
        <f t="shared" si="19"/>
        <v>1270.6949999999999</v>
      </c>
      <c r="H551" s="11">
        <v>51288</v>
      </c>
      <c r="I551" s="9">
        <f t="shared" si="20"/>
        <v>1270.6949999999999</v>
      </c>
    </row>
    <row r="552" spans="1:9">
      <c r="A552" s="11">
        <v>51318</v>
      </c>
      <c r="B552" s="12">
        <f t="shared" si="21"/>
        <v>1270.6949999999999</v>
      </c>
      <c r="C552" s="10"/>
      <c r="E552" s="11">
        <v>51318</v>
      </c>
      <c r="F552" s="9">
        <f t="shared" si="19"/>
        <v>1270.6949999999999</v>
      </c>
      <c r="H552" s="11">
        <v>51318</v>
      </c>
      <c r="I552" s="9">
        <f t="shared" si="20"/>
        <v>1270.6949999999999</v>
      </c>
    </row>
    <row r="553" spans="1:9">
      <c r="A553" s="11">
        <v>51349</v>
      </c>
      <c r="B553" s="12">
        <f t="shared" si="21"/>
        <v>1270.6949999999999</v>
      </c>
      <c r="C553" s="10"/>
      <c r="E553" s="11">
        <v>51349</v>
      </c>
      <c r="F553" s="9">
        <f t="shared" si="19"/>
        <v>1270.6949999999999</v>
      </c>
      <c r="H553" s="11">
        <v>51349</v>
      </c>
      <c r="I553" s="9">
        <f t="shared" si="20"/>
        <v>1270.6949999999999</v>
      </c>
    </row>
    <row r="554" spans="1:9">
      <c r="A554" s="11">
        <v>51380</v>
      </c>
      <c r="B554" s="12">
        <f t="shared" si="21"/>
        <v>1270.6949999999999</v>
      </c>
      <c r="C554" s="10"/>
      <c r="E554" s="11">
        <v>51380</v>
      </c>
      <c r="F554" s="9">
        <f t="shared" si="19"/>
        <v>1270.6949999999999</v>
      </c>
      <c r="H554" s="11">
        <v>51380</v>
      </c>
      <c r="I554" s="9">
        <f t="shared" si="20"/>
        <v>1270.6949999999999</v>
      </c>
    </row>
    <row r="555" spans="1:9">
      <c r="A555" s="11">
        <v>51410</v>
      </c>
      <c r="B555" s="12">
        <f t="shared" si="21"/>
        <v>1270.6949999999999</v>
      </c>
      <c r="C555" s="10"/>
      <c r="E555" s="11">
        <v>51410</v>
      </c>
      <c r="F555" s="9">
        <f t="shared" ref="F555:F618" si="22">B554</f>
        <v>1270.6949999999999</v>
      </c>
      <c r="H555" s="11">
        <v>51410</v>
      </c>
      <c r="I555" s="9">
        <f t="shared" ref="I555:I618" si="23">B553</f>
        <v>1270.6949999999999</v>
      </c>
    </row>
    <row r="556" spans="1:9">
      <c r="A556" s="11">
        <v>51441</v>
      </c>
      <c r="B556" s="12">
        <f t="shared" si="21"/>
        <v>1270.6949999999999</v>
      </c>
      <c r="C556" s="10"/>
      <c r="E556" s="11">
        <v>51441</v>
      </c>
      <c r="F556" s="9">
        <f t="shared" si="22"/>
        <v>1270.6949999999999</v>
      </c>
      <c r="H556" s="11">
        <v>51441</v>
      </c>
      <c r="I556" s="9">
        <f t="shared" si="23"/>
        <v>1270.6949999999999</v>
      </c>
    </row>
    <row r="557" spans="1:9">
      <c r="A557" s="11">
        <v>51471</v>
      </c>
      <c r="B557" s="12">
        <f t="shared" si="21"/>
        <v>1270.6949999999999</v>
      </c>
      <c r="C557" s="10"/>
      <c r="E557" s="11">
        <v>51471</v>
      </c>
      <c r="F557" s="9">
        <f t="shared" si="22"/>
        <v>1270.6949999999999</v>
      </c>
      <c r="H557" s="11">
        <v>51471</v>
      </c>
      <c r="I557" s="9">
        <f t="shared" si="23"/>
        <v>1270.6949999999999</v>
      </c>
    </row>
    <row r="558" spans="1:9">
      <c r="A558" s="11">
        <v>51502</v>
      </c>
      <c r="B558" s="12">
        <f t="shared" si="21"/>
        <v>1270.6949999999999</v>
      </c>
      <c r="C558" s="10"/>
      <c r="E558" s="11">
        <v>51502</v>
      </c>
      <c r="F558" s="9">
        <f t="shared" si="22"/>
        <v>1270.6949999999999</v>
      </c>
      <c r="H558" s="11">
        <v>51502</v>
      </c>
      <c r="I558" s="9">
        <f t="shared" si="23"/>
        <v>1270.6949999999999</v>
      </c>
    </row>
    <row r="559" spans="1:9">
      <c r="A559" s="11">
        <v>51533</v>
      </c>
      <c r="B559" s="12">
        <f t="shared" si="21"/>
        <v>1270.6949999999999</v>
      </c>
      <c r="C559" s="10"/>
      <c r="E559" s="11">
        <v>51533</v>
      </c>
      <c r="F559" s="9">
        <f t="shared" si="22"/>
        <v>1270.6949999999999</v>
      </c>
      <c r="H559" s="11">
        <v>51533</v>
      </c>
      <c r="I559" s="9">
        <f t="shared" si="23"/>
        <v>1270.6949999999999</v>
      </c>
    </row>
    <row r="560" spans="1:9">
      <c r="A560" s="11">
        <v>51561</v>
      </c>
      <c r="B560" s="12">
        <f t="shared" si="21"/>
        <v>1270.6949999999999</v>
      </c>
      <c r="C560" s="10"/>
      <c r="E560" s="11">
        <v>51561</v>
      </c>
      <c r="F560" s="9">
        <f t="shared" si="22"/>
        <v>1270.6949999999999</v>
      </c>
      <c r="H560" s="11">
        <v>51561</v>
      </c>
      <c r="I560" s="9">
        <f t="shared" si="23"/>
        <v>1270.6949999999999</v>
      </c>
    </row>
    <row r="561" spans="1:9">
      <c r="A561" s="11">
        <v>51592</v>
      </c>
      <c r="B561" s="12">
        <f t="shared" si="21"/>
        <v>1270.6949999999999</v>
      </c>
      <c r="C561" s="10"/>
      <c r="E561" s="11">
        <v>51592</v>
      </c>
      <c r="F561" s="9">
        <f t="shared" si="22"/>
        <v>1270.6949999999999</v>
      </c>
      <c r="H561" s="11">
        <v>51592</v>
      </c>
      <c r="I561" s="9">
        <f t="shared" si="23"/>
        <v>1270.6949999999999</v>
      </c>
    </row>
    <row r="562" spans="1:9">
      <c r="A562" s="11">
        <v>51622</v>
      </c>
      <c r="B562" s="12">
        <f t="shared" si="21"/>
        <v>1270.6949999999999</v>
      </c>
      <c r="C562" s="10"/>
      <c r="E562" s="11">
        <v>51622</v>
      </c>
      <c r="F562" s="9">
        <f t="shared" si="22"/>
        <v>1270.6949999999999</v>
      </c>
      <c r="H562" s="11">
        <v>51622</v>
      </c>
      <c r="I562" s="9">
        <f t="shared" si="23"/>
        <v>1270.6949999999999</v>
      </c>
    </row>
    <row r="563" spans="1:9">
      <c r="A563" s="11">
        <v>51653</v>
      </c>
      <c r="B563" s="12">
        <f t="shared" si="21"/>
        <v>1270.6949999999999</v>
      </c>
      <c r="C563" s="10"/>
      <c r="E563" s="11">
        <v>51653</v>
      </c>
      <c r="F563" s="9">
        <f t="shared" si="22"/>
        <v>1270.6949999999999</v>
      </c>
      <c r="H563" s="11">
        <v>51653</v>
      </c>
      <c r="I563" s="9">
        <f t="shared" si="23"/>
        <v>1270.6949999999999</v>
      </c>
    </row>
    <row r="564" spans="1:9">
      <c r="A564" s="11">
        <v>51683</v>
      </c>
      <c r="B564" s="12">
        <f t="shared" si="21"/>
        <v>1270.6949999999999</v>
      </c>
      <c r="C564" s="10"/>
      <c r="E564" s="11">
        <v>51683</v>
      </c>
      <c r="F564" s="9">
        <f t="shared" si="22"/>
        <v>1270.6949999999999</v>
      </c>
      <c r="H564" s="11">
        <v>51683</v>
      </c>
      <c r="I564" s="9">
        <f t="shared" si="23"/>
        <v>1270.6949999999999</v>
      </c>
    </row>
    <row r="565" spans="1:9">
      <c r="A565" s="11">
        <v>51714</v>
      </c>
      <c r="B565" s="12">
        <f t="shared" si="21"/>
        <v>1270.6949999999999</v>
      </c>
      <c r="C565" s="10"/>
      <c r="E565" s="11">
        <v>51714</v>
      </c>
      <c r="F565" s="9">
        <f t="shared" si="22"/>
        <v>1270.6949999999999</v>
      </c>
      <c r="H565" s="11">
        <v>51714</v>
      </c>
      <c r="I565" s="9">
        <f t="shared" si="23"/>
        <v>1270.6949999999999</v>
      </c>
    </row>
    <row r="566" spans="1:9">
      <c r="A566" s="11">
        <v>51745</v>
      </c>
      <c r="B566" s="12">
        <f t="shared" si="21"/>
        <v>1270.6949999999999</v>
      </c>
      <c r="C566" s="10"/>
      <c r="E566" s="11">
        <v>51745</v>
      </c>
      <c r="F566" s="9">
        <f t="shared" si="22"/>
        <v>1270.6949999999999</v>
      </c>
      <c r="H566" s="11">
        <v>51745</v>
      </c>
      <c r="I566" s="9">
        <f t="shared" si="23"/>
        <v>1270.6949999999999</v>
      </c>
    </row>
    <row r="567" spans="1:9">
      <c r="A567" s="11">
        <v>51775</v>
      </c>
      <c r="B567" s="12">
        <f t="shared" si="21"/>
        <v>1270.6949999999999</v>
      </c>
      <c r="C567" s="10"/>
      <c r="E567" s="11">
        <v>51775</v>
      </c>
      <c r="F567" s="9">
        <f t="shared" si="22"/>
        <v>1270.6949999999999</v>
      </c>
      <c r="H567" s="11">
        <v>51775</v>
      </c>
      <c r="I567" s="9">
        <f t="shared" si="23"/>
        <v>1270.6949999999999</v>
      </c>
    </row>
    <row r="568" spans="1:9">
      <c r="A568" s="11">
        <v>51806</v>
      </c>
      <c r="B568" s="12">
        <f t="shared" si="21"/>
        <v>1270.6949999999999</v>
      </c>
      <c r="C568" s="10"/>
      <c r="E568" s="11">
        <v>51806</v>
      </c>
      <c r="F568" s="9">
        <f t="shared" si="22"/>
        <v>1270.6949999999999</v>
      </c>
      <c r="H568" s="11">
        <v>51806</v>
      </c>
      <c r="I568" s="9">
        <f t="shared" si="23"/>
        <v>1270.6949999999999</v>
      </c>
    </row>
    <row r="569" spans="1:9">
      <c r="A569" s="11">
        <v>51836</v>
      </c>
      <c r="B569" s="12">
        <f t="shared" si="21"/>
        <v>1270.6949999999999</v>
      </c>
      <c r="C569" s="10"/>
      <c r="E569" s="11">
        <v>51836</v>
      </c>
      <c r="F569" s="9">
        <f t="shared" si="22"/>
        <v>1270.6949999999999</v>
      </c>
      <c r="H569" s="11">
        <v>51836</v>
      </c>
      <c r="I569" s="9">
        <f t="shared" si="23"/>
        <v>1270.6949999999999</v>
      </c>
    </row>
    <row r="570" spans="1:9">
      <c r="A570" s="11">
        <v>51867</v>
      </c>
      <c r="B570" s="12">
        <f t="shared" si="21"/>
        <v>1270.6949999999999</v>
      </c>
      <c r="C570" s="10"/>
      <c r="E570" s="11">
        <v>51867</v>
      </c>
      <c r="F570" s="9">
        <f t="shared" si="22"/>
        <v>1270.6949999999999</v>
      </c>
      <c r="H570" s="11">
        <v>51867</v>
      </c>
      <c r="I570" s="9">
        <f t="shared" si="23"/>
        <v>1270.6949999999999</v>
      </c>
    </row>
    <row r="571" spans="1:9">
      <c r="A571" s="11">
        <v>51898</v>
      </c>
      <c r="B571" s="12">
        <f t="shared" si="21"/>
        <v>1270.6949999999999</v>
      </c>
      <c r="C571" s="10"/>
      <c r="E571" s="11">
        <v>51898</v>
      </c>
      <c r="F571" s="9">
        <f t="shared" si="22"/>
        <v>1270.6949999999999</v>
      </c>
      <c r="H571" s="11">
        <v>51898</v>
      </c>
      <c r="I571" s="9">
        <f t="shared" si="23"/>
        <v>1270.6949999999999</v>
      </c>
    </row>
    <row r="572" spans="1:9">
      <c r="A572" s="11">
        <v>51926</v>
      </c>
      <c r="B572" s="12">
        <f t="shared" si="21"/>
        <v>1270.6949999999999</v>
      </c>
      <c r="C572" s="10"/>
      <c r="E572" s="11">
        <v>51926</v>
      </c>
      <c r="F572" s="9">
        <f t="shared" si="22"/>
        <v>1270.6949999999999</v>
      </c>
      <c r="H572" s="11">
        <v>51926</v>
      </c>
      <c r="I572" s="9">
        <f t="shared" si="23"/>
        <v>1270.6949999999999</v>
      </c>
    </row>
    <row r="573" spans="1:9">
      <c r="A573" s="11">
        <v>51957</v>
      </c>
      <c r="B573" s="12">
        <f t="shared" si="21"/>
        <v>1270.6949999999999</v>
      </c>
      <c r="C573" s="10"/>
      <c r="E573" s="11">
        <v>51957</v>
      </c>
      <c r="F573" s="9">
        <f t="shared" si="22"/>
        <v>1270.6949999999999</v>
      </c>
      <c r="H573" s="11">
        <v>51957</v>
      </c>
      <c r="I573" s="9">
        <f t="shared" si="23"/>
        <v>1270.6949999999999</v>
      </c>
    </row>
    <row r="574" spans="1:9">
      <c r="A574" s="11">
        <v>51987</v>
      </c>
      <c r="B574" s="12">
        <f t="shared" si="21"/>
        <v>1270.6949999999999</v>
      </c>
      <c r="C574" s="10"/>
      <c r="E574" s="11">
        <v>51987</v>
      </c>
      <c r="F574" s="9">
        <f t="shared" si="22"/>
        <v>1270.6949999999999</v>
      </c>
      <c r="H574" s="11">
        <v>51987</v>
      </c>
      <c r="I574" s="9">
        <f t="shared" si="23"/>
        <v>1270.6949999999999</v>
      </c>
    </row>
    <row r="575" spans="1:9">
      <c r="A575" s="11">
        <v>52018</v>
      </c>
      <c r="B575" s="12">
        <f t="shared" si="21"/>
        <v>1270.6949999999999</v>
      </c>
      <c r="C575" s="10"/>
      <c r="E575" s="11">
        <v>52018</v>
      </c>
      <c r="F575" s="9">
        <f t="shared" si="22"/>
        <v>1270.6949999999999</v>
      </c>
      <c r="H575" s="11">
        <v>52018</v>
      </c>
      <c r="I575" s="9">
        <f t="shared" si="23"/>
        <v>1270.6949999999999</v>
      </c>
    </row>
    <row r="576" spans="1:9">
      <c r="A576" s="11">
        <v>52048</v>
      </c>
      <c r="B576" s="12">
        <f t="shared" si="21"/>
        <v>1270.6949999999999</v>
      </c>
      <c r="C576" s="10"/>
      <c r="E576" s="11">
        <v>52048</v>
      </c>
      <c r="F576" s="9">
        <f t="shared" si="22"/>
        <v>1270.6949999999999</v>
      </c>
      <c r="H576" s="11">
        <v>52048</v>
      </c>
      <c r="I576" s="9">
        <f t="shared" si="23"/>
        <v>1270.6949999999999</v>
      </c>
    </row>
    <row r="577" spans="1:9">
      <c r="A577" s="11">
        <v>52079</v>
      </c>
      <c r="B577" s="12">
        <f t="shared" si="21"/>
        <v>1270.6949999999999</v>
      </c>
      <c r="C577" s="10"/>
      <c r="E577" s="11">
        <v>52079</v>
      </c>
      <c r="F577" s="9">
        <f t="shared" si="22"/>
        <v>1270.6949999999999</v>
      </c>
      <c r="H577" s="11">
        <v>52079</v>
      </c>
      <c r="I577" s="9">
        <f t="shared" si="23"/>
        <v>1270.6949999999999</v>
      </c>
    </row>
    <row r="578" spans="1:9">
      <c r="A578" s="11">
        <v>52110</v>
      </c>
      <c r="B578" s="12">
        <f t="shared" si="21"/>
        <v>1270.6949999999999</v>
      </c>
      <c r="C578" s="10"/>
      <c r="E578" s="11">
        <v>52110</v>
      </c>
      <c r="F578" s="9">
        <f t="shared" si="22"/>
        <v>1270.6949999999999</v>
      </c>
      <c r="H578" s="11">
        <v>52110</v>
      </c>
      <c r="I578" s="9">
        <f t="shared" si="23"/>
        <v>1270.6949999999999</v>
      </c>
    </row>
    <row r="579" spans="1:9">
      <c r="A579" s="11">
        <v>52140</v>
      </c>
      <c r="B579" s="12">
        <f t="shared" si="21"/>
        <v>1270.6949999999999</v>
      </c>
      <c r="C579" s="10"/>
      <c r="E579" s="11">
        <v>52140</v>
      </c>
      <c r="F579" s="9">
        <f t="shared" si="22"/>
        <v>1270.6949999999999</v>
      </c>
      <c r="H579" s="11">
        <v>52140</v>
      </c>
      <c r="I579" s="9">
        <f t="shared" si="23"/>
        <v>1270.6949999999999</v>
      </c>
    </row>
    <row r="580" spans="1:9">
      <c r="A580" s="11">
        <v>52171</v>
      </c>
      <c r="B580" s="12">
        <f t="shared" si="21"/>
        <v>1270.6949999999999</v>
      </c>
      <c r="C580" s="10"/>
      <c r="E580" s="11">
        <v>52171</v>
      </c>
      <c r="F580" s="9">
        <f t="shared" si="22"/>
        <v>1270.6949999999999</v>
      </c>
      <c r="H580" s="11">
        <v>52171</v>
      </c>
      <c r="I580" s="9">
        <f t="shared" si="23"/>
        <v>1270.6949999999999</v>
      </c>
    </row>
    <row r="581" spans="1:9">
      <c r="A581" s="11">
        <v>52201</v>
      </c>
      <c r="B581" s="12">
        <f t="shared" si="21"/>
        <v>1270.6949999999999</v>
      </c>
      <c r="C581" s="10"/>
      <c r="E581" s="11">
        <v>52201</v>
      </c>
      <c r="F581" s="9">
        <f t="shared" si="22"/>
        <v>1270.6949999999999</v>
      </c>
      <c r="H581" s="11">
        <v>52201</v>
      </c>
      <c r="I581" s="9">
        <f t="shared" si="23"/>
        <v>1270.6949999999999</v>
      </c>
    </row>
    <row r="582" spans="1:9">
      <c r="A582" s="11">
        <v>52232</v>
      </c>
      <c r="B582" s="12">
        <f t="shared" si="21"/>
        <v>1270.6949999999999</v>
      </c>
      <c r="C582" s="10"/>
      <c r="E582" s="11">
        <v>52232</v>
      </c>
      <c r="F582" s="9">
        <f t="shared" si="22"/>
        <v>1270.6949999999999</v>
      </c>
      <c r="H582" s="11">
        <v>52232</v>
      </c>
      <c r="I582" s="9">
        <f t="shared" si="23"/>
        <v>1270.6949999999999</v>
      </c>
    </row>
    <row r="583" spans="1:9">
      <c r="A583" s="11">
        <v>52263</v>
      </c>
      <c r="B583" s="12">
        <f t="shared" si="21"/>
        <v>1270.6949999999999</v>
      </c>
      <c r="C583" s="10"/>
      <c r="E583" s="11">
        <v>52263</v>
      </c>
      <c r="F583" s="9">
        <f t="shared" si="22"/>
        <v>1270.6949999999999</v>
      </c>
      <c r="H583" s="11">
        <v>52263</v>
      </c>
      <c r="I583" s="9">
        <f t="shared" si="23"/>
        <v>1270.6949999999999</v>
      </c>
    </row>
    <row r="584" spans="1:9">
      <c r="A584" s="11">
        <v>52291</v>
      </c>
      <c r="B584" s="12">
        <f t="shared" si="21"/>
        <v>1270.6949999999999</v>
      </c>
      <c r="C584" s="10"/>
      <c r="E584" s="11">
        <v>52291</v>
      </c>
      <c r="F584" s="9">
        <f t="shared" si="22"/>
        <v>1270.6949999999999</v>
      </c>
      <c r="H584" s="11">
        <v>52291</v>
      </c>
      <c r="I584" s="9">
        <f t="shared" si="23"/>
        <v>1270.6949999999999</v>
      </c>
    </row>
    <row r="585" spans="1:9">
      <c r="A585" s="11">
        <v>52322</v>
      </c>
      <c r="B585" s="12">
        <f t="shared" si="21"/>
        <v>1270.6949999999999</v>
      </c>
      <c r="C585" s="10"/>
      <c r="E585" s="11">
        <v>52322</v>
      </c>
      <c r="F585" s="9">
        <f t="shared" si="22"/>
        <v>1270.6949999999999</v>
      </c>
      <c r="H585" s="11">
        <v>52322</v>
      </c>
      <c r="I585" s="9">
        <f t="shared" si="23"/>
        <v>1270.6949999999999</v>
      </c>
    </row>
    <row r="586" spans="1:9">
      <c r="A586" s="11">
        <v>52352</v>
      </c>
      <c r="B586" s="12">
        <f t="shared" si="21"/>
        <v>1270.6949999999999</v>
      </c>
      <c r="C586" s="10"/>
      <c r="E586" s="11">
        <v>52352</v>
      </c>
      <c r="F586" s="9">
        <f t="shared" si="22"/>
        <v>1270.6949999999999</v>
      </c>
      <c r="H586" s="11">
        <v>52352</v>
      </c>
      <c r="I586" s="9">
        <f t="shared" si="23"/>
        <v>1270.6949999999999</v>
      </c>
    </row>
    <row r="587" spans="1:9">
      <c r="A587" s="11">
        <v>52383</v>
      </c>
      <c r="B587" s="12">
        <f t="shared" si="21"/>
        <v>1270.6949999999999</v>
      </c>
      <c r="C587" s="10"/>
      <c r="E587" s="11">
        <v>52383</v>
      </c>
      <c r="F587" s="9">
        <f t="shared" si="22"/>
        <v>1270.6949999999999</v>
      </c>
      <c r="H587" s="11">
        <v>52383</v>
      </c>
      <c r="I587" s="9">
        <f t="shared" si="23"/>
        <v>1270.6949999999999</v>
      </c>
    </row>
    <row r="588" spans="1:9">
      <c r="A588" s="11">
        <v>52413</v>
      </c>
      <c r="B588" s="12">
        <f t="shared" si="21"/>
        <v>1270.6949999999999</v>
      </c>
      <c r="C588" s="10"/>
      <c r="E588" s="11">
        <v>52413</v>
      </c>
      <c r="F588" s="9">
        <f t="shared" si="22"/>
        <v>1270.6949999999999</v>
      </c>
      <c r="H588" s="11">
        <v>52413</v>
      </c>
      <c r="I588" s="9">
        <f t="shared" si="23"/>
        <v>1270.6949999999999</v>
      </c>
    </row>
    <row r="589" spans="1:9">
      <c r="A589" s="11">
        <v>52444</v>
      </c>
      <c r="B589" s="12">
        <f t="shared" si="21"/>
        <v>1270.6949999999999</v>
      </c>
      <c r="C589" s="10"/>
      <c r="E589" s="11">
        <v>52444</v>
      </c>
      <c r="F589" s="9">
        <f t="shared" si="22"/>
        <v>1270.6949999999999</v>
      </c>
      <c r="H589" s="11">
        <v>52444</v>
      </c>
      <c r="I589" s="9">
        <f t="shared" si="23"/>
        <v>1270.6949999999999</v>
      </c>
    </row>
    <row r="590" spans="1:9">
      <c r="A590" s="11">
        <v>52475</v>
      </c>
      <c r="B590" s="12">
        <f t="shared" si="21"/>
        <v>1270.6949999999999</v>
      </c>
      <c r="C590" s="10"/>
      <c r="E590" s="11">
        <v>52475</v>
      </c>
      <c r="F590" s="9">
        <f t="shared" si="22"/>
        <v>1270.6949999999999</v>
      </c>
      <c r="H590" s="11">
        <v>52475</v>
      </c>
      <c r="I590" s="9">
        <f t="shared" si="23"/>
        <v>1270.6949999999999</v>
      </c>
    </row>
    <row r="591" spans="1:9">
      <c r="A591" s="11">
        <v>52505</v>
      </c>
      <c r="B591" s="12">
        <f t="shared" si="21"/>
        <v>1270.6949999999999</v>
      </c>
      <c r="C591" s="10"/>
      <c r="E591" s="11">
        <v>52505</v>
      </c>
      <c r="F591" s="9">
        <f t="shared" si="22"/>
        <v>1270.6949999999999</v>
      </c>
      <c r="H591" s="11">
        <v>52505</v>
      </c>
      <c r="I591" s="9">
        <f t="shared" si="23"/>
        <v>1270.6949999999999</v>
      </c>
    </row>
    <row r="592" spans="1:9">
      <c r="A592" s="11">
        <v>52536</v>
      </c>
      <c r="B592" s="12">
        <f t="shared" si="21"/>
        <v>1270.6949999999999</v>
      </c>
      <c r="C592" s="10"/>
      <c r="E592" s="11">
        <v>52536</v>
      </c>
      <c r="F592" s="9">
        <f t="shared" si="22"/>
        <v>1270.6949999999999</v>
      </c>
      <c r="H592" s="11">
        <v>52536</v>
      </c>
      <c r="I592" s="9">
        <f t="shared" si="23"/>
        <v>1270.6949999999999</v>
      </c>
    </row>
    <row r="593" spans="1:9">
      <c r="A593" s="11">
        <v>52566</v>
      </c>
      <c r="B593" s="12">
        <f t="shared" si="21"/>
        <v>1270.6949999999999</v>
      </c>
      <c r="C593" s="10"/>
      <c r="E593" s="11">
        <v>52566</v>
      </c>
      <c r="F593" s="9">
        <f t="shared" si="22"/>
        <v>1270.6949999999999</v>
      </c>
      <c r="H593" s="11">
        <v>52566</v>
      </c>
      <c r="I593" s="9">
        <f t="shared" si="23"/>
        <v>1270.6949999999999</v>
      </c>
    </row>
    <row r="594" spans="1:9">
      <c r="A594" s="11">
        <v>52597</v>
      </c>
      <c r="B594" s="12">
        <f t="shared" si="21"/>
        <v>1270.6949999999999</v>
      </c>
      <c r="C594" s="10"/>
      <c r="E594" s="11">
        <v>52597</v>
      </c>
      <c r="F594" s="9">
        <f t="shared" si="22"/>
        <v>1270.6949999999999</v>
      </c>
      <c r="H594" s="11">
        <v>52597</v>
      </c>
      <c r="I594" s="9">
        <f t="shared" si="23"/>
        <v>1270.6949999999999</v>
      </c>
    </row>
    <row r="595" spans="1:9">
      <c r="A595" s="11">
        <v>52628</v>
      </c>
      <c r="B595" s="12">
        <f t="shared" si="21"/>
        <v>1270.6949999999999</v>
      </c>
      <c r="C595" s="10"/>
      <c r="E595" s="11">
        <v>52628</v>
      </c>
      <c r="F595" s="9">
        <f t="shared" si="22"/>
        <v>1270.6949999999999</v>
      </c>
      <c r="H595" s="11">
        <v>52628</v>
      </c>
      <c r="I595" s="9">
        <f t="shared" si="23"/>
        <v>1270.6949999999999</v>
      </c>
    </row>
    <row r="596" spans="1:9">
      <c r="A596" s="11">
        <v>52657</v>
      </c>
      <c r="B596" s="12">
        <f t="shared" si="21"/>
        <v>1270.6949999999999</v>
      </c>
      <c r="C596" s="10"/>
      <c r="E596" s="11">
        <v>52657</v>
      </c>
      <c r="F596" s="9">
        <f t="shared" si="22"/>
        <v>1270.6949999999999</v>
      </c>
      <c r="H596" s="11">
        <v>52657</v>
      </c>
      <c r="I596" s="9">
        <f t="shared" si="23"/>
        <v>1270.6949999999999</v>
      </c>
    </row>
    <row r="597" spans="1:9">
      <c r="A597" s="11">
        <v>52688</v>
      </c>
      <c r="B597" s="12">
        <f t="shared" si="21"/>
        <v>1270.6949999999999</v>
      </c>
      <c r="C597" s="10"/>
      <c r="E597" s="11">
        <v>52688</v>
      </c>
      <c r="F597" s="9">
        <f t="shared" si="22"/>
        <v>1270.6949999999999</v>
      </c>
      <c r="H597" s="11">
        <v>52688</v>
      </c>
      <c r="I597" s="9">
        <f t="shared" si="23"/>
        <v>1270.6949999999999</v>
      </c>
    </row>
    <row r="598" spans="1:9">
      <c r="A598" s="11">
        <v>52718</v>
      </c>
      <c r="B598" s="12">
        <f t="shared" si="21"/>
        <v>1270.6949999999999</v>
      </c>
      <c r="C598" s="10"/>
      <c r="E598" s="11">
        <v>52718</v>
      </c>
      <c r="F598" s="9">
        <f t="shared" si="22"/>
        <v>1270.6949999999999</v>
      </c>
      <c r="H598" s="11">
        <v>52718</v>
      </c>
      <c r="I598" s="9">
        <f t="shared" si="23"/>
        <v>1270.6949999999999</v>
      </c>
    </row>
    <row r="599" spans="1:9">
      <c r="A599" s="11">
        <v>52749</v>
      </c>
      <c r="B599" s="12">
        <f t="shared" si="21"/>
        <v>1270.6949999999999</v>
      </c>
      <c r="C599" s="10"/>
      <c r="E599" s="11">
        <v>52749</v>
      </c>
      <c r="F599" s="9">
        <f t="shared" si="22"/>
        <v>1270.6949999999999</v>
      </c>
      <c r="H599" s="11">
        <v>52749</v>
      </c>
      <c r="I599" s="9">
        <f t="shared" si="23"/>
        <v>1270.6949999999999</v>
      </c>
    </row>
    <row r="600" spans="1:9">
      <c r="A600" s="11">
        <v>52779</v>
      </c>
      <c r="B600" s="12">
        <f t="shared" si="21"/>
        <v>1270.6949999999999</v>
      </c>
      <c r="C600" s="10"/>
      <c r="E600" s="11">
        <v>52779</v>
      </c>
      <c r="F600" s="9">
        <f t="shared" si="22"/>
        <v>1270.6949999999999</v>
      </c>
      <c r="H600" s="11">
        <v>52779</v>
      </c>
      <c r="I600" s="9">
        <f t="shared" si="23"/>
        <v>1270.6949999999999</v>
      </c>
    </row>
    <row r="601" spans="1:9">
      <c r="A601" s="11">
        <v>52810</v>
      </c>
      <c r="B601" s="12">
        <f t="shared" si="21"/>
        <v>1270.6949999999999</v>
      </c>
      <c r="C601" s="10"/>
      <c r="E601" s="11">
        <v>52810</v>
      </c>
      <c r="F601" s="9">
        <f t="shared" si="22"/>
        <v>1270.6949999999999</v>
      </c>
      <c r="H601" s="11">
        <v>52810</v>
      </c>
      <c r="I601" s="9">
        <f t="shared" si="23"/>
        <v>1270.6949999999999</v>
      </c>
    </row>
    <row r="602" spans="1:9">
      <c r="A602" s="11">
        <v>52841</v>
      </c>
      <c r="B602" s="12">
        <f t="shared" si="21"/>
        <v>1270.6949999999999</v>
      </c>
      <c r="C602" s="10"/>
      <c r="E602" s="11">
        <v>52841</v>
      </c>
      <c r="F602" s="9">
        <f t="shared" si="22"/>
        <v>1270.6949999999999</v>
      </c>
      <c r="H602" s="11">
        <v>52841</v>
      </c>
      <c r="I602" s="9">
        <f t="shared" si="23"/>
        <v>1270.6949999999999</v>
      </c>
    </row>
    <row r="603" spans="1:9">
      <c r="A603" s="11">
        <v>52871</v>
      </c>
      <c r="B603" s="12">
        <f t="shared" si="21"/>
        <v>1270.6949999999999</v>
      </c>
      <c r="C603" s="10"/>
      <c r="E603" s="11">
        <v>52871</v>
      </c>
      <c r="F603" s="9">
        <f t="shared" si="22"/>
        <v>1270.6949999999999</v>
      </c>
      <c r="H603" s="11">
        <v>52871</v>
      </c>
      <c r="I603" s="9">
        <f t="shared" si="23"/>
        <v>1270.6949999999999</v>
      </c>
    </row>
    <row r="604" spans="1:9">
      <c r="A604" s="11">
        <v>52902</v>
      </c>
      <c r="B604" s="12">
        <f t="shared" si="21"/>
        <v>1270.6949999999999</v>
      </c>
      <c r="C604" s="10"/>
      <c r="E604" s="11">
        <v>52902</v>
      </c>
      <c r="F604" s="9">
        <f t="shared" si="22"/>
        <v>1270.6949999999999</v>
      </c>
      <c r="H604" s="11">
        <v>52902</v>
      </c>
      <c r="I604" s="9">
        <f t="shared" si="23"/>
        <v>1270.6949999999999</v>
      </c>
    </row>
    <row r="605" spans="1:9">
      <c r="A605" s="11">
        <v>52932</v>
      </c>
      <c r="B605" s="12">
        <f t="shared" si="21"/>
        <v>1270.6949999999999</v>
      </c>
      <c r="C605" s="10"/>
      <c r="E605" s="11">
        <v>52932</v>
      </c>
      <c r="F605" s="9">
        <f t="shared" si="22"/>
        <v>1270.6949999999999</v>
      </c>
      <c r="H605" s="11">
        <v>52932</v>
      </c>
      <c r="I605" s="9">
        <f t="shared" si="23"/>
        <v>1270.6949999999999</v>
      </c>
    </row>
    <row r="606" spans="1:9">
      <c r="A606" s="11">
        <v>52963</v>
      </c>
      <c r="B606" s="12">
        <f t="shared" si="21"/>
        <v>1270.6949999999999</v>
      </c>
      <c r="C606" s="10"/>
      <c r="E606" s="11">
        <v>52963</v>
      </c>
      <c r="F606" s="9">
        <f t="shared" si="22"/>
        <v>1270.6949999999999</v>
      </c>
      <c r="H606" s="11">
        <v>52963</v>
      </c>
      <c r="I606" s="9">
        <f t="shared" si="23"/>
        <v>1270.6949999999999</v>
      </c>
    </row>
    <row r="607" spans="1:9">
      <c r="A607" s="11">
        <v>52994</v>
      </c>
      <c r="B607" s="12">
        <f t="shared" si="21"/>
        <v>1270.6949999999999</v>
      </c>
      <c r="C607" s="10"/>
      <c r="E607" s="11">
        <v>52994</v>
      </c>
      <c r="F607" s="9">
        <f t="shared" si="22"/>
        <v>1270.6949999999999</v>
      </c>
      <c r="H607" s="11">
        <v>52994</v>
      </c>
      <c r="I607" s="9">
        <f t="shared" si="23"/>
        <v>1270.6949999999999</v>
      </c>
    </row>
    <row r="608" spans="1:9">
      <c r="A608" s="11">
        <v>53022</v>
      </c>
      <c r="B608" s="12">
        <f t="shared" si="21"/>
        <v>1270.6949999999999</v>
      </c>
      <c r="C608" s="10"/>
      <c r="E608" s="11">
        <v>53022</v>
      </c>
      <c r="F608" s="9">
        <f t="shared" si="22"/>
        <v>1270.6949999999999</v>
      </c>
      <c r="H608" s="11">
        <v>53022</v>
      </c>
      <c r="I608" s="9">
        <f t="shared" si="23"/>
        <v>1270.6949999999999</v>
      </c>
    </row>
    <row r="609" spans="1:9">
      <c r="A609" s="11">
        <v>53053</v>
      </c>
      <c r="B609" s="12">
        <f t="shared" ref="B609:B672" si="24">B608</f>
        <v>1270.6949999999999</v>
      </c>
      <c r="C609" s="10"/>
      <c r="E609" s="11">
        <v>53053</v>
      </c>
      <c r="F609" s="9">
        <f t="shared" si="22"/>
        <v>1270.6949999999999</v>
      </c>
      <c r="H609" s="11">
        <v>53053</v>
      </c>
      <c r="I609" s="9">
        <f t="shared" si="23"/>
        <v>1270.6949999999999</v>
      </c>
    </row>
    <row r="610" spans="1:9">
      <c r="A610" s="11">
        <v>53083</v>
      </c>
      <c r="B610" s="12">
        <f t="shared" si="24"/>
        <v>1270.6949999999999</v>
      </c>
      <c r="C610" s="10"/>
      <c r="E610" s="11">
        <v>53083</v>
      </c>
      <c r="F610" s="9">
        <f t="shared" si="22"/>
        <v>1270.6949999999999</v>
      </c>
      <c r="H610" s="11">
        <v>53083</v>
      </c>
      <c r="I610" s="9">
        <f t="shared" si="23"/>
        <v>1270.6949999999999</v>
      </c>
    </row>
    <row r="611" spans="1:9">
      <c r="A611" s="11">
        <v>53114</v>
      </c>
      <c r="B611" s="12">
        <f t="shared" si="24"/>
        <v>1270.6949999999999</v>
      </c>
      <c r="C611" s="10"/>
      <c r="E611" s="11">
        <v>53114</v>
      </c>
      <c r="F611" s="9">
        <f t="shared" si="22"/>
        <v>1270.6949999999999</v>
      </c>
      <c r="H611" s="11">
        <v>53114</v>
      </c>
      <c r="I611" s="9">
        <f t="shared" si="23"/>
        <v>1270.6949999999999</v>
      </c>
    </row>
    <row r="612" spans="1:9">
      <c r="A612" s="11">
        <v>53144</v>
      </c>
      <c r="B612" s="12">
        <f t="shared" si="24"/>
        <v>1270.6949999999999</v>
      </c>
      <c r="C612" s="10"/>
      <c r="E612" s="11">
        <v>53144</v>
      </c>
      <c r="F612" s="9">
        <f t="shared" si="22"/>
        <v>1270.6949999999999</v>
      </c>
      <c r="H612" s="11">
        <v>53144</v>
      </c>
      <c r="I612" s="9">
        <f t="shared" si="23"/>
        <v>1270.6949999999999</v>
      </c>
    </row>
    <row r="613" spans="1:9">
      <c r="A613" s="11">
        <v>53175</v>
      </c>
      <c r="B613" s="12">
        <f t="shared" si="24"/>
        <v>1270.6949999999999</v>
      </c>
      <c r="C613" s="10"/>
      <c r="E613" s="11">
        <v>53175</v>
      </c>
      <c r="F613" s="9">
        <f t="shared" si="22"/>
        <v>1270.6949999999999</v>
      </c>
      <c r="H613" s="11">
        <v>53175</v>
      </c>
      <c r="I613" s="9">
        <f t="shared" si="23"/>
        <v>1270.6949999999999</v>
      </c>
    </row>
    <row r="614" spans="1:9">
      <c r="A614" s="11">
        <v>53206</v>
      </c>
      <c r="B614" s="12">
        <f t="shared" si="24"/>
        <v>1270.6949999999999</v>
      </c>
      <c r="C614" s="10"/>
      <c r="E614" s="11">
        <v>53206</v>
      </c>
      <c r="F614" s="9">
        <f t="shared" si="22"/>
        <v>1270.6949999999999</v>
      </c>
      <c r="H614" s="11">
        <v>53206</v>
      </c>
      <c r="I614" s="9">
        <f t="shared" si="23"/>
        <v>1270.6949999999999</v>
      </c>
    </row>
    <row r="615" spans="1:9">
      <c r="A615" s="11">
        <v>53236</v>
      </c>
      <c r="B615" s="12">
        <f t="shared" si="24"/>
        <v>1270.6949999999999</v>
      </c>
      <c r="C615" s="10"/>
      <c r="E615" s="11">
        <v>53236</v>
      </c>
      <c r="F615" s="9">
        <f t="shared" si="22"/>
        <v>1270.6949999999999</v>
      </c>
      <c r="H615" s="11">
        <v>53236</v>
      </c>
      <c r="I615" s="9">
        <f t="shared" si="23"/>
        <v>1270.6949999999999</v>
      </c>
    </row>
    <row r="616" spans="1:9">
      <c r="A616" s="11">
        <v>53267</v>
      </c>
      <c r="B616" s="12">
        <f t="shared" si="24"/>
        <v>1270.6949999999999</v>
      </c>
      <c r="C616" s="10"/>
      <c r="E616" s="11">
        <v>53267</v>
      </c>
      <c r="F616" s="9">
        <f t="shared" si="22"/>
        <v>1270.6949999999999</v>
      </c>
      <c r="H616" s="11">
        <v>53267</v>
      </c>
      <c r="I616" s="9">
        <f t="shared" si="23"/>
        <v>1270.6949999999999</v>
      </c>
    </row>
    <row r="617" spans="1:9">
      <c r="A617" s="11">
        <v>53297</v>
      </c>
      <c r="B617" s="12">
        <f t="shared" si="24"/>
        <v>1270.6949999999999</v>
      </c>
      <c r="C617" s="10"/>
      <c r="E617" s="11">
        <v>53297</v>
      </c>
      <c r="F617" s="9">
        <f t="shared" si="22"/>
        <v>1270.6949999999999</v>
      </c>
      <c r="H617" s="11">
        <v>53297</v>
      </c>
      <c r="I617" s="9">
        <f t="shared" si="23"/>
        <v>1270.6949999999999</v>
      </c>
    </row>
    <row r="618" spans="1:9">
      <c r="A618" s="11">
        <v>53328</v>
      </c>
      <c r="B618" s="12">
        <f t="shared" si="24"/>
        <v>1270.6949999999999</v>
      </c>
      <c r="C618" s="10"/>
      <c r="E618" s="11">
        <v>53328</v>
      </c>
      <c r="F618" s="9">
        <f t="shared" si="22"/>
        <v>1270.6949999999999</v>
      </c>
      <c r="H618" s="11">
        <v>53328</v>
      </c>
      <c r="I618" s="9">
        <f t="shared" si="23"/>
        <v>1270.6949999999999</v>
      </c>
    </row>
    <row r="619" spans="1:9">
      <c r="A619" s="11">
        <v>53359</v>
      </c>
      <c r="B619" s="12">
        <f t="shared" si="24"/>
        <v>1270.6949999999999</v>
      </c>
      <c r="C619" s="10"/>
      <c r="E619" s="11">
        <v>53359</v>
      </c>
      <c r="F619" s="9">
        <f t="shared" ref="F619:F682" si="25">B618</f>
        <v>1270.6949999999999</v>
      </c>
      <c r="H619" s="11">
        <v>53359</v>
      </c>
      <c r="I619" s="9">
        <f t="shared" ref="I619:I682" si="26">B617</f>
        <v>1270.6949999999999</v>
      </c>
    </row>
    <row r="620" spans="1:9">
      <c r="A620" s="11">
        <v>53387</v>
      </c>
      <c r="B620" s="12">
        <f t="shared" si="24"/>
        <v>1270.6949999999999</v>
      </c>
      <c r="C620" s="10"/>
      <c r="E620" s="11">
        <v>53387</v>
      </c>
      <c r="F620" s="9">
        <f t="shared" si="25"/>
        <v>1270.6949999999999</v>
      </c>
      <c r="H620" s="11">
        <v>53387</v>
      </c>
      <c r="I620" s="9">
        <f t="shared" si="26"/>
        <v>1270.6949999999999</v>
      </c>
    </row>
    <row r="621" spans="1:9">
      <c r="A621" s="11">
        <v>53418</v>
      </c>
      <c r="B621" s="12">
        <f t="shared" si="24"/>
        <v>1270.6949999999999</v>
      </c>
      <c r="C621" s="10"/>
      <c r="E621" s="11">
        <v>53418</v>
      </c>
      <c r="F621" s="9">
        <f t="shared" si="25"/>
        <v>1270.6949999999999</v>
      </c>
      <c r="H621" s="11">
        <v>53418</v>
      </c>
      <c r="I621" s="9">
        <f t="shared" si="26"/>
        <v>1270.6949999999999</v>
      </c>
    </row>
    <row r="622" spans="1:9">
      <c r="A622" s="11">
        <v>53448</v>
      </c>
      <c r="B622" s="12">
        <f t="shared" si="24"/>
        <v>1270.6949999999999</v>
      </c>
      <c r="C622" s="10"/>
      <c r="E622" s="11">
        <v>53448</v>
      </c>
      <c r="F622" s="9">
        <f t="shared" si="25"/>
        <v>1270.6949999999999</v>
      </c>
      <c r="H622" s="11">
        <v>53448</v>
      </c>
      <c r="I622" s="9">
        <f t="shared" si="26"/>
        <v>1270.6949999999999</v>
      </c>
    </row>
    <row r="623" spans="1:9">
      <c r="A623" s="11">
        <v>53479</v>
      </c>
      <c r="B623" s="12">
        <f t="shared" si="24"/>
        <v>1270.6949999999999</v>
      </c>
      <c r="C623" s="10"/>
      <c r="E623" s="11">
        <v>53479</v>
      </c>
      <c r="F623" s="9">
        <f t="shared" si="25"/>
        <v>1270.6949999999999</v>
      </c>
      <c r="H623" s="11">
        <v>53479</v>
      </c>
      <c r="I623" s="9">
        <f t="shared" si="26"/>
        <v>1270.6949999999999</v>
      </c>
    </row>
    <row r="624" spans="1:9">
      <c r="A624" s="11">
        <v>53509</v>
      </c>
      <c r="B624" s="12">
        <f t="shared" si="24"/>
        <v>1270.6949999999999</v>
      </c>
      <c r="C624" s="10"/>
      <c r="E624" s="11">
        <v>53509</v>
      </c>
      <c r="F624" s="9">
        <f t="shared" si="25"/>
        <v>1270.6949999999999</v>
      </c>
      <c r="H624" s="11">
        <v>53509</v>
      </c>
      <c r="I624" s="9">
        <f t="shared" si="26"/>
        <v>1270.6949999999999</v>
      </c>
    </row>
    <row r="625" spans="1:9">
      <c r="A625" s="11">
        <v>53540</v>
      </c>
      <c r="B625" s="12">
        <f t="shared" si="24"/>
        <v>1270.6949999999999</v>
      </c>
      <c r="C625" s="10"/>
      <c r="E625" s="11">
        <v>53540</v>
      </c>
      <c r="F625" s="9">
        <f t="shared" si="25"/>
        <v>1270.6949999999999</v>
      </c>
      <c r="H625" s="11">
        <v>53540</v>
      </c>
      <c r="I625" s="9">
        <f t="shared" si="26"/>
        <v>1270.6949999999999</v>
      </c>
    </row>
    <row r="626" spans="1:9">
      <c r="A626" s="11">
        <v>53571</v>
      </c>
      <c r="B626" s="12">
        <f t="shared" si="24"/>
        <v>1270.6949999999999</v>
      </c>
      <c r="C626" s="10"/>
      <c r="E626" s="11">
        <v>53571</v>
      </c>
      <c r="F626" s="9">
        <f t="shared" si="25"/>
        <v>1270.6949999999999</v>
      </c>
      <c r="H626" s="11">
        <v>53571</v>
      </c>
      <c r="I626" s="9">
        <f t="shared" si="26"/>
        <v>1270.6949999999999</v>
      </c>
    </row>
    <row r="627" spans="1:9">
      <c r="A627" s="11">
        <v>53601</v>
      </c>
      <c r="B627" s="12">
        <f t="shared" si="24"/>
        <v>1270.6949999999999</v>
      </c>
      <c r="C627" s="10"/>
      <c r="E627" s="11">
        <v>53601</v>
      </c>
      <c r="F627" s="9">
        <f t="shared" si="25"/>
        <v>1270.6949999999999</v>
      </c>
      <c r="H627" s="11">
        <v>53601</v>
      </c>
      <c r="I627" s="9">
        <f t="shared" si="26"/>
        <v>1270.6949999999999</v>
      </c>
    </row>
    <row r="628" spans="1:9">
      <c r="A628" s="11">
        <v>53632</v>
      </c>
      <c r="B628" s="12">
        <f t="shared" si="24"/>
        <v>1270.6949999999999</v>
      </c>
      <c r="C628" s="10"/>
      <c r="E628" s="11">
        <v>53632</v>
      </c>
      <c r="F628" s="9">
        <f t="shared" si="25"/>
        <v>1270.6949999999999</v>
      </c>
      <c r="H628" s="11">
        <v>53632</v>
      </c>
      <c r="I628" s="9">
        <f t="shared" si="26"/>
        <v>1270.6949999999999</v>
      </c>
    </row>
    <row r="629" spans="1:9">
      <c r="A629" s="11">
        <v>53662</v>
      </c>
      <c r="B629" s="12">
        <f t="shared" si="24"/>
        <v>1270.6949999999999</v>
      </c>
      <c r="C629" s="10"/>
      <c r="E629" s="11">
        <v>53662</v>
      </c>
      <c r="F629" s="9">
        <f t="shared" si="25"/>
        <v>1270.6949999999999</v>
      </c>
      <c r="H629" s="11">
        <v>53662</v>
      </c>
      <c r="I629" s="9">
        <f t="shared" si="26"/>
        <v>1270.6949999999999</v>
      </c>
    </row>
    <row r="630" spans="1:9">
      <c r="A630" s="11">
        <v>53693</v>
      </c>
      <c r="B630" s="12">
        <f t="shared" si="24"/>
        <v>1270.6949999999999</v>
      </c>
      <c r="C630" s="10"/>
      <c r="E630" s="11">
        <v>53693</v>
      </c>
      <c r="F630" s="9">
        <f t="shared" si="25"/>
        <v>1270.6949999999999</v>
      </c>
      <c r="H630" s="11">
        <v>53693</v>
      </c>
      <c r="I630" s="9">
        <f t="shared" si="26"/>
        <v>1270.6949999999999</v>
      </c>
    </row>
    <row r="631" spans="1:9">
      <c r="A631" s="11">
        <v>53724</v>
      </c>
      <c r="B631" s="12">
        <f t="shared" si="24"/>
        <v>1270.6949999999999</v>
      </c>
      <c r="C631" s="10"/>
      <c r="E631" s="11">
        <v>53724</v>
      </c>
      <c r="F631" s="9">
        <f t="shared" si="25"/>
        <v>1270.6949999999999</v>
      </c>
      <c r="H631" s="11">
        <v>53724</v>
      </c>
      <c r="I631" s="9">
        <f t="shared" si="26"/>
        <v>1270.6949999999999</v>
      </c>
    </row>
    <row r="632" spans="1:9">
      <c r="A632" s="11">
        <v>53752</v>
      </c>
      <c r="B632" s="12">
        <f t="shared" si="24"/>
        <v>1270.6949999999999</v>
      </c>
      <c r="C632" s="10"/>
      <c r="E632" s="11">
        <v>53752</v>
      </c>
      <c r="F632" s="9">
        <f t="shared" si="25"/>
        <v>1270.6949999999999</v>
      </c>
      <c r="H632" s="11">
        <v>53752</v>
      </c>
      <c r="I632" s="9">
        <f t="shared" si="26"/>
        <v>1270.6949999999999</v>
      </c>
    </row>
    <row r="633" spans="1:9">
      <c r="A633" s="11">
        <v>53783</v>
      </c>
      <c r="B633" s="12">
        <f t="shared" si="24"/>
        <v>1270.6949999999999</v>
      </c>
      <c r="C633" s="10"/>
      <c r="E633" s="11">
        <v>53783</v>
      </c>
      <c r="F633" s="9">
        <f t="shared" si="25"/>
        <v>1270.6949999999999</v>
      </c>
      <c r="H633" s="11">
        <v>53783</v>
      </c>
      <c r="I633" s="9">
        <f t="shared" si="26"/>
        <v>1270.6949999999999</v>
      </c>
    </row>
    <row r="634" spans="1:9">
      <c r="A634" s="11">
        <v>53813</v>
      </c>
      <c r="B634" s="12">
        <f t="shared" si="24"/>
        <v>1270.6949999999999</v>
      </c>
      <c r="C634" s="10"/>
      <c r="E634" s="11">
        <v>53813</v>
      </c>
      <c r="F634" s="9">
        <f t="shared" si="25"/>
        <v>1270.6949999999999</v>
      </c>
      <c r="H634" s="11">
        <v>53813</v>
      </c>
      <c r="I634" s="9">
        <f t="shared" si="26"/>
        <v>1270.6949999999999</v>
      </c>
    </row>
    <row r="635" spans="1:9">
      <c r="A635" s="11">
        <v>53844</v>
      </c>
      <c r="B635" s="12">
        <f t="shared" si="24"/>
        <v>1270.6949999999999</v>
      </c>
      <c r="C635" s="10"/>
      <c r="E635" s="11">
        <v>53844</v>
      </c>
      <c r="F635" s="9">
        <f t="shared" si="25"/>
        <v>1270.6949999999999</v>
      </c>
      <c r="H635" s="11">
        <v>53844</v>
      </c>
      <c r="I635" s="9">
        <f t="shared" si="26"/>
        <v>1270.6949999999999</v>
      </c>
    </row>
    <row r="636" spans="1:9">
      <c r="A636" s="11">
        <v>53874</v>
      </c>
      <c r="B636" s="12">
        <f t="shared" si="24"/>
        <v>1270.6949999999999</v>
      </c>
      <c r="C636" s="10"/>
      <c r="E636" s="11">
        <v>53874</v>
      </c>
      <c r="F636" s="9">
        <f t="shared" si="25"/>
        <v>1270.6949999999999</v>
      </c>
      <c r="H636" s="11">
        <v>53874</v>
      </c>
      <c r="I636" s="9">
        <f t="shared" si="26"/>
        <v>1270.6949999999999</v>
      </c>
    </row>
    <row r="637" spans="1:9">
      <c r="A637" s="11">
        <v>53905</v>
      </c>
      <c r="B637" s="12">
        <f t="shared" si="24"/>
        <v>1270.6949999999999</v>
      </c>
      <c r="C637" s="10"/>
      <c r="E637" s="11">
        <v>53905</v>
      </c>
      <c r="F637" s="9">
        <f t="shared" si="25"/>
        <v>1270.6949999999999</v>
      </c>
      <c r="H637" s="11">
        <v>53905</v>
      </c>
      <c r="I637" s="9">
        <f t="shared" si="26"/>
        <v>1270.6949999999999</v>
      </c>
    </row>
    <row r="638" spans="1:9">
      <c r="A638" s="11">
        <v>53936</v>
      </c>
      <c r="B638" s="12">
        <f t="shared" si="24"/>
        <v>1270.6949999999999</v>
      </c>
      <c r="C638" s="10"/>
      <c r="E638" s="11">
        <v>53936</v>
      </c>
      <c r="F638" s="9">
        <f t="shared" si="25"/>
        <v>1270.6949999999999</v>
      </c>
      <c r="H638" s="11">
        <v>53936</v>
      </c>
      <c r="I638" s="9">
        <f t="shared" si="26"/>
        <v>1270.6949999999999</v>
      </c>
    </row>
    <row r="639" spans="1:9">
      <c r="A639" s="11">
        <v>53966</v>
      </c>
      <c r="B639" s="12">
        <f t="shared" si="24"/>
        <v>1270.6949999999999</v>
      </c>
      <c r="C639" s="10"/>
      <c r="E639" s="11">
        <v>53966</v>
      </c>
      <c r="F639" s="9">
        <f t="shared" si="25"/>
        <v>1270.6949999999999</v>
      </c>
      <c r="H639" s="11">
        <v>53966</v>
      </c>
      <c r="I639" s="9">
        <f t="shared" si="26"/>
        <v>1270.6949999999999</v>
      </c>
    </row>
    <row r="640" spans="1:9">
      <c r="A640" s="11">
        <v>53997</v>
      </c>
      <c r="B640" s="12">
        <f t="shared" si="24"/>
        <v>1270.6949999999999</v>
      </c>
      <c r="C640" s="10"/>
      <c r="E640" s="11">
        <v>53997</v>
      </c>
      <c r="F640" s="9">
        <f t="shared" si="25"/>
        <v>1270.6949999999999</v>
      </c>
      <c r="H640" s="11">
        <v>53997</v>
      </c>
      <c r="I640" s="9">
        <f t="shared" si="26"/>
        <v>1270.6949999999999</v>
      </c>
    </row>
    <row r="641" spans="1:9">
      <c r="A641" s="11">
        <v>54027</v>
      </c>
      <c r="B641" s="12">
        <f t="shared" si="24"/>
        <v>1270.6949999999999</v>
      </c>
      <c r="C641" s="10"/>
      <c r="E641" s="11">
        <v>54027</v>
      </c>
      <c r="F641" s="9">
        <f t="shared" si="25"/>
        <v>1270.6949999999999</v>
      </c>
      <c r="H641" s="11">
        <v>54027</v>
      </c>
      <c r="I641" s="9">
        <f t="shared" si="26"/>
        <v>1270.6949999999999</v>
      </c>
    </row>
    <row r="642" spans="1:9">
      <c r="A642" s="11">
        <v>54058</v>
      </c>
      <c r="B642" s="12">
        <f t="shared" si="24"/>
        <v>1270.6949999999999</v>
      </c>
      <c r="C642" s="10"/>
      <c r="E642" s="11">
        <v>54058</v>
      </c>
      <c r="F642" s="9">
        <f t="shared" si="25"/>
        <v>1270.6949999999999</v>
      </c>
      <c r="H642" s="11">
        <v>54058</v>
      </c>
      <c r="I642" s="9">
        <f t="shared" si="26"/>
        <v>1270.6949999999999</v>
      </c>
    </row>
    <row r="643" spans="1:9">
      <c r="A643" s="11">
        <v>54089</v>
      </c>
      <c r="B643" s="12">
        <f t="shared" si="24"/>
        <v>1270.6949999999999</v>
      </c>
      <c r="C643" s="10"/>
      <c r="E643" s="11">
        <v>54089</v>
      </c>
      <c r="F643" s="9">
        <f t="shared" si="25"/>
        <v>1270.6949999999999</v>
      </c>
      <c r="H643" s="11">
        <v>54089</v>
      </c>
      <c r="I643" s="9">
        <f t="shared" si="26"/>
        <v>1270.6949999999999</v>
      </c>
    </row>
    <row r="644" spans="1:9">
      <c r="A644" s="11">
        <v>54118</v>
      </c>
      <c r="B644" s="12">
        <f t="shared" si="24"/>
        <v>1270.6949999999999</v>
      </c>
      <c r="C644" s="10"/>
      <c r="E644" s="11">
        <v>54118</v>
      </c>
      <c r="F644" s="9">
        <f t="shared" si="25"/>
        <v>1270.6949999999999</v>
      </c>
      <c r="H644" s="11">
        <v>54118</v>
      </c>
      <c r="I644" s="9">
        <f t="shared" si="26"/>
        <v>1270.6949999999999</v>
      </c>
    </row>
    <row r="645" spans="1:9">
      <c r="A645" s="11">
        <v>54149</v>
      </c>
      <c r="B645" s="12">
        <f t="shared" si="24"/>
        <v>1270.6949999999999</v>
      </c>
      <c r="C645" s="10"/>
      <c r="E645" s="11">
        <v>54149</v>
      </c>
      <c r="F645" s="9">
        <f t="shared" si="25"/>
        <v>1270.6949999999999</v>
      </c>
      <c r="H645" s="11">
        <v>54149</v>
      </c>
      <c r="I645" s="9">
        <f t="shared" si="26"/>
        <v>1270.6949999999999</v>
      </c>
    </row>
    <row r="646" spans="1:9">
      <c r="A646" s="11">
        <v>54179</v>
      </c>
      <c r="B646" s="12">
        <f t="shared" si="24"/>
        <v>1270.6949999999999</v>
      </c>
      <c r="C646" s="10"/>
      <c r="E646" s="11">
        <v>54179</v>
      </c>
      <c r="F646" s="9">
        <f t="shared" si="25"/>
        <v>1270.6949999999999</v>
      </c>
      <c r="H646" s="11">
        <v>54179</v>
      </c>
      <c r="I646" s="9">
        <f t="shared" si="26"/>
        <v>1270.6949999999999</v>
      </c>
    </row>
    <row r="647" spans="1:9">
      <c r="A647" s="11">
        <v>54210</v>
      </c>
      <c r="B647" s="12">
        <f t="shared" si="24"/>
        <v>1270.6949999999999</v>
      </c>
      <c r="C647" s="10"/>
      <c r="E647" s="11">
        <v>54210</v>
      </c>
      <c r="F647" s="9">
        <f t="shared" si="25"/>
        <v>1270.6949999999999</v>
      </c>
      <c r="H647" s="11">
        <v>54210</v>
      </c>
      <c r="I647" s="9">
        <f t="shared" si="26"/>
        <v>1270.6949999999999</v>
      </c>
    </row>
    <row r="648" spans="1:9">
      <c r="A648" s="11">
        <v>54240</v>
      </c>
      <c r="B648" s="12">
        <f t="shared" si="24"/>
        <v>1270.6949999999999</v>
      </c>
      <c r="C648" s="10"/>
      <c r="E648" s="11">
        <v>54240</v>
      </c>
      <c r="F648" s="9">
        <f t="shared" si="25"/>
        <v>1270.6949999999999</v>
      </c>
      <c r="H648" s="11">
        <v>54240</v>
      </c>
      <c r="I648" s="9">
        <f t="shared" si="26"/>
        <v>1270.6949999999999</v>
      </c>
    </row>
    <row r="649" spans="1:9">
      <c r="A649" s="11">
        <v>54271</v>
      </c>
      <c r="B649" s="12">
        <f t="shared" si="24"/>
        <v>1270.6949999999999</v>
      </c>
      <c r="C649" s="10"/>
      <c r="E649" s="11">
        <v>54271</v>
      </c>
      <c r="F649" s="9">
        <f t="shared" si="25"/>
        <v>1270.6949999999999</v>
      </c>
      <c r="H649" s="11">
        <v>54271</v>
      </c>
      <c r="I649" s="9">
        <f t="shared" si="26"/>
        <v>1270.6949999999999</v>
      </c>
    </row>
    <row r="650" spans="1:9">
      <c r="A650" s="11">
        <v>54302</v>
      </c>
      <c r="B650" s="12">
        <f t="shared" si="24"/>
        <v>1270.6949999999999</v>
      </c>
      <c r="C650" s="10"/>
      <c r="E650" s="11">
        <v>54302</v>
      </c>
      <c r="F650" s="9">
        <f t="shared" si="25"/>
        <v>1270.6949999999999</v>
      </c>
      <c r="H650" s="11">
        <v>54302</v>
      </c>
      <c r="I650" s="9">
        <f t="shared" si="26"/>
        <v>1270.6949999999999</v>
      </c>
    </row>
    <row r="651" spans="1:9">
      <c r="A651" s="11">
        <v>54332</v>
      </c>
      <c r="B651" s="12">
        <f t="shared" si="24"/>
        <v>1270.6949999999999</v>
      </c>
      <c r="C651" s="10"/>
      <c r="E651" s="11">
        <v>54332</v>
      </c>
      <c r="F651" s="9">
        <f t="shared" si="25"/>
        <v>1270.6949999999999</v>
      </c>
      <c r="H651" s="11">
        <v>54332</v>
      </c>
      <c r="I651" s="9">
        <f t="shared" si="26"/>
        <v>1270.6949999999999</v>
      </c>
    </row>
    <row r="652" spans="1:9">
      <c r="A652" s="11">
        <v>54363</v>
      </c>
      <c r="B652" s="12">
        <f t="shared" si="24"/>
        <v>1270.6949999999999</v>
      </c>
      <c r="C652" s="10"/>
      <c r="E652" s="11">
        <v>54363</v>
      </c>
      <c r="F652" s="9">
        <f t="shared" si="25"/>
        <v>1270.6949999999999</v>
      </c>
      <c r="H652" s="11">
        <v>54363</v>
      </c>
      <c r="I652" s="9">
        <f t="shared" si="26"/>
        <v>1270.6949999999999</v>
      </c>
    </row>
    <row r="653" spans="1:9">
      <c r="A653" s="11">
        <v>54393</v>
      </c>
      <c r="B653" s="12">
        <f t="shared" si="24"/>
        <v>1270.6949999999999</v>
      </c>
      <c r="C653" s="10"/>
      <c r="E653" s="11">
        <v>54393</v>
      </c>
      <c r="F653" s="9">
        <f t="shared" si="25"/>
        <v>1270.6949999999999</v>
      </c>
      <c r="H653" s="11">
        <v>54393</v>
      </c>
      <c r="I653" s="9">
        <f t="shared" si="26"/>
        <v>1270.6949999999999</v>
      </c>
    </row>
    <row r="654" spans="1:9">
      <c r="A654" s="11">
        <v>54424</v>
      </c>
      <c r="B654" s="12">
        <f t="shared" si="24"/>
        <v>1270.6949999999999</v>
      </c>
      <c r="C654" s="10"/>
      <c r="E654" s="11">
        <v>54424</v>
      </c>
      <c r="F654" s="9">
        <f t="shared" si="25"/>
        <v>1270.6949999999999</v>
      </c>
      <c r="H654" s="11">
        <v>54424</v>
      </c>
      <c r="I654" s="9">
        <f t="shared" si="26"/>
        <v>1270.6949999999999</v>
      </c>
    </row>
    <row r="655" spans="1:9">
      <c r="A655" s="11">
        <v>54455</v>
      </c>
      <c r="B655" s="12">
        <f t="shared" si="24"/>
        <v>1270.6949999999999</v>
      </c>
      <c r="C655" s="10"/>
      <c r="E655" s="11">
        <v>54455</v>
      </c>
      <c r="F655" s="9">
        <f t="shared" si="25"/>
        <v>1270.6949999999999</v>
      </c>
      <c r="H655" s="11">
        <v>54455</v>
      </c>
      <c r="I655" s="9">
        <f t="shared" si="26"/>
        <v>1270.6949999999999</v>
      </c>
    </row>
    <row r="656" spans="1:9">
      <c r="A656" s="11">
        <v>54483</v>
      </c>
      <c r="B656" s="12">
        <f t="shared" si="24"/>
        <v>1270.6949999999999</v>
      </c>
      <c r="C656" s="10"/>
      <c r="E656" s="11">
        <v>54483</v>
      </c>
      <c r="F656" s="9">
        <f t="shared" si="25"/>
        <v>1270.6949999999999</v>
      </c>
      <c r="H656" s="11">
        <v>54483</v>
      </c>
      <c r="I656" s="9">
        <f t="shared" si="26"/>
        <v>1270.6949999999999</v>
      </c>
    </row>
    <row r="657" spans="1:9">
      <c r="A657" s="11">
        <v>54514</v>
      </c>
      <c r="B657" s="12">
        <f t="shared" si="24"/>
        <v>1270.6949999999999</v>
      </c>
      <c r="C657" s="10"/>
      <c r="E657" s="11">
        <v>54514</v>
      </c>
      <c r="F657" s="9">
        <f t="shared" si="25"/>
        <v>1270.6949999999999</v>
      </c>
      <c r="H657" s="11">
        <v>54514</v>
      </c>
      <c r="I657" s="9">
        <f t="shared" si="26"/>
        <v>1270.6949999999999</v>
      </c>
    </row>
    <row r="658" spans="1:9">
      <c r="A658" s="11">
        <v>54544</v>
      </c>
      <c r="B658" s="12">
        <f t="shared" si="24"/>
        <v>1270.6949999999999</v>
      </c>
      <c r="C658" s="10"/>
      <c r="E658" s="11">
        <v>54544</v>
      </c>
      <c r="F658" s="9">
        <f t="shared" si="25"/>
        <v>1270.6949999999999</v>
      </c>
      <c r="H658" s="11">
        <v>54544</v>
      </c>
      <c r="I658" s="9">
        <f t="shared" si="26"/>
        <v>1270.6949999999999</v>
      </c>
    </row>
    <row r="659" spans="1:9">
      <c r="A659" s="11">
        <v>54575</v>
      </c>
      <c r="B659" s="12">
        <f t="shared" si="24"/>
        <v>1270.6949999999999</v>
      </c>
      <c r="C659" s="10"/>
      <c r="E659" s="11">
        <v>54575</v>
      </c>
      <c r="F659" s="9">
        <f t="shared" si="25"/>
        <v>1270.6949999999999</v>
      </c>
      <c r="H659" s="11">
        <v>54575</v>
      </c>
      <c r="I659" s="9">
        <f t="shared" si="26"/>
        <v>1270.6949999999999</v>
      </c>
    </row>
    <row r="660" spans="1:9">
      <c r="A660" s="11">
        <v>54605</v>
      </c>
      <c r="B660" s="12">
        <f t="shared" si="24"/>
        <v>1270.6949999999999</v>
      </c>
      <c r="C660" s="10"/>
      <c r="E660" s="11">
        <v>54605</v>
      </c>
      <c r="F660" s="9">
        <f t="shared" si="25"/>
        <v>1270.6949999999999</v>
      </c>
      <c r="H660" s="11">
        <v>54605</v>
      </c>
      <c r="I660" s="9">
        <f t="shared" si="26"/>
        <v>1270.6949999999999</v>
      </c>
    </row>
    <row r="661" spans="1:9">
      <c r="A661" s="11">
        <v>54636</v>
      </c>
      <c r="B661" s="12">
        <f t="shared" si="24"/>
        <v>1270.6949999999999</v>
      </c>
      <c r="C661" s="10"/>
      <c r="E661" s="11">
        <v>54636</v>
      </c>
      <c r="F661" s="9">
        <f t="shared" si="25"/>
        <v>1270.6949999999999</v>
      </c>
      <c r="H661" s="11">
        <v>54636</v>
      </c>
      <c r="I661" s="9">
        <f t="shared" si="26"/>
        <v>1270.6949999999999</v>
      </c>
    </row>
    <row r="662" spans="1:9">
      <c r="A662" s="11">
        <v>54667</v>
      </c>
      <c r="B662" s="12">
        <f t="shared" si="24"/>
        <v>1270.6949999999999</v>
      </c>
      <c r="C662" s="10"/>
      <c r="E662" s="11">
        <v>54667</v>
      </c>
      <c r="F662" s="9">
        <f t="shared" si="25"/>
        <v>1270.6949999999999</v>
      </c>
      <c r="H662" s="11">
        <v>54667</v>
      </c>
      <c r="I662" s="9">
        <f t="shared" si="26"/>
        <v>1270.6949999999999</v>
      </c>
    </row>
    <row r="663" spans="1:9">
      <c r="A663" s="11">
        <v>54697</v>
      </c>
      <c r="B663" s="12">
        <f t="shared" si="24"/>
        <v>1270.6949999999999</v>
      </c>
      <c r="C663" s="10"/>
      <c r="E663" s="11">
        <v>54697</v>
      </c>
      <c r="F663" s="9">
        <f t="shared" si="25"/>
        <v>1270.6949999999999</v>
      </c>
      <c r="H663" s="11">
        <v>54697</v>
      </c>
      <c r="I663" s="9">
        <f t="shared" si="26"/>
        <v>1270.6949999999999</v>
      </c>
    </row>
    <row r="664" spans="1:9">
      <c r="A664" s="11">
        <v>54728</v>
      </c>
      <c r="B664" s="12">
        <f t="shared" si="24"/>
        <v>1270.6949999999999</v>
      </c>
      <c r="C664" s="10"/>
      <c r="E664" s="11">
        <v>54728</v>
      </c>
      <c r="F664" s="9">
        <f t="shared" si="25"/>
        <v>1270.6949999999999</v>
      </c>
      <c r="H664" s="11">
        <v>54728</v>
      </c>
      <c r="I664" s="9">
        <f t="shared" si="26"/>
        <v>1270.6949999999999</v>
      </c>
    </row>
    <row r="665" spans="1:9">
      <c r="A665" s="11">
        <v>54758</v>
      </c>
      <c r="B665" s="12">
        <f t="shared" si="24"/>
        <v>1270.6949999999999</v>
      </c>
      <c r="C665" s="10"/>
      <c r="E665" s="11">
        <v>54758</v>
      </c>
      <c r="F665" s="9">
        <f t="shared" si="25"/>
        <v>1270.6949999999999</v>
      </c>
      <c r="H665" s="11">
        <v>54758</v>
      </c>
      <c r="I665" s="9">
        <f t="shared" si="26"/>
        <v>1270.6949999999999</v>
      </c>
    </row>
    <row r="666" spans="1:9">
      <c r="A666" s="11">
        <v>54789</v>
      </c>
      <c r="B666" s="12">
        <f t="shared" si="24"/>
        <v>1270.6949999999999</v>
      </c>
      <c r="C666" s="10"/>
      <c r="E666" s="11">
        <v>54789</v>
      </c>
      <c r="F666" s="9">
        <f t="shared" si="25"/>
        <v>1270.6949999999999</v>
      </c>
      <c r="H666" s="11">
        <v>54789</v>
      </c>
      <c r="I666" s="9">
        <f t="shared" si="26"/>
        <v>1270.6949999999999</v>
      </c>
    </row>
    <row r="667" spans="1:9">
      <c r="A667" s="11">
        <v>54820</v>
      </c>
      <c r="B667" s="12">
        <f t="shared" si="24"/>
        <v>1270.6949999999999</v>
      </c>
      <c r="C667" s="10"/>
      <c r="E667" s="11">
        <v>54820</v>
      </c>
      <c r="F667" s="9">
        <f t="shared" si="25"/>
        <v>1270.6949999999999</v>
      </c>
      <c r="H667" s="11">
        <v>54820</v>
      </c>
      <c r="I667" s="9">
        <f t="shared" si="26"/>
        <v>1270.6949999999999</v>
      </c>
    </row>
    <row r="668" spans="1:9">
      <c r="A668" s="11">
        <v>54848</v>
      </c>
      <c r="B668" s="12">
        <f t="shared" si="24"/>
        <v>1270.6949999999999</v>
      </c>
      <c r="C668" s="10"/>
      <c r="E668" s="11">
        <v>54848</v>
      </c>
      <c r="F668" s="9">
        <f t="shared" si="25"/>
        <v>1270.6949999999999</v>
      </c>
      <c r="H668" s="11">
        <v>54848</v>
      </c>
      <c r="I668" s="9">
        <f t="shared" si="26"/>
        <v>1270.6949999999999</v>
      </c>
    </row>
    <row r="669" spans="1:9">
      <c r="A669" s="11">
        <v>54879</v>
      </c>
      <c r="B669" s="12">
        <f t="shared" si="24"/>
        <v>1270.6949999999999</v>
      </c>
      <c r="C669" s="10"/>
      <c r="E669" s="11">
        <v>54879</v>
      </c>
      <c r="F669" s="9">
        <f t="shared" si="25"/>
        <v>1270.6949999999999</v>
      </c>
      <c r="H669" s="11">
        <v>54879</v>
      </c>
      <c r="I669" s="9">
        <f t="shared" si="26"/>
        <v>1270.6949999999999</v>
      </c>
    </row>
    <row r="670" spans="1:9">
      <c r="A670" s="11">
        <v>54909</v>
      </c>
      <c r="B670" s="12">
        <f t="shared" si="24"/>
        <v>1270.6949999999999</v>
      </c>
      <c r="C670" s="10"/>
      <c r="E670" s="11">
        <v>54909</v>
      </c>
      <c r="F670" s="9">
        <f t="shared" si="25"/>
        <v>1270.6949999999999</v>
      </c>
      <c r="H670" s="11">
        <v>54909</v>
      </c>
      <c r="I670" s="9">
        <f t="shared" si="26"/>
        <v>1270.6949999999999</v>
      </c>
    </row>
    <row r="671" spans="1:9">
      <c r="A671" s="11">
        <v>54940</v>
      </c>
      <c r="B671" s="12">
        <f t="shared" si="24"/>
        <v>1270.6949999999999</v>
      </c>
      <c r="C671" s="10"/>
      <c r="E671" s="11">
        <v>54940</v>
      </c>
      <c r="F671" s="9">
        <f t="shared" si="25"/>
        <v>1270.6949999999999</v>
      </c>
      <c r="H671" s="11">
        <v>54940</v>
      </c>
      <c r="I671" s="9">
        <f t="shared" si="26"/>
        <v>1270.6949999999999</v>
      </c>
    </row>
    <row r="672" spans="1:9">
      <c r="A672" s="11">
        <v>54970</v>
      </c>
      <c r="B672" s="12">
        <f t="shared" si="24"/>
        <v>1270.6949999999999</v>
      </c>
      <c r="C672" s="10"/>
      <c r="E672" s="11">
        <v>54970</v>
      </c>
      <c r="F672" s="9">
        <f t="shared" si="25"/>
        <v>1270.6949999999999</v>
      </c>
      <c r="H672" s="11">
        <v>54970</v>
      </c>
      <c r="I672" s="9">
        <f t="shared" si="26"/>
        <v>1270.6949999999999</v>
      </c>
    </row>
    <row r="673" spans="1:9">
      <c r="A673" s="11">
        <v>55001</v>
      </c>
      <c r="B673" s="12">
        <f t="shared" ref="B673:B736" si="27">B672</f>
        <v>1270.6949999999999</v>
      </c>
      <c r="C673" s="10"/>
      <c r="E673" s="11">
        <v>55001</v>
      </c>
      <c r="F673" s="9">
        <f t="shared" si="25"/>
        <v>1270.6949999999999</v>
      </c>
      <c r="H673" s="11">
        <v>55001</v>
      </c>
      <c r="I673" s="9">
        <f t="shared" si="26"/>
        <v>1270.6949999999999</v>
      </c>
    </row>
    <row r="674" spans="1:9">
      <c r="A674" s="11">
        <v>55032</v>
      </c>
      <c r="B674" s="12">
        <f t="shared" si="27"/>
        <v>1270.6949999999999</v>
      </c>
      <c r="C674" s="10"/>
      <c r="E674" s="11">
        <v>55032</v>
      </c>
      <c r="F674" s="9">
        <f t="shared" si="25"/>
        <v>1270.6949999999999</v>
      </c>
      <c r="H674" s="11">
        <v>55032</v>
      </c>
      <c r="I674" s="9">
        <f t="shared" si="26"/>
        <v>1270.6949999999999</v>
      </c>
    </row>
    <row r="675" spans="1:9">
      <c r="A675" s="11">
        <v>55062</v>
      </c>
      <c r="B675" s="12">
        <f t="shared" si="27"/>
        <v>1270.6949999999999</v>
      </c>
      <c r="C675" s="10"/>
      <c r="E675" s="11">
        <v>55062</v>
      </c>
      <c r="F675" s="9">
        <f t="shared" si="25"/>
        <v>1270.6949999999999</v>
      </c>
      <c r="H675" s="11">
        <v>55062</v>
      </c>
      <c r="I675" s="9">
        <f t="shared" si="26"/>
        <v>1270.6949999999999</v>
      </c>
    </row>
    <row r="676" spans="1:9">
      <c r="A676" s="11">
        <v>55093</v>
      </c>
      <c r="B676" s="12">
        <f t="shared" si="27"/>
        <v>1270.6949999999999</v>
      </c>
      <c r="C676" s="10"/>
      <c r="E676" s="11">
        <v>55093</v>
      </c>
      <c r="F676" s="9">
        <f t="shared" si="25"/>
        <v>1270.6949999999999</v>
      </c>
      <c r="H676" s="11">
        <v>55093</v>
      </c>
      <c r="I676" s="9">
        <f t="shared" si="26"/>
        <v>1270.6949999999999</v>
      </c>
    </row>
    <row r="677" spans="1:9">
      <c r="A677" s="11">
        <v>55123</v>
      </c>
      <c r="B677" s="12">
        <f t="shared" si="27"/>
        <v>1270.6949999999999</v>
      </c>
      <c r="C677" s="10"/>
      <c r="E677" s="11">
        <v>55123</v>
      </c>
      <c r="F677" s="9">
        <f t="shared" si="25"/>
        <v>1270.6949999999999</v>
      </c>
      <c r="H677" s="11">
        <v>55123</v>
      </c>
      <c r="I677" s="9">
        <f t="shared" si="26"/>
        <v>1270.6949999999999</v>
      </c>
    </row>
    <row r="678" spans="1:9">
      <c r="A678" s="11">
        <v>55154</v>
      </c>
      <c r="B678" s="12">
        <f t="shared" si="27"/>
        <v>1270.6949999999999</v>
      </c>
      <c r="C678" s="10"/>
      <c r="E678" s="11">
        <v>55154</v>
      </c>
      <c r="F678" s="9">
        <f t="shared" si="25"/>
        <v>1270.6949999999999</v>
      </c>
      <c r="H678" s="11">
        <v>55154</v>
      </c>
      <c r="I678" s="9">
        <f t="shared" si="26"/>
        <v>1270.6949999999999</v>
      </c>
    </row>
    <row r="679" spans="1:9">
      <c r="A679" s="11">
        <v>55185</v>
      </c>
      <c r="B679" s="12">
        <f t="shared" si="27"/>
        <v>1270.6949999999999</v>
      </c>
      <c r="C679" s="10"/>
      <c r="E679" s="11">
        <v>55185</v>
      </c>
      <c r="F679" s="9">
        <f t="shared" si="25"/>
        <v>1270.6949999999999</v>
      </c>
      <c r="H679" s="11">
        <v>55185</v>
      </c>
      <c r="I679" s="9">
        <f t="shared" si="26"/>
        <v>1270.6949999999999</v>
      </c>
    </row>
    <row r="680" spans="1:9">
      <c r="A680" s="11">
        <v>55213</v>
      </c>
      <c r="B680" s="12">
        <f t="shared" si="27"/>
        <v>1270.6949999999999</v>
      </c>
      <c r="C680" s="10"/>
      <c r="E680" s="11">
        <v>55213</v>
      </c>
      <c r="F680" s="9">
        <f t="shared" si="25"/>
        <v>1270.6949999999999</v>
      </c>
      <c r="H680" s="11">
        <v>55213</v>
      </c>
      <c r="I680" s="9">
        <f t="shared" si="26"/>
        <v>1270.6949999999999</v>
      </c>
    </row>
    <row r="681" spans="1:9">
      <c r="A681" s="11">
        <v>55244</v>
      </c>
      <c r="B681" s="12">
        <f t="shared" si="27"/>
        <v>1270.6949999999999</v>
      </c>
      <c r="C681" s="10"/>
      <c r="E681" s="11">
        <v>55244</v>
      </c>
      <c r="F681" s="9">
        <f t="shared" si="25"/>
        <v>1270.6949999999999</v>
      </c>
      <c r="H681" s="11">
        <v>55244</v>
      </c>
      <c r="I681" s="9">
        <f t="shared" si="26"/>
        <v>1270.6949999999999</v>
      </c>
    </row>
    <row r="682" spans="1:9">
      <c r="A682" s="11">
        <v>55274</v>
      </c>
      <c r="B682" s="12">
        <f t="shared" si="27"/>
        <v>1270.6949999999999</v>
      </c>
      <c r="C682" s="10"/>
      <c r="E682" s="11">
        <v>55274</v>
      </c>
      <c r="F682" s="9">
        <f t="shared" si="25"/>
        <v>1270.6949999999999</v>
      </c>
      <c r="H682" s="11">
        <v>55274</v>
      </c>
      <c r="I682" s="9">
        <f t="shared" si="26"/>
        <v>1270.6949999999999</v>
      </c>
    </row>
    <row r="683" spans="1:9">
      <c r="A683" s="11">
        <v>55305</v>
      </c>
      <c r="B683" s="12">
        <f t="shared" si="27"/>
        <v>1270.6949999999999</v>
      </c>
      <c r="C683" s="10"/>
      <c r="E683" s="11">
        <v>55305</v>
      </c>
      <c r="F683" s="9">
        <f t="shared" ref="F683:F746" si="28">B682</f>
        <v>1270.6949999999999</v>
      </c>
      <c r="H683" s="11">
        <v>55305</v>
      </c>
      <c r="I683" s="9">
        <f t="shared" ref="I683:I746" si="29">B681</f>
        <v>1270.6949999999999</v>
      </c>
    </row>
    <row r="684" spans="1:9">
      <c r="A684" s="11">
        <v>55335</v>
      </c>
      <c r="B684" s="12">
        <f t="shared" si="27"/>
        <v>1270.6949999999999</v>
      </c>
      <c r="C684" s="10"/>
      <c r="E684" s="11">
        <v>55335</v>
      </c>
      <c r="F684" s="9">
        <f t="shared" si="28"/>
        <v>1270.6949999999999</v>
      </c>
      <c r="H684" s="11">
        <v>55335</v>
      </c>
      <c r="I684" s="9">
        <f t="shared" si="29"/>
        <v>1270.6949999999999</v>
      </c>
    </row>
    <row r="685" spans="1:9">
      <c r="A685" s="11">
        <v>55366</v>
      </c>
      <c r="B685" s="12">
        <f t="shared" si="27"/>
        <v>1270.6949999999999</v>
      </c>
      <c r="C685" s="10"/>
      <c r="E685" s="11">
        <v>55366</v>
      </c>
      <c r="F685" s="9">
        <f t="shared" si="28"/>
        <v>1270.6949999999999</v>
      </c>
      <c r="H685" s="11">
        <v>55366</v>
      </c>
      <c r="I685" s="9">
        <f t="shared" si="29"/>
        <v>1270.6949999999999</v>
      </c>
    </row>
    <row r="686" spans="1:9">
      <c r="A686" s="11">
        <v>55397</v>
      </c>
      <c r="B686" s="12">
        <f t="shared" si="27"/>
        <v>1270.6949999999999</v>
      </c>
      <c r="C686" s="10"/>
      <c r="E686" s="11">
        <v>55397</v>
      </c>
      <c r="F686" s="9">
        <f t="shared" si="28"/>
        <v>1270.6949999999999</v>
      </c>
      <c r="H686" s="11">
        <v>55397</v>
      </c>
      <c r="I686" s="9">
        <f t="shared" si="29"/>
        <v>1270.6949999999999</v>
      </c>
    </row>
    <row r="687" spans="1:9">
      <c r="A687" s="11">
        <v>55427</v>
      </c>
      <c r="B687" s="12">
        <f t="shared" si="27"/>
        <v>1270.6949999999999</v>
      </c>
      <c r="C687" s="10"/>
      <c r="E687" s="11">
        <v>55427</v>
      </c>
      <c r="F687" s="9">
        <f t="shared" si="28"/>
        <v>1270.6949999999999</v>
      </c>
      <c r="H687" s="11">
        <v>55427</v>
      </c>
      <c r="I687" s="9">
        <f t="shared" si="29"/>
        <v>1270.6949999999999</v>
      </c>
    </row>
    <row r="688" spans="1:9">
      <c r="A688" s="11">
        <v>55458</v>
      </c>
      <c r="B688" s="12">
        <f t="shared" si="27"/>
        <v>1270.6949999999999</v>
      </c>
      <c r="C688" s="10"/>
      <c r="E688" s="11">
        <v>55458</v>
      </c>
      <c r="F688" s="9">
        <f t="shared" si="28"/>
        <v>1270.6949999999999</v>
      </c>
      <c r="H688" s="11">
        <v>55458</v>
      </c>
      <c r="I688" s="9">
        <f t="shared" si="29"/>
        <v>1270.6949999999999</v>
      </c>
    </row>
    <row r="689" spans="1:9">
      <c r="A689" s="11">
        <v>55488</v>
      </c>
      <c r="B689" s="12">
        <f t="shared" si="27"/>
        <v>1270.6949999999999</v>
      </c>
      <c r="C689" s="10"/>
      <c r="E689" s="11">
        <v>55488</v>
      </c>
      <c r="F689" s="9">
        <f t="shared" si="28"/>
        <v>1270.6949999999999</v>
      </c>
      <c r="H689" s="11">
        <v>55488</v>
      </c>
      <c r="I689" s="9">
        <f t="shared" si="29"/>
        <v>1270.6949999999999</v>
      </c>
    </row>
    <row r="690" spans="1:9">
      <c r="A690" s="11">
        <v>55519</v>
      </c>
      <c r="B690" s="12">
        <f t="shared" si="27"/>
        <v>1270.6949999999999</v>
      </c>
      <c r="C690" s="10"/>
      <c r="E690" s="11">
        <v>55519</v>
      </c>
      <c r="F690" s="9">
        <f t="shared" si="28"/>
        <v>1270.6949999999999</v>
      </c>
      <c r="H690" s="11">
        <v>55519</v>
      </c>
      <c r="I690" s="9">
        <f t="shared" si="29"/>
        <v>1270.6949999999999</v>
      </c>
    </row>
    <row r="691" spans="1:9">
      <c r="A691" s="11">
        <v>55550</v>
      </c>
      <c r="B691" s="12">
        <f t="shared" si="27"/>
        <v>1270.6949999999999</v>
      </c>
      <c r="C691" s="10"/>
      <c r="E691" s="11">
        <v>55550</v>
      </c>
      <c r="F691" s="9">
        <f t="shared" si="28"/>
        <v>1270.6949999999999</v>
      </c>
      <c r="H691" s="11">
        <v>55550</v>
      </c>
      <c r="I691" s="9">
        <f t="shared" si="29"/>
        <v>1270.6949999999999</v>
      </c>
    </row>
    <row r="692" spans="1:9">
      <c r="A692" s="11">
        <v>55579</v>
      </c>
      <c r="B692" s="12">
        <f t="shared" si="27"/>
        <v>1270.6949999999999</v>
      </c>
      <c r="C692" s="10"/>
      <c r="E692" s="11">
        <v>55579</v>
      </c>
      <c r="F692" s="9">
        <f t="shared" si="28"/>
        <v>1270.6949999999999</v>
      </c>
      <c r="H692" s="11">
        <v>55579</v>
      </c>
      <c r="I692" s="9">
        <f t="shared" si="29"/>
        <v>1270.6949999999999</v>
      </c>
    </row>
    <row r="693" spans="1:9">
      <c r="A693" s="11">
        <v>55610</v>
      </c>
      <c r="B693" s="12">
        <f t="shared" si="27"/>
        <v>1270.6949999999999</v>
      </c>
      <c r="C693" s="10"/>
      <c r="E693" s="11">
        <v>55610</v>
      </c>
      <c r="F693" s="9">
        <f t="shared" si="28"/>
        <v>1270.6949999999999</v>
      </c>
      <c r="H693" s="11">
        <v>55610</v>
      </c>
      <c r="I693" s="9">
        <f t="shared" si="29"/>
        <v>1270.6949999999999</v>
      </c>
    </row>
    <row r="694" spans="1:9">
      <c r="A694" s="11">
        <v>55640</v>
      </c>
      <c r="B694" s="12">
        <f t="shared" si="27"/>
        <v>1270.6949999999999</v>
      </c>
      <c r="C694" s="10"/>
      <c r="E694" s="11">
        <v>55640</v>
      </c>
      <c r="F694" s="9">
        <f t="shared" si="28"/>
        <v>1270.6949999999999</v>
      </c>
      <c r="H694" s="11">
        <v>55640</v>
      </c>
      <c r="I694" s="9">
        <f t="shared" si="29"/>
        <v>1270.6949999999999</v>
      </c>
    </row>
    <row r="695" spans="1:9">
      <c r="A695" s="11">
        <v>55671</v>
      </c>
      <c r="B695" s="12">
        <f t="shared" si="27"/>
        <v>1270.6949999999999</v>
      </c>
      <c r="C695" s="10"/>
      <c r="E695" s="11">
        <v>55671</v>
      </c>
      <c r="F695" s="9">
        <f t="shared" si="28"/>
        <v>1270.6949999999999</v>
      </c>
      <c r="H695" s="11">
        <v>55671</v>
      </c>
      <c r="I695" s="9">
        <f t="shared" si="29"/>
        <v>1270.6949999999999</v>
      </c>
    </row>
    <row r="696" spans="1:9">
      <c r="A696" s="11">
        <v>55701</v>
      </c>
      <c r="B696" s="12">
        <f t="shared" si="27"/>
        <v>1270.6949999999999</v>
      </c>
      <c r="C696" s="10"/>
      <c r="E696" s="11">
        <v>55701</v>
      </c>
      <c r="F696" s="9">
        <f t="shared" si="28"/>
        <v>1270.6949999999999</v>
      </c>
      <c r="H696" s="11">
        <v>55701</v>
      </c>
      <c r="I696" s="9">
        <f t="shared" si="29"/>
        <v>1270.6949999999999</v>
      </c>
    </row>
    <row r="697" spans="1:9">
      <c r="A697" s="11">
        <v>55732</v>
      </c>
      <c r="B697" s="12">
        <f t="shared" si="27"/>
        <v>1270.6949999999999</v>
      </c>
      <c r="C697" s="10"/>
      <c r="E697" s="11">
        <v>55732</v>
      </c>
      <c r="F697" s="9">
        <f t="shared" si="28"/>
        <v>1270.6949999999999</v>
      </c>
      <c r="H697" s="11">
        <v>55732</v>
      </c>
      <c r="I697" s="9">
        <f t="shared" si="29"/>
        <v>1270.6949999999999</v>
      </c>
    </row>
    <row r="698" spans="1:9">
      <c r="A698" s="11">
        <v>55763</v>
      </c>
      <c r="B698" s="12">
        <f t="shared" si="27"/>
        <v>1270.6949999999999</v>
      </c>
      <c r="C698" s="10"/>
      <c r="E698" s="11">
        <v>55763</v>
      </c>
      <c r="F698" s="9">
        <f t="shared" si="28"/>
        <v>1270.6949999999999</v>
      </c>
      <c r="H698" s="11">
        <v>55763</v>
      </c>
      <c r="I698" s="9">
        <f t="shared" si="29"/>
        <v>1270.6949999999999</v>
      </c>
    </row>
    <row r="699" spans="1:9">
      <c r="A699" s="11">
        <v>55793</v>
      </c>
      <c r="B699" s="12">
        <f t="shared" si="27"/>
        <v>1270.6949999999999</v>
      </c>
      <c r="C699" s="10"/>
      <c r="E699" s="11">
        <v>55793</v>
      </c>
      <c r="F699" s="9">
        <f t="shared" si="28"/>
        <v>1270.6949999999999</v>
      </c>
      <c r="H699" s="11">
        <v>55793</v>
      </c>
      <c r="I699" s="9">
        <f t="shared" si="29"/>
        <v>1270.6949999999999</v>
      </c>
    </row>
    <row r="700" spans="1:9">
      <c r="A700" s="11">
        <v>55824</v>
      </c>
      <c r="B700" s="12">
        <f t="shared" si="27"/>
        <v>1270.6949999999999</v>
      </c>
      <c r="C700" s="10"/>
      <c r="E700" s="11">
        <v>55824</v>
      </c>
      <c r="F700" s="9">
        <f t="shared" si="28"/>
        <v>1270.6949999999999</v>
      </c>
      <c r="H700" s="11">
        <v>55824</v>
      </c>
      <c r="I700" s="9">
        <f t="shared" si="29"/>
        <v>1270.6949999999999</v>
      </c>
    </row>
    <row r="701" spans="1:9">
      <c r="A701" s="11">
        <v>55854</v>
      </c>
      <c r="B701" s="12">
        <f t="shared" si="27"/>
        <v>1270.6949999999999</v>
      </c>
      <c r="C701" s="10"/>
      <c r="E701" s="11">
        <v>55854</v>
      </c>
      <c r="F701" s="9">
        <f t="shared" si="28"/>
        <v>1270.6949999999999</v>
      </c>
      <c r="H701" s="11">
        <v>55854</v>
      </c>
      <c r="I701" s="9">
        <f t="shared" si="29"/>
        <v>1270.6949999999999</v>
      </c>
    </row>
    <row r="702" spans="1:9">
      <c r="A702" s="11">
        <v>55885</v>
      </c>
      <c r="B702" s="12">
        <f t="shared" si="27"/>
        <v>1270.6949999999999</v>
      </c>
      <c r="C702" s="10"/>
      <c r="E702" s="11">
        <v>55885</v>
      </c>
      <c r="F702" s="9">
        <f t="shared" si="28"/>
        <v>1270.6949999999999</v>
      </c>
      <c r="H702" s="11">
        <v>55885</v>
      </c>
      <c r="I702" s="9">
        <f t="shared" si="29"/>
        <v>1270.6949999999999</v>
      </c>
    </row>
    <row r="703" spans="1:9">
      <c r="A703" s="11">
        <v>55916</v>
      </c>
      <c r="B703" s="12">
        <f t="shared" si="27"/>
        <v>1270.6949999999999</v>
      </c>
      <c r="C703" s="10"/>
      <c r="E703" s="11">
        <v>55916</v>
      </c>
      <c r="F703" s="9">
        <f t="shared" si="28"/>
        <v>1270.6949999999999</v>
      </c>
      <c r="H703" s="11">
        <v>55916</v>
      </c>
      <c r="I703" s="9">
        <f t="shared" si="29"/>
        <v>1270.6949999999999</v>
      </c>
    </row>
    <row r="704" spans="1:9">
      <c r="A704" s="11">
        <v>55944</v>
      </c>
      <c r="B704" s="12">
        <f t="shared" si="27"/>
        <v>1270.6949999999999</v>
      </c>
      <c r="C704" s="10"/>
      <c r="E704" s="11">
        <v>55944</v>
      </c>
      <c r="F704" s="9">
        <f t="shared" si="28"/>
        <v>1270.6949999999999</v>
      </c>
      <c r="H704" s="11">
        <v>55944</v>
      </c>
      <c r="I704" s="9">
        <f t="shared" si="29"/>
        <v>1270.6949999999999</v>
      </c>
    </row>
    <row r="705" spans="1:9">
      <c r="A705" s="11">
        <v>55975</v>
      </c>
      <c r="B705" s="12">
        <f t="shared" si="27"/>
        <v>1270.6949999999999</v>
      </c>
      <c r="C705" s="10"/>
      <c r="E705" s="11">
        <v>55975</v>
      </c>
      <c r="F705" s="9">
        <f t="shared" si="28"/>
        <v>1270.6949999999999</v>
      </c>
      <c r="H705" s="11">
        <v>55975</v>
      </c>
      <c r="I705" s="9">
        <f t="shared" si="29"/>
        <v>1270.6949999999999</v>
      </c>
    </row>
    <row r="706" spans="1:9">
      <c r="A706" s="11">
        <v>56005</v>
      </c>
      <c r="B706" s="12">
        <f t="shared" si="27"/>
        <v>1270.6949999999999</v>
      </c>
      <c r="C706" s="10"/>
      <c r="E706" s="11">
        <v>56005</v>
      </c>
      <c r="F706" s="9">
        <f t="shared" si="28"/>
        <v>1270.6949999999999</v>
      </c>
      <c r="H706" s="11">
        <v>56005</v>
      </c>
      <c r="I706" s="9">
        <f t="shared" si="29"/>
        <v>1270.6949999999999</v>
      </c>
    </row>
    <row r="707" spans="1:9">
      <c r="A707" s="11">
        <v>56036</v>
      </c>
      <c r="B707" s="12">
        <f t="shared" si="27"/>
        <v>1270.6949999999999</v>
      </c>
      <c r="C707" s="10"/>
      <c r="E707" s="11">
        <v>56036</v>
      </c>
      <c r="F707" s="9">
        <f t="shared" si="28"/>
        <v>1270.6949999999999</v>
      </c>
      <c r="H707" s="11">
        <v>56036</v>
      </c>
      <c r="I707" s="9">
        <f t="shared" si="29"/>
        <v>1270.6949999999999</v>
      </c>
    </row>
    <row r="708" spans="1:9">
      <c r="A708" s="11">
        <v>56066</v>
      </c>
      <c r="B708" s="12">
        <f t="shared" si="27"/>
        <v>1270.6949999999999</v>
      </c>
      <c r="C708" s="10"/>
      <c r="E708" s="11">
        <v>56066</v>
      </c>
      <c r="F708" s="9">
        <f t="shared" si="28"/>
        <v>1270.6949999999999</v>
      </c>
      <c r="H708" s="11">
        <v>56066</v>
      </c>
      <c r="I708" s="9">
        <f t="shared" si="29"/>
        <v>1270.6949999999999</v>
      </c>
    </row>
    <row r="709" spans="1:9">
      <c r="A709" s="11">
        <v>56097</v>
      </c>
      <c r="B709" s="12">
        <f t="shared" si="27"/>
        <v>1270.6949999999999</v>
      </c>
      <c r="C709" s="10"/>
      <c r="E709" s="11">
        <v>56097</v>
      </c>
      <c r="F709" s="9">
        <f t="shared" si="28"/>
        <v>1270.6949999999999</v>
      </c>
      <c r="H709" s="11">
        <v>56097</v>
      </c>
      <c r="I709" s="9">
        <f t="shared" si="29"/>
        <v>1270.6949999999999</v>
      </c>
    </row>
    <row r="710" spans="1:9">
      <c r="A710" s="11">
        <v>56128</v>
      </c>
      <c r="B710" s="12">
        <f t="shared" si="27"/>
        <v>1270.6949999999999</v>
      </c>
      <c r="C710" s="10"/>
      <c r="E710" s="11">
        <v>56128</v>
      </c>
      <c r="F710" s="9">
        <f t="shared" si="28"/>
        <v>1270.6949999999999</v>
      </c>
      <c r="H710" s="11">
        <v>56128</v>
      </c>
      <c r="I710" s="9">
        <f t="shared" si="29"/>
        <v>1270.6949999999999</v>
      </c>
    </row>
    <row r="711" spans="1:9">
      <c r="A711" s="11">
        <v>56158</v>
      </c>
      <c r="B711" s="12">
        <f t="shared" si="27"/>
        <v>1270.6949999999999</v>
      </c>
      <c r="C711" s="10"/>
      <c r="E711" s="11">
        <v>56158</v>
      </c>
      <c r="F711" s="9">
        <f t="shared" si="28"/>
        <v>1270.6949999999999</v>
      </c>
      <c r="H711" s="11">
        <v>56158</v>
      </c>
      <c r="I711" s="9">
        <f t="shared" si="29"/>
        <v>1270.6949999999999</v>
      </c>
    </row>
    <row r="712" spans="1:9">
      <c r="A712" s="11">
        <v>56189</v>
      </c>
      <c r="B712" s="12">
        <f t="shared" si="27"/>
        <v>1270.6949999999999</v>
      </c>
      <c r="C712" s="10"/>
      <c r="E712" s="11">
        <v>56189</v>
      </c>
      <c r="F712" s="9">
        <f t="shared" si="28"/>
        <v>1270.6949999999999</v>
      </c>
      <c r="H712" s="11">
        <v>56189</v>
      </c>
      <c r="I712" s="9">
        <f t="shared" si="29"/>
        <v>1270.6949999999999</v>
      </c>
    </row>
    <row r="713" spans="1:9">
      <c r="A713" s="11">
        <v>56219</v>
      </c>
      <c r="B713" s="12">
        <f t="shared" si="27"/>
        <v>1270.6949999999999</v>
      </c>
      <c r="C713" s="10"/>
      <c r="E713" s="11">
        <v>56219</v>
      </c>
      <c r="F713" s="9">
        <f t="shared" si="28"/>
        <v>1270.6949999999999</v>
      </c>
      <c r="H713" s="11">
        <v>56219</v>
      </c>
      <c r="I713" s="9">
        <f t="shared" si="29"/>
        <v>1270.6949999999999</v>
      </c>
    </row>
    <row r="714" spans="1:9">
      <c r="A714" s="11">
        <v>56250</v>
      </c>
      <c r="B714" s="12">
        <f t="shared" si="27"/>
        <v>1270.6949999999999</v>
      </c>
      <c r="C714" s="10"/>
      <c r="E714" s="11">
        <v>56250</v>
      </c>
      <c r="F714" s="9">
        <f t="shared" si="28"/>
        <v>1270.6949999999999</v>
      </c>
      <c r="H714" s="11">
        <v>56250</v>
      </c>
      <c r="I714" s="9">
        <f t="shared" si="29"/>
        <v>1270.6949999999999</v>
      </c>
    </row>
    <row r="715" spans="1:9">
      <c r="A715" s="11">
        <v>56281</v>
      </c>
      <c r="B715" s="12">
        <f t="shared" si="27"/>
        <v>1270.6949999999999</v>
      </c>
      <c r="C715" s="10"/>
      <c r="E715" s="11">
        <v>56281</v>
      </c>
      <c r="F715" s="9">
        <f t="shared" si="28"/>
        <v>1270.6949999999999</v>
      </c>
      <c r="H715" s="11">
        <v>56281</v>
      </c>
      <c r="I715" s="9">
        <f t="shared" si="29"/>
        <v>1270.6949999999999</v>
      </c>
    </row>
    <row r="716" spans="1:9">
      <c r="A716" s="11">
        <v>56309</v>
      </c>
      <c r="B716" s="12">
        <f t="shared" si="27"/>
        <v>1270.6949999999999</v>
      </c>
      <c r="C716" s="10"/>
      <c r="E716" s="11">
        <v>56309</v>
      </c>
      <c r="F716" s="9">
        <f t="shared" si="28"/>
        <v>1270.6949999999999</v>
      </c>
      <c r="H716" s="11">
        <v>56309</v>
      </c>
      <c r="I716" s="9">
        <f t="shared" si="29"/>
        <v>1270.6949999999999</v>
      </c>
    </row>
    <row r="717" spans="1:9">
      <c r="A717" s="11">
        <v>56340</v>
      </c>
      <c r="B717" s="12">
        <f t="shared" si="27"/>
        <v>1270.6949999999999</v>
      </c>
      <c r="C717" s="10"/>
      <c r="E717" s="11">
        <v>56340</v>
      </c>
      <c r="F717" s="9">
        <f t="shared" si="28"/>
        <v>1270.6949999999999</v>
      </c>
      <c r="H717" s="11">
        <v>56340</v>
      </c>
      <c r="I717" s="9">
        <f t="shared" si="29"/>
        <v>1270.6949999999999</v>
      </c>
    </row>
    <row r="718" spans="1:9">
      <c r="A718" s="11">
        <v>56370</v>
      </c>
      <c r="B718" s="12">
        <f t="shared" si="27"/>
        <v>1270.6949999999999</v>
      </c>
      <c r="C718" s="10"/>
      <c r="E718" s="11">
        <v>56370</v>
      </c>
      <c r="F718" s="9">
        <f t="shared" si="28"/>
        <v>1270.6949999999999</v>
      </c>
      <c r="H718" s="11">
        <v>56370</v>
      </c>
      <c r="I718" s="9">
        <f t="shared" si="29"/>
        <v>1270.6949999999999</v>
      </c>
    </row>
    <row r="719" spans="1:9">
      <c r="A719" s="11">
        <v>56401</v>
      </c>
      <c r="B719" s="12">
        <f t="shared" si="27"/>
        <v>1270.6949999999999</v>
      </c>
      <c r="C719" s="10"/>
      <c r="E719" s="11">
        <v>56401</v>
      </c>
      <c r="F719" s="9">
        <f t="shared" si="28"/>
        <v>1270.6949999999999</v>
      </c>
      <c r="H719" s="11">
        <v>56401</v>
      </c>
      <c r="I719" s="9">
        <f t="shared" si="29"/>
        <v>1270.6949999999999</v>
      </c>
    </row>
    <row r="720" spans="1:9">
      <c r="A720" s="11">
        <v>56431</v>
      </c>
      <c r="B720" s="12">
        <f t="shared" si="27"/>
        <v>1270.6949999999999</v>
      </c>
      <c r="C720" s="10"/>
      <c r="E720" s="11">
        <v>56431</v>
      </c>
      <c r="F720" s="9">
        <f t="shared" si="28"/>
        <v>1270.6949999999999</v>
      </c>
      <c r="H720" s="11">
        <v>56431</v>
      </c>
      <c r="I720" s="9">
        <f t="shared" si="29"/>
        <v>1270.6949999999999</v>
      </c>
    </row>
    <row r="721" spans="1:9">
      <c r="A721" s="11">
        <v>56462</v>
      </c>
      <c r="B721" s="12">
        <f t="shared" si="27"/>
        <v>1270.6949999999999</v>
      </c>
      <c r="C721" s="10"/>
      <c r="E721" s="11">
        <v>56462</v>
      </c>
      <c r="F721" s="9">
        <f t="shared" si="28"/>
        <v>1270.6949999999999</v>
      </c>
      <c r="H721" s="11">
        <v>56462</v>
      </c>
      <c r="I721" s="9">
        <f t="shared" si="29"/>
        <v>1270.6949999999999</v>
      </c>
    </row>
    <row r="722" spans="1:9">
      <c r="A722" s="11">
        <v>56493</v>
      </c>
      <c r="B722" s="12">
        <f t="shared" si="27"/>
        <v>1270.6949999999999</v>
      </c>
      <c r="C722" s="10"/>
      <c r="E722" s="11">
        <v>56493</v>
      </c>
      <c r="F722" s="9">
        <f t="shared" si="28"/>
        <v>1270.6949999999999</v>
      </c>
      <c r="H722" s="11">
        <v>56493</v>
      </c>
      <c r="I722" s="9">
        <f t="shared" si="29"/>
        <v>1270.6949999999999</v>
      </c>
    </row>
    <row r="723" spans="1:9">
      <c r="A723" s="11">
        <v>56523</v>
      </c>
      <c r="B723" s="12">
        <f t="shared" si="27"/>
        <v>1270.6949999999999</v>
      </c>
      <c r="C723" s="10"/>
      <c r="E723" s="11">
        <v>56523</v>
      </c>
      <c r="F723" s="9">
        <f t="shared" si="28"/>
        <v>1270.6949999999999</v>
      </c>
      <c r="H723" s="11">
        <v>56523</v>
      </c>
      <c r="I723" s="9">
        <f t="shared" si="29"/>
        <v>1270.6949999999999</v>
      </c>
    </row>
    <row r="724" spans="1:9">
      <c r="A724" s="11">
        <v>56554</v>
      </c>
      <c r="B724" s="12">
        <f t="shared" si="27"/>
        <v>1270.6949999999999</v>
      </c>
      <c r="C724" s="10"/>
      <c r="E724" s="11">
        <v>56554</v>
      </c>
      <c r="F724" s="9">
        <f t="shared" si="28"/>
        <v>1270.6949999999999</v>
      </c>
      <c r="H724" s="11">
        <v>56554</v>
      </c>
      <c r="I724" s="9">
        <f t="shared" si="29"/>
        <v>1270.6949999999999</v>
      </c>
    </row>
    <row r="725" spans="1:9">
      <c r="A725" s="11">
        <v>56584</v>
      </c>
      <c r="B725" s="12">
        <f t="shared" si="27"/>
        <v>1270.6949999999999</v>
      </c>
      <c r="C725" s="10"/>
      <c r="E725" s="11">
        <v>56584</v>
      </c>
      <c r="F725" s="9">
        <f t="shared" si="28"/>
        <v>1270.6949999999999</v>
      </c>
      <c r="H725" s="11">
        <v>56584</v>
      </c>
      <c r="I725" s="9">
        <f t="shared" si="29"/>
        <v>1270.6949999999999</v>
      </c>
    </row>
    <row r="726" spans="1:9">
      <c r="A726" s="11">
        <v>56615</v>
      </c>
      <c r="B726" s="12">
        <f t="shared" si="27"/>
        <v>1270.6949999999999</v>
      </c>
      <c r="C726" s="10"/>
      <c r="E726" s="11">
        <v>56615</v>
      </c>
      <c r="F726" s="9">
        <f t="shared" si="28"/>
        <v>1270.6949999999999</v>
      </c>
      <c r="H726" s="11">
        <v>56615</v>
      </c>
      <c r="I726" s="9">
        <f t="shared" si="29"/>
        <v>1270.6949999999999</v>
      </c>
    </row>
    <row r="727" spans="1:9">
      <c r="A727" s="11">
        <v>56646</v>
      </c>
      <c r="B727" s="12">
        <f t="shared" si="27"/>
        <v>1270.6949999999999</v>
      </c>
      <c r="C727" s="10"/>
      <c r="E727" s="11">
        <v>56646</v>
      </c>
      <c r="F727" s="9">
        <f t="shared" si="28"/>
        <v>1270.6949999999999</v>
      </c>
      <c r="H727" s="11">
        <v>56646</v>
      </c>
      <c r="I727" s="9">
        <f t="shared" si="29"/>
        <v>1270.6949999999999</v>
      </c>
    </row>
    <row r="728" spans="1:9">
      <c r="A728" s="11">
        <v>56674</v>
      </c>
      <c r="B728" s="12">
        <f t="shared" si="27"/>
        <v>1270.6949999999999</v>
      </c>
      <c r="C728" s="10"/>
      <c r="E728" s="11">
        <v>56674</v>
      </c>
      <c r="F728" s="9">
        <f t="shared" si="28"/>
        <v>1270.6949999999999</v>
      </c>
      <c r="H728" s="11">
        <v>56674</v>
      </c>
      <c r="I728" s="9">
        <f t="shared" si="29"/>
        <v>1270.6949999999999</v>
      </c>
    </row>
    <row r="729" spans="1:9">
      <c r="A729" s="11">
        <v>56705</v>
      </c>
      <c r="B729" s="12">
        <f t="shared" si="27"/>
        <v>1270.6949999999999</v>
      </c>
      <c r="C729" s="10"/>
      <c r="E729" s="11">
        <v>56705</v>
      </c>
      <c r="F729" s="9">
        <f t="shared" si="28"/>
        <v>1270.6949999999999</v>
      </c>
      <c r="H729" s="11">
        <v>56705</v>
      </c>
      <c r="I729" s="9">
        <f t="shared" si="29"/>
        <v>1270.6949999999999</v>
      </c>
    </row>
    <row r="730" spans="1:9">
      <c r="A730" s="11">
        <v>56735</v>
      </c>
      <c r="B730" s="12">
        <f t="shared" si="27"/>
        <v>1270.6949999999999</v>
      </c>
      <c r="C730" s="10"/>
      <c r="E730" s="11">
        <v>56735</v>
      </c>
      <c r="F730" s="9">
        <f t="shared" si="28"/>
        <v>1270.6949999999999</v>
      </c>
      <c r="H730" s="11">
        <v>56735</v>
      </c>
      <c r="I730" s="9">
        <f t="shared" si="29"/>
        <v>1270.6949999999999</v>
      </c>
    </row>
    <row r="731" spans="1:9">
      <c r="A731" s="11">
        <v>56766</v>
      </c>
      <c r="B731" s="12">
        <f t="shared" si="27"/>
        <v>1270.6949999999999</v>
      </c>
      <c r="C731" s="10"/>
      <c r="E731" s="11">
        <v>56766</v>
      </c>
      <c r="F731" s="9">
        <f t="shared" si="28"/>
        <v>1270.6949999999999</v>
      </c>
      <c r="H731" s="11">
        <v>56766</v>
      </c>
      <c r="I731" s="9">
        <f t="shared" si="29"/>
        <v>1270.6949999999999</v>
      </c>
    </row>
    <row r="732" spans="1:9">
      <c r="A732" s="11">
        <v>56796</v>
      </c>
      <c r="B732" s="12">
        <f t="shared" si="27"/>
        <v>1270.6949999999999</v>
      </c>
      <c r="C732" s="10"/>
      <c r="E732" s="11">
        <v>56796</v>
      </c>
      <c r="F732" s="9">
        <f t="shared" si="28"/>
        <v>1270.6949999999999</v>
      </c>
      <c r="H732" s="11">
        <v>56796</v>
      </c>
      <c r="I732" s="9">
        <f t="shared" si="29"/>
        <v>1270.6949999999999</v>
      </c>
    </row>
    <row r="733" spans="1:9">
      <c r="A733" s="11">
        <v>56827</v>
      </c>
      <c r="B733" s="12">
        <f t="shared" si="27"/>
        <v>1270.6949999999999</v>
      </c>
      <c r="C733" s="10"/>
      <c r="E733" s="11">
        <v>56827</v>
      </c>
      <c r="F733" s="9">
        <f t="shared" si="28"/>
        <v>1270.6949999999999</v>
      </c>
      <c r="H733" s="11">
        <v>56827</v>
      </c>
      <c r="I733" s="9">
        <f t="shared" si="29"/>
        <v>1270.6949999999999</v>
      </c>
    </row>
    <row r="734" spans="1:9">
      <c r="A734" s="11">
        <v>56858</v>
      </c>
      <c r="B734" s="12">
        <f t="shared" si="27"/>
        <v>1270.6949999999999</v>
      </c>
      <c r="C734" s="10"/>
      <c r="E734" s="11">
        <v>56858</v>
      </c>
      <c r="F734" s="9">
        <f t="shared" si="28"/>
        <v>1270.6949999999999</v>
      </c>
      <c r="H734" s="11">
        <v>56858</v>
      </c>
      <c r="I734" s="9">
        <f t="shared" si="29"/>
        <v>1270.6949999999999</v>
      </c>
    </row>
    <row r="735" spans="1:9">
      <c r="A735" s="11">
        <v>56888</v>
      </c>
      <c r="B735" s="12">
        <f t="shared" si="27"/>
        <v>1270.6949999999999</v>
      </c>
      <c r="C735" s="10"/>
      <c r="E735" s="11">
        <v>56888</v>
      </c>
      <c r="F735" s="9">
        <f t="shared" si="28"/>
        <v>1270.6949999999999</v>
      </c>
      <c r="H735" s="11">
        <v>56888</v>
      </c>
      <c r="I735" s="9">
        <f t="shared" si="29"/>
        <v>1270.6949999999999</v>
      </c>
    </row>
    <row r="736" spans="1:9">
      <c r="A736" s="11">
        <v>56919</v>
      </c>
      <c r="B736" s="12">
        <f t="shared" si="27"/>
        <v>1270.6949999999999</v>
      </c>
      <c r="C736" s="10"/>
      <c r="E736" s="11">
        <v>56919</v>
      </c>
      <c r="F736" s="9">
        <f t="shared" si="28"/>
        <v>1270.6949999999999</v>
      </c>
      <c r="H736" s="11">
        <v>56919</v>
      </c>
      <c r="I736" s="9">
        <f t="shared" si="29"/>
        <v>1270.6949999999999</v>
      </c>
    </row>
    <row r="737" spans="1:9">
      <c r="A737" s="11">
        <v>56949</v>
      </c>
      <c r="B737" s="12">
        <f t="shared" ref="B737:B800" si="30">B736</f>
        <v>1270.6949999999999</v>
      </c>
      <c r="C737" s="10"/>
      <c r="E737" s="11">
        <v>56949</v>
      </c>
      <c r="F737" s="9">
        <f t="shared" si="28"/>
        <v>1270.6949999999999</v>
      </c>
      <c r="H737" s="11">
        <v>56949</v>
      </c>
      <c r="I737" s="9">
        <f t="shared" si="29"/>
        <v>1270.6949999999999</v>
      </c>
    </row>
    <row r="738" spans="1:9">
      <c r="A738" s="11">
        <v>56980</v>
      </c>
      <c r="B738" s="12">
        <f t="shared" si="30"/>
        <v>1270.6949999999999</v>
      </c>
      <c r="C738" s="10"/>
      <c r="E738" s="11">
        <v>56980</v>
      </c>
      <c r="F738" s="9">
        <f t="shared" si="28"/>
        <v>1270.6949999999999</v>
      </c>
      <c r="H738" s="11">
        <v>56980</v>
      </c>
      <c r="I738" s="9">
        <f t="shared" si="29"/>
        <v>1270.6949999999999</v>
      </c>
    </row>
    <row r="739" spans="1:9">
      <c r="A739" s="11">
        <v>57011</v>
      </c>
      <c r="B739" s="12">
        <f t="shared" si="30"/>
        <v>1270.6949999999999</v>
      </c>
      <c r="C739" s="10"/>
      <c r="E739" s="11">
        <v>57011</v>
      </c>
      <c r="F739" s="9">
        <f t="shared" si="28"/>
        <v>1270.6949999999999</v>
      </c>
      <c r="H739" s="11">
        <v>57011</v>
      </c>
      <c r="I739" s="9">
        <f t="shared" si="29"/>
        <v>1270.6949999999999</v>
      </c>
    </row>
    <row r="740" spans="1:9">
      <c r="A740" s="11">
        <v>57040</v>
      </c>
      <c r="B740" s="12">
        <f t="shared" si="30"/>
        <v>1270.6949999999999</v>
      </c>
      <c r="C740" s="10"/>
      <c r="E740" s="11">
        <v>57040</v>
      </c>
      <c r="F740" s="9">
        <f t="shared" si="28"/>
        <v>1270.6949999999999</v>
      </c>
      <c r="H740" s="11">
        <v>57040</v>
      </c>
      <c r="I740" s="9">
        <f t="shared" si="29"/>
        <v>1270.6949999999999</v>
      </c>
    </row>
    <row r="741" spans="1:9">
      <c r="A741" s="11">
        <v>57071</v>
      </c>
      <c r="B741" s="12">
        <f t="shared" si="30"/>
        <v>1270.6949999999999</v>
      </c>
      <c r="C741" s="10"/>
      <c r="E741" s="11">
        <v>57071</v>
      </c>
      <c r="F741" s="9">
        <f t="shared" si="28"/>
        <v>1270.6949999999999</v>
      </c>
      <c r="H741" s="11">
        <v>57071</v>
      </c>
      <c r="I741" s="9">
        <f t="shared" si="29"/>
        <v>1270.6949999999999</v>
      </c>
    </row>
    <row r="742" spans="1:9">
      <c r="A742" s="11">
        <v>57101</v>
      </c>
      <c r="B742" s="12">
        <f t="shared" si="30"/>
        <v>1270.6949999999999</v>
      </c>
      <c r="C742" s="10"/>
      <c r="E742" s="11">
        <v>57101</v>
      </c>
      <c r="F742" s="9">
        <f t="shared" si="28"/>
        <v>1270.6949999999999</v>
      </c>
      <c r="H742" s="11">
        <v>57101</v>
      </c>
      <c r="I742" s="9">
        <f t="shared" si="29"/>
        <v>1270.6949999999999</v>
      </c>
    </row>
    <row r="743" spans="1:9">
      <c r="A743" s="11">
        <v>57132</v>
      </c>
      <c r="B743" s="12">
        <f t="shared" si="30"/>
        <v>1270.6949999999999</v>
      </c>
      <c r="C743" s="10"/>
      <c r="E743" s="11">
        <v>57132</v>
      </c>
      <c r="F743" s="9">
        <f t="shared" si="28"/>
        <v>1270.6949999999999</v>
      </c>
      <c r="H743" s="11">
        <v>57132</v>
      </c>
      <c r="I743" s="9">
        <f t="shared" si="29"/>
        <v>1270.6949999999999</v>
      </c>
    </row>
    <row r="744" spans="1:9">
      <c r="A744" s="11">
        <v>57162</v>
      </c>
      <c r="B744" s="12">
        <f t="shared" si="30"/>
        <v>1270.6949999999999</v>
      </c>
      <c r="C744" s="10"/>
      <c r="E744" s="11">
        <v>57162</v>
      </c>
      <c r="F744" s="9">
        <f t="shared" si="28"/>
        <v>1270.6949999999999</v>
      </c>
      <c r="H744" s="11">
        <v>57162</v>
      </c>
      <c r="I744" s="9">
        <f t="shared" si="29"/>
        <v>1270.6949999999999</v>
      </c>
    </row>
    <row r="745" spans="1:9">
      <c r="A745" s="11">
        <v>57193</v>
      </c>
      <c r="B745" s="12">
        <f t="shared" si="30"/>
        <v>1270.6949999999999</v>
      </c>
      <c r="C745" s="10"/>
      <c r="E745" s="11">
        <v>57193</v>
      </c>
      <c r="F745" s="9">
        <f t="shared" si="28"/>
        <v>1270.6949999999999</v>
      </c>
      <c r="H745" s="11">
        <v>57193</v>
      </c>
      <c r="I745" s="9">
        <f t="shared" si="29"/>
        <v>1270.6949999999999</v>
      </c>
    </row>
    <row r="746" spans="1:9">
      <c r="A746" s="11">
        <v>57224</v>
      </c>
      <c r="B746" s="12">
        <f t="shared" si="30"/>
        <v>1270.6949999999999</v>
      </c>
      <c r="C746" s="10"/>
      <c r="E746" s="11">
        <v>57224</v>
      </c>
      <c r="F746" s="9">
        <f t="shared" si="28"/>
        <v>1270.6949999999999</v>
      </c>
      <c r="H746" s="11">
        <v>57224</v>
      </c>
      <c r="I746" s="9">
        <f t="shared" si="29"/>
        <v>1270.6949999999999</v>
      </c>
    </row>
    <row r="747" spans="1:9">
      <c r="A747" s="11">
        <v>57254</v>
      </c>
      <c r="B747" s="12">
        <f t="shared" si="30"/>
        <v>1270.6949999999999</v>
      </c>
      <c r="C747" s="10"/>
      <c r="E747" s="11">
        <v>57254</v>
      </c>
      <c r="F747" s="9">
        <f t="shared" ref="F747:F810" si="31">B746</f>
        <v>1270.6949999999999</v>
      </c>
      <c r="H747" s="11">
        <v>57254</v>
      </c>
      <c r="I747" s="9">
        <f t="shared" ref="I747:I810" si="32">B745</f>
        <v>1270.6949999999999</v>
      </c>
    </row>
    <row r="748" spans="1:9">
      <c r="A748" s="11">
        <v>57285</v>
      </c>
      <c r="B748" s="12">
        <f t="shared" si="30"/>
        <v>1270.6949999999999</v>
      </c>
      <c r="C748" s="10"/>
      <c r="E748" s="11">
        <v>57285</v>
      </c>
      <c r="F748" s="9">
        <f t="shared" si="31"/>
        <v>1270.6949999999999</v>
      </c>
      <c r="H748" s="11">
        <v>57285</v>
      </c>
      <c r="I748" s="9">
        <f t="shared" si="32"/>
        <v>1270.6949999999999</v>
      </c>
    </row>
    <row r="749" spans="1:9">
      <c r="A749" s="11">
        <v>57315</v>
      </c>
      <c r="B749" s="12">
        <f t="shared" si="30"/>
        <v>1270.6949999999999</v>
      </c>
      <c r="C749" s="10"/>
      <c r="E749" s="11">
        <v>57315</v>
      </c>
      <c r="F749" s="9">
        <f t="shared" si="31"/>
        <v>1270.6949999999999</v>
      </c>
      <c r="H749" s="11">
        <v>57315</v>
      </c>
      <c r="I749" s="9">
        <f t="shared" si="32"/>
        <v>1270.6949999999999</v>
      </c>
    </row>
    <row r="750" spans="1:9">
      <c r="A750" s="11">
        <v>57346</v>
      </c>
      <c r="B750" s="12">
        <f t="shared" si="30"/>
        <v>1270.6949999999999</v>
      </c>
      <c r="C750" s="10"/>
      <c r="E750" s="11">
        <v>57346</v>
      </c>
      <c r="F750" s="9">
        <f t="shared" si="31"/>
        <v>1270.6949999999999</v>
      </c>
      <c r="H750" s="11">
        <v>57346</v>
      </c>
      <c r="I750" s="9">
        <f t="shared" si="32"/>
        <v>1270.6949999999999</v>
      </c>
    </row>
    <row r="751" spans="1:9">
      <c r="A751" s="11">
        <v>57377</v>
      </c>
      <c r="B751" s="12">
        <f t="shared" si="30"/>
        <v>1270.6949999999999</v>
      </c>
      <c r="C751" s="10"/>
      <c r="E751" s="11">
        <v>57377</v>
      </c>
      <c r="F751" s="9">
        <f t="shared" si="31"/>
        <v>1270.6949999999999</v>
      </c>
      <c r="H751" s="11">
        <v>57377</v>
      </c>
      <c r="I751" s="9">
        <f t="shared" si="32"/>
        <v>1270.6949999999999</v>
      </c>
    </row>
    <row r="752" spans="1:9">
      <c r="A752" s="11">
        <v>57405</v>
      </c>
      <c r="B752" s="12">
        <f t="shared" si="30"/>
        <v>1270.6949999999999</v>
      </c>
      <c r="C752" s="10"/>
      <c r="E752" s="11">
        <v>57405</v>
      </c>
      <c r="F752" s="9">
        <f t="shared" si="31"/>
        <v>1270.6949999999999</v>
      </c>
      <c r="H752" s="11">
        <v>57405</v>
      </c>
      <c r="I752" s="9">
        <f t="shared" si="32"/>
        <v>1270.6949999999999</v>
      </c>
    </row>
    <row r="753" spans="1:9">
      <c r="A753" s="11">
        <v>57436</v>
      </c>
      <c r="B753" s="12">
        <f t="shared" si="30"/>
        <v>1270.6949999999999</v>
      </c>
      <c r="C753" s="10"/>
      <c r="E753" s="11">
        <v>57436</v>
      </c>
      <c r="F753" s="9">
        <f t="shared" si="31"/>
        <v>1270.6949999999999</v>
      </c>
      <c r="H753" s="11">
        <v>57436</v>
      </c>
      <c r="I753" s="9">
        <f t="shared" si="32"/>
        <v>1270.6949999999999</v>
      </c>
    </row>
    <row r="754" spans="1:9">
      <c r="A754" s="11">
        <v>57466</v>
      </c>
      <c r="B754" s="12">
        <f t="shared" si="30"/>
        <v>1270.6949999999999</v>
      </c>
      <c r="C754" s="10"/>
      <c r="E754" s="11">
        <v>57466</v>
      </c>
      <c r="F754" s="9">
        <f t="shared" si="31"/>
        <v>1270.6949999999999</v>
      </c>
      <c r="H754" s="11">
        <v>57466</v>
      </c>
      <c r="I754" s="9">
        <f t="shared" si="32"/>
        <v>1270.6949999999999</v>
      </c>
    </row>
    <row r="755" spans="1:9">
      <c r="A755" s="11">
        <v>57497</v>
      </c>
      <c r="B755" s="12">
        <f t="shared" si="30"/>
        <v>1270.6949999999999</v>
      </c>
      <c r="C755" s="10"/>
      <c r="E755" s="11">
        <v>57497</v>
      </c>
      <c r="F755" s="9">
        <f t="shared" si="31"/>
        <v>1270.6949999999999</v>
      </c>
      <c r="H755" s="11">
        <v>57497</v>
      </c>
      <c r="I755" s="9">
        <f t="shared" si="32"/>
        <v>1270.6949999999999</v>
      </c>
    </row>
    <row r="756" spans="1:9">
      <c r="A756" s="11">
        <v>57527</v>
      </c>
      <c r="B756" s="12">
        <f t="shared" si="30"/>
        <v>1270.6949999999999</v>
      </c>
      <c r="C756" s="10"/>
      <c r="E756" s="11">
        <v>57527</v>
      </c>
      <c r="F756" s="9">
        <f t="shared" si="31"/>
        <v>1270.6949999999999</v>
      </c>
      <c r="H756" s="11">
        <v>57527</v>
      </c>
      <c r="I756" s="9">
        <f t="shared" si="32"/>
        <v>1270.6949999999999</v>
      </c>
    </row>
    <row r="757" spans="1:9">
      <c r="A757" s="11">
        <v>57558</v>
      </c>
      <c r="B757" s="12">
        <f t="shared" si="30"/>
        <v>1270.6949999999999</v>
      </c>
      <c r="C757" s="10"/>
      <c r="E757" s="11">
        <v>57558</v>
      </c>
      <c r="F757" s="9">
        <f t="shared" si="31"/>
        <v>1270.6949999999999</v>
      </c>
      <c r="H757" s="11">
        <v>57558</v>
      </c>
      <c r="I757" s="9">
        <f t="shared" si="32"/>
        <v>1270.6949999999999</v>
      </c>
    </row>
    <row r="758" spans="1:9">
      <c r="A758" s="11">
        <v>57589</v>
      </c>
      <c r="B758" s="12">
        <f t="shared" si="30"/>
        <v>1270.6949999999999</v>
      </c>
      <c r="C758" s="10"/>
      <c r="E758" s="11">
        <v>57589</v>
      </c>
      <c r="F758" s="9">
        <f t="shared" si="31"/>
        <v>1270.6949999999999</v>
      </c>
      <c r="H758" s="11">
        <v>57589</v>
      </c>
      <c r="I758" s="9">
        <f t="shared" si="32"/>
        <v>1270.6949999999999</v>
      </c>
    </row>
    <row r="759" spans="1:9">
      <c r="A759" s="11">
        <v>57619</v>
      </c>
      <c r="B759" s="12">
        <f t="shared" si="30"/>
        <v>1270.6949999999999</v>
      </c>
      <c r="C759" s="10"/>
      <c r="E759" s="11">
        <v>57619</v>
      </c>
      <c r="F759" s="9">
        <f t="shared" si="31"/>
        <v>1270.6949999999999</v>
      </c>
      <c r="H759" s="11">
        <v>57619</v>
      </c>
      <c r="I759" s="9">
        <f t="shared" si="32"/>
        <v>1270.6949999999999</v>
      </c>
    </row>
    <row r="760" spans="1:9">
      <c r="A760" s="11">
        <v>57650</v>
      </c>
      <c r="B760" s="12">
        <f t="shared" si="30"/>
        <v>1270.6949999999999</v>
      </c>
      <c r="C760" s="10"/>
      <c r="E760" s="11">
        <v>57650</v>
      </c>
      <c r="F760" s="9">
        <f t="shared" si="31"/>
        <v>1270.6949999999999</v>
      </c>
      <c r="H760" s="11">
        <v>57650</v>
      </c>
      <c r="I760" s="9">
        <f t="shared" si="32"/>
        <v>1270.6949999999999</v>
      </c>
    </row>
    <row r="761" spans="1:9">
      <c r="A761" s="11">
        <v>57680</v>
      </c>
      <c r="B761" s="12">
        <f t="shared" si="30"/>
        <v>1270.6949999999999</v>
      </c>
      <c r="C761" s="10"/>
      <c r="E761" s="11">
        <v>57680</v>
      </c>
      <c r="F761" s="9">
        <f t="shared" si="31"/>
        <v>1270.6949999999999</v>
      </c>
      <c r="H761" s="11">
        <v>57680</v>
      </c>
      <c r="I761" s="9">
        <f t="shared" si="32"/>
        <v>1270.6949999999999</v>
      </c>
    </row>
    <row r="762" spans="1:9">
      <c r="A762" s="11">
        <v>57711</v>
      </c>
      <c r="B762" s="12">
        <f t="shared" si="30"/>
        <v>1270.6949999999999</v>
      </c>
      <c r="C762" s="10"/>
      <c r="E762" s="11">
        <v>57711</v>
      </c>
      <c r="F762" s="9">
        <f t="shared" si="31"/>
        <v>1270.6949999999999</v>
      </c>
      <c r="H762" s="11">
        <v>57711</v>
      </c>
      <c r="I762" s="9">
        <f t="shared" si="32"/>
        <v>1270.6949999999999</v>
      </c>
    </row>
    <row r="763" spans="1:9">
      <c r="A763" s="11">
        <v>57742</v>
      </c>
      <c r="B763" s="12">
        <f t="shared" si="30"/>
        <v>1270.6949999999999</v>
      </c>
      <c r="C763" s="10"/>
      <c r="E763" s="11">
        <v>57742</v>
      </c>
      <c r="F763" s="9">
        <f t="shared" si="31"/>
        <v>1270.6949999999999</v>
      </c>
      <c r="H763" s="11">
        <v>57742</v>
      </c>
      <c r="I763" s="9">
        <f t="shared" si="32"/>
        <v>1270.6949999999999</v>
      </c>
    </row>
    <row r="764" spans="1:9">
      <c r="A764" s="11">
        <v>57770</v>
      </c>
      <c r="B764" s="12">
        <f t="shared" si="30"/>
        <v>1270.6949999999999</v>
      </c>
      <c r="C764" s="10"/>
      <c r="E764" s="11">
        <v>57770</v>
      </c>
      <c r="F764" s="9">
        <f t="shared" si="31"/>
        <v>1270.6949999999999</v>
      </c>
      <c r="H764" s="11">
        <v>57770</v>
      </c>
      <c r="I764" s="9">
        <f t="shared" si="32"/>
        <v>1270.6949999999999</v>
      </c>
    </row>
    <row r="765" spans="1:9">
      <c r="A765" s="11">
        <v>57801</v>
      </c>
      <c r="B765" s="12">
        <f t="shared" si="30"/>
        <v>1270.6949999999999</v>
      </c>
      <c r="C765" s="10"/>
      <c r="E765" s="11">
        <v>57801</v>
      </c>
      <c r="F765" s="9">
        <f t="shared" si="31"/>
        <v>1270.6949999999999</v>
      </c>
      <c r="H765" s="11">
        <v>57801</v>
      </c>
      <c r="I765" s="9">
        <f t="shared" si="32"/>
        <v>1270.6949999999999</v>
      </c>
    </row>
    <row r="766" spans="1:9">
      <c r="A766" s="11">
        <v>57831</v>
      </c>
      <c r="B766" s="12">
        <f t="shared" si="30"/>
        <v>1270.6949999999999</v>
      </c>
      <c r="C766" s="10"/>
      <c r="E766" s="11">
        <v>57831</v>
      </c>
      <c r="F766" s="9">
        <f t="shared" si="31"/>
        <v>1270.6949999999999</v>
      </c>
      <c r="H766" s="11">
        <v>57831</v>
      </c>
      <c r="I766" s="9">
        <f t="shared" si="32"/>
        <v>1270.6949999999999</v>
      </c>
    </row>
    <row r="767" spans="1:9">
      <c r="A767" s="11">
        <v>57862</v>
      </c>
      <c r="B767" s="12">
        <f t="shared" si="30"/>
        <v>1270.6949999999999</v>
      </c>
      <c r="C767" s="10"/>
      <c r="E767" s="11">
        <v>57862</v>
      </c>
      <c r="F767" s="9">
        <f t="shared" si="31"/>
        <v>1270.6949999999999</v>
      </c>
      <c r="H767" s="11">
        <v>57862</v>
      </c>
      <c r="I767" s="9">
        <f t="shared" si="32"/>
        <v>1270.6949999999999</v>
      </c>
    </row>
    <row r="768" spans="1:9">
      <c r="A768" s="11">
        <v>57892</v>
      </c>
      <c r="B768" s="12">
        <f t="shared" si="30"/>
        <v>1270.6949999999999</v>
      </c>
      <c r="C768" s="10"/>
      <c r="E768" s="11">
        <v>57892</v>
      </c>
      <c r="F768" s="9">
        <f t="shared" si="31"/>
        <v>1270.6949999999999</v>
      </c>
      <c r="H768" s="11">
        <v>57892</v>
      </c>
      <c r="I768" s="9">
        <f t="shared" si="32"/>
        <v>1270.6949999999999</v>
      </c>
    </row>
    <row r="769" spans="1:9">
      <c r="A769" s="11">
        <v>57923</v>
      </c>
      <c r="B769" s="12">
        <f t="shared" si="30"/>
        <v>1270.6949999999999</v>
      </c>
      <c r="C769" s="10"/>
      <c r="E769" s="11">
        <v>57923</v>
      </c>
      <c r="F769" s="9">
        <f t="shared" si="31"/>
        <v>1270.6949999999999</v>
      </c>
      <c r="H769" s="11">
        <v>57923</v>
      </c>
      <c r="I769" s="9">
        <f t="shared" si="32"/>
        <v>1270.6949999999999</v>
      </c>
    </row>
    <row r="770" spans="1:9">
      <c r="A770" s="11">
        <v>57954</v>
      </c>
      <c r="B770" s="12">
        <f t="shared" si="30"/>
        <v>1270.6949999999999</v>
      </c>
      <c r="C770" s="10"/>
      <c r="E770" s="11">
        <v>57954</v>
      </c>
      <c r="F770" s="9">
        <f t="shared" si="31"/>
        <v>1270.6949999999999</v>
      </c>
      <c r="H770" s="11">
        <v>57954</v>
      </c>
      <c r="I770" s="9">
        <f t="shared" si="32"/>
        <v>1270.6949999999999</v>
      </c>
    </row>
    <row r="771" spans="1:9">
      <c r="A771" s="11">
        <v>57984</v>
      </c>
      <c r="B771" s="12">
        <f t="shared" si="30"/>
        <v>1270.6949999999999</v>
      </c>
      <c r="C771" s="10"/>
      <c r="E771" s="11">
        <v>57984</v>
      </c>
      <c r="F771" s="9">
        <f t="shared" si="31"/>
        <v>1270.6949999999999</v>
      </c>
      <c r="H771" s="11">
        <v>57984</v>
      </c>
      <c r="I771" s="9">
        <f t="shared" si="32"/>
        <v>1270.6949999999999</v>
      </c>
    </row>
    <row r="772" spans="1:9">
      <c r="A772" s="11">
        <v>58015</v>
      </c>
      <c r="B772" s="12">
        <f t="shared" si="30"/>
        <v>1270.6949999999999</v>
      </c>
      <c r="C772" s="10"/>
      <c r="E772" s="11">
        <v>58015</v>
      </c>
      <c r="F772" s="9">
        <f t="shared" si="31"/>
        <v>1270.6949999999999</v>
      </c>
      <c r="H772" s="11">
        <v>58015</v>
      </c>
      <c r="I772" s="9">
        <f t="shared" si="32"/>
        <v>1270.6949999999999</v>
      </c>
    </row>
    <row r="773" spans="1:9">
      <c r="A773" s="11">
        <v>58045</v>
      </c>
      <c r="B773" s="12">
        <f t="shared" si="30"/>
        <v>1270.6949999999999</v>
      </c>
      <c r="C773" s="10"/>
      <c r="E773" s="11">
        <v>58045</v>
      </c>
      <c r="F773" s="9">
        <f t="shared" si="31"/>
        <v>1270.6949999999999</v>
      </c>
      <c r="H773" s="11">
        <v>58045</v>
      </c>
      <c r="I773" s="9">
        <f t="shared" si="32"/>
        <v>1270.6949999999999</v>
      </c>
    </row>
    <row r="774" spans="1:9">
      <c r="A774" s="11">
        <v>58076</v>
      </c>
      <c r="B774" s="12">
        <f t="shared" si="30"/>
        <v>1270.6949999999999</v>
      </c>
      <c r="C774" s="10"/>
      <c r="E774" s="11">
        <v>58076</v>
      </c>
      <c r="F774" s="9">
        <f t="shared" si="31"/>
        <v>1270.6949999999999</v>
      </c>
      <c r="H774" s="11">
        <v>58076</v>
      </c>
      <c r="I774" s="9">
        <f t="shared" si="32"/>
        <v>1270.6949999999999</v>
      </c>
    </row>
    <row r="775" spans="1:9">
      <c r="A775" s="11">
        <v>58107</v>
      </c>
      <c r="B775" s="12">
        <f t="shared" si="30"/>
        <v>1270.6949999999999</v>
      </c>
      <c r="C775" s="10"/>
      <c r="E775" s="11">
        <v>58107</v>
      </c>
      <c r="F775" s="9">
        <f t="shared" si="31"/>
        <v>1270.6949999999999</v>
      </c>
      <c r="H775" s="11">
        <v>58107</v>
      </c>
      <c r="I775" s="9">
        <f t="shared" si="32"/>
        <v>1270.6949999999999</v>
      </c>
    </row>
    <row r="776" spans="1:9">
      <c r="A776" s="11">
        <v>58135</v>
      </c>
      <c r="B776" s="12">
        <f t="shared" si="30"/>
        <v>1270.6949999999999</v>
      </c>
      <c r="C776" s="10"/>
      <c r="E776" s="11">
        <v>58135</v>
      </c>
      <c r="F776" s="9">
        <f t="shared" si="31"/>
        <v>1270.6949999999999</v>
      </c>
      <c r="H776" s="11">
        <v>58135</v>
      </c>
      <c r="I776" s="9">
        <f t="shared" si="32"/>
        <v>1270.6949999999999</v>
      </c>
    </row>
    <row r="777" spans="1:9">
      <c r="A777" s="11">
        <v>58166</v>
      </c>
      <c r="B777" s="12">
        <f t="shared" si="30"/>
        <v>1270.6949999999999</v>
      </c>
      <c r="C777" s="10"/>
      <c r="E777" s="11">
        <v>58166</v>
      </c>
      <c r="F777" s="9">
        <f t="shared" si="31"/>
        <v>1270.6949999999999</v>
      </c>
      <c r="H777" s="11">
        <v>58166</v>
      </c>
      <c r="I777" s="9">
        <f t="shared" si="32"/>
        <v>1270.6949999999999</v>
      </c>
    </row>
    <row r="778" spans="1:9">
      <c r="A778" s="11">
        <v>58196</v>
      </c>
      <c r="B778" s="12">
        <f t="shared" si="30"/>
        <v>1270.6949999999999</v>
      </c>
      <c r="C778" s="10"/>
      <c r="E778" s="11">
        <v>58196</v>
      </c>
      <c r="F778" s="9">
        <f t="shared" si="31"/>
        <v>1270.6949999999999</v>
      </c>
      <c r="H778" s="11">
        <v>58196</v>
      </c>
      <c r="I778" s="9">
        <f t="shared" si="32"/>
        <v>1270.6949999999999</v>
      </c>
    </row>
    <row r="779" spans="1:9">
      <c r="A779" s="11">
        <v>58227</v>
      </c>
      <c r="B779" s="12">
        <f t="shared" si="30"/>
        <v>1270.6949999999999</v>
      </c>
      <c r="C779" s="10"/>
      <c r="E779" s="11">
        <v>58227</v>
      </c>
      <c r="F779" s="9">
        <f t="shared" si="31"/>
        <v>1270.6949999999999</v>
      </c>
      <c r="H779" s="11">
        <v>58227</v>
      </c>
      <c r="I779" s="9">
        <f t="shared" si="32"/>
        <v>1270.6949999999999</v>
      </c>
    </row>
    <row r="780" spans="1:9">
      <c r="A780" s="11">
        <v>58257</v>
      </c>
      <c r="B780" s="12">
        <f t="shared" si="30"/>
        <v>1270.6949999999999</v>
      </c>
      <c r="C780" s="10"/>
      <c r="E780" s="11">
        <v>58257</v>
      </c>
      <c r="F780" s="9">
        <f t="shared" si="31"/>
        <v>1270.6949999999999</v>
      </c>
      <c r="H780" s="11">
        <v>58257</v>
      </c>
      <c r="I780" s="9">
        <f t="shared" si="32"/>
        <v>1270.6949999999999</v>
      </c>
    </row>
    <row r="781" spans="1:9">
      <c r="A781" s="11">
        <v>58288</v>
      </c>
      <c r="B781" s="12">
        <f t="shared" si="30"/>
        <v>1270.6949999999999</v>
      </c>
      <c r="C781" s="10"/>
      <c r="E781" s="11">
        <v>58288</v>
      </c>
      <c r="F781" s="9">
        <f t="shared" si="31"/>
        <v>1270.6949999999999</v>
      </c>
      <c r="H781" s="11">
        <v>58288</v>
      </c>
      <c r="I781" s="9">
        <f t="shared" si="32"/>
        <v>1270.6949999999999</v>
      </c>
    </row>
    <row r="782" spans="1:9">
      <c r="A782" s="11">
        <v>58319</v>
      </c>
      <c r="B782" s="12">
        <f t="shared" si="30"/>
        <v>1270.6949999999999</v>
      </c>
      <c r="C782" s="10"/>
      <c r="E782" s="11">
        <v>58319</v>
      </c>
      <c r="F782" s="9">
        <f t="shared" si="31"/>
        <v>1270.6949999999999</v>
      </c>
      <c r="H782" s="11">
        <v>58319</v>
      </c>
      <c r="I782" s="9">
        <f t="shared" si="32"/>
        <v>1270.6949999999999</v>
      </c>
    </row>
    <row r="783" spans="1:9">
      <c r="A783" s="11">
        <v>58349</v>
      </c>
      <c r="B783" s="12">
        <f t="shared" si="30"/>
        <v>1270.6949999999999</v>
      </c>
      <c r="C783" s="10"/>
      <c r="E783" s="11">
        <v>58349</v>
      </c>
      <c r="F783" s="9">
        <f t="shared" si="31"/>
        <v>1270.6949999999999</v>
      </c>
      <c r="H783" s="11">
        <v>58349</v>
      </c>
      <c r="I783" s="9">
        <f t="shared" si="32"/>
        <v>1270.6949999999999</v>
      </c>
    </row>
    <row r="784" spans="1:9">
      <c r="A784" s="11">
        <v>58380</v>
      </c>
      <c r="B784" s="12">
        <f t="shared" si="30"/>
        <v>1270.6949999999999</v>
      </c>
      <c r="C784" s="10"/>
      <c r="E784" s="11">
        <v>58380</v>
      </c>
      <c r="F784" s="9">
        <f t="shared" si="31"/>
        <v>1270.6949999999999</v>
      </c>
      <c r="H784" s="11">
        <v>58380</v>
      </c>
      <c r="I784" s="9">
        <f t="shared" si="32"/>
        <v>1270.6949999999999</v>
      </c>
    </row>
    <row r="785" spans="1:9">
      <c r="A785" s="11">
        <v>58410</v>
      </c>
      <c r="B785" s="12">
        <f t="shared" si="30"/>
        <v>1270.6949999999999</v>
      </c>
      <c r="C785" s="10"/>
      <c r="E785" s="11">
        <v>58410</v>
      </c>
      <c r="F785" s="9">
        <f t="shared" si="31"/>
        <v>1270.6949999999999</v>
      </c>
      <c r="H785" s="11">
        <v>58410</v>
      </c>
      <c r="I785" s="9">
        <f t="shared" si="32"/>
        <v>1270.6949999999999</v>
      </c>
    </row>
    <row r="786" spans="1:9">
      <c r="A786" s="11">
        <v>58441</v>
      </c>
      <c r="B786" s="12">
        <f t="shared" si="30"/>
        <v>1270.6949999999999</v>
      </c>
      <c r="C786" s="10"/>
      <c r="E786" s="11">
        <v>58441</v>
      </c>
      <c r="F786" s="9">
        <f t="shared" si="31"/>
        <v>1270.6949999999999</v>
      </c>
      <c r="H786" s="11">
        <v>58441</v>
      </c>
      <c r="I786" s="9">
        <f t="shared" si="32"/>
        <v>1270.6949999999999</v>
      </c>
    </row>
    <row r="787" spans="1:9">
      <c r="A787" s="11">
        <v>58472</v>
      </c>
      <c r="B787" s="12">
        <f t="shared" si="30"/>
        <v>1270.6949999999999</v>
      </c>
      <c r="C787" s="10"/>
      <c r="E787" s="11">
        <v>58472</v>
      </c>
      <c r="F787" s="9">
        <f t="shared" si="31"/>
        <v>1270.6949999999999</v>
      </c>
      <c r="H787" s="11">
        <v>58472</v>
      </c>
      <c r="I787" s="9">
        <f t="shared" si="32"/>
        <v>1270.6949999999999</v>
      </c>
    </row>
    <row r="788" spans="1:9">
      <c r="A788" s="11">
        <v>58501</v>
      </c>
      <c r="B788" s="12">
        <f t="shared" si="30"/>
        <v>1270.6949999999999</v>
      </c>
      <c r="C788" s="10"/>
      <c r="E788" s="11">
        <v>58501</v>
      </c>
      <c r="F788" s="9">
        <f t="shared" si="31"/>
        <v>1270.6949999999999</v>
      </c>
      <c r="H788" s="11">
        <v>58501</v>
      </c>
      <c r="I788" s="9">
        <f t="shared" si="32"/>
        <v>1270.6949999999999</v>
      </c>
    </row>
    <row r="789" spans="1:9">
      <c r="A789" s="11">
        <v>58532</v>
      </c>
      <c r="B789" s="12">
        <f t="shared" si="30"/>
        <v>1270.6949999999999</v>
      </c>
      <c r="C789" s="10"/>
      <c r="E789" s="11">
        <v>58532</v>
      </c>
      <c r="F789" s="9">
        <f t="shared" si="31"/>
        <v>1270.6949999999999</v>
      </c>
      <c r="H789" s="11">
        <v>58532</v>
      </c>
      <c r="I789" s="9">
        <f t="shared" si="32"/>
        <v>1270.6949999999999</v>
      </c>
    </row>
    <row r="790" spans="1:9">
      <c r="A790" s="11">
        <v>58562</v>
      </c>
      <c r="B790" s="12">
        <f t="shared" si="30"/>
        <v>1270.6949999999999</v>
      </c>
      <c r="C790" s="10"/>
      <c r="E790" s="11">
        <v>58562</v>
      </c>
      <c r="F790" s="9">
        <f t="shared" si="31"/>
        <v>1270.6949999999999</v>
      </c>
      <c r="H790" s="11">
        <v>58562</v>
      </c>
      <c r="I790" s="9">
        <f t="shared" si="32"/>
        <v>1270.6949999999999</v>
      </c>
    </row>
    <row r="791" spans="1:9">
      <c r="A791" s="11">
        <v>58593</v>
      </c>
      <c r="B791" s="12">
        <f t="shared" si="30"/>
        <v>1270.6949999999999</v>
      </c>
      <c r="C791" s="10"/>
      <c r="E791" s="11">
        <v>58593</v>
      </c>
      <c r="F791" s="9">
        <f t="shared" si="31"/>
        <v>1270.6949999999999</v>
      </c>
      <c r="H791" s="11">
        <v>58593</v>
      </c>
      <c r="I791" s="9">
        <f t="shared" si="32"/>
        <v>1270.6949999999999</v>
      </c>
    </row>
    <row r="792" spans="1:9">
      <c r="A792" s="11">
        <v>58623</v>
      </c>
      <c r="B792" s="12">
        <f t="shared" si="30"/>
        <v>1270.6949999999999</v>
      </c>
      <c r="C792" s="10"/>
      <c r="E792" s="11">
        <v>58623</v>
      </c>
      <c r="F792" s="9">
        <f t="shared" si="31"/>
        <v>1270.6949999999999</v>
      </c>
      <c r="H792" s="11">
        <v>58623</v>
      </c>
      <c r="I792" s="9">
        <f t="shared" si="32"/>
        <v>1270.6949999999999</v>
      </c>
    </row>
    <row r="793" spans="1:9">
      <c r="A793" s="11">
        <v>58654</v>
      </c>
      <c r="B793" s="12">
        <f t="shared" si="30"/>
        <v>1270.6949999999999</v>
      </c>
      <c r="C793" s="10"/>
      <c r="E793" s="11">
        <v>58654</v>
      </c>
      <c r="F793" s="9">
        <f t="shared" si="31"/>
        <v>1270.6949999999999</v>
      </c>
      <c r="H793" s="11">
        <v>58654</v>
      </c>
      <c r="I793" s="9">
        <f t="shared" si="32"/>
        <v>1270.6949999999999</v>
      </c>
    </row>
    <row r="794" spans="1:9">
      <c r="A794" s="11">
        <v>58685</v>
      </c>
      <c r="B794" s="12">
        <f t="shared" si="30"/>
        <v>1270.6949999999999</v>
      </c>
      <c r="C794" s="10"/>
      <c r="E794" s="11">
        <v>58685</v>
      </c>
      <c r="F794" s="9">
        <f t="shared" si="31"/>
        <v>1270.6949999999999</v>
      </c>
      <c r="H794" s="11">
        <v>58685</v>
      </c>
      <c r="I794" s="9">
        <f t="shared" si="32"/>
        <v>1270.6949999999999</v>
      </c>
    </row>
    <row r="795" spans="1:9">
      <c r="A795" s="11">
        <v>58715</v>
      </c>
      <c r="B795" s="12">
        <f t="shared" si="30"/>
        <v>1270.6949999999999</v>
      </c>
      <c r="C795" s="10"/>
      <c r="E795" s="11">
        <v>58715</v>
      </c>
      <c r="F795" s="9">
        <f t="shared" si="31"/>
        <v>1270.6949999999999</v>
      </c>
      <c r="H795" s="11">
        <v>58715</v>
      </c>
      <c r="I795" s="9">
        <f t="shared" si="32"/>
        <v>1270.6949999999999</v>
      </c>
    </row>
    <row r="796" spans="1:9">
      <c r="A796" s="11">
        <v>58746</v>
      </c>
      <c r="B796" s="12">
        <f t="shared" si="30"/>
        <v>1270.6949999999999</v>
      </c>
      <c r="C796" s="10"/>
      <c r="E796" s="11">
        <v>58746</v>
      </c>
      <c r="F796" s="9">
        <f t="shared" si="31"/>
        <v>1270.6949999999999</v>
      </c>
      <c r="H796" s="11">
        <v>58746</v>
      </c>
      <c r="I796" s="9">
        <f t="shared" si="32"/>
        <v>1270.6949999999999</v>
      </c>
    </row>
    <row r="797" spans="1:9">
      <c r="A797" s="11">
        <v>58776</v>
      </c>
      <c r="B797" s="12">
        <f t="shared" si="30"/>
        <v>1270.6949999999999</v>
      </c>
      <c r="C797" s="10"/>
      <c r="E797" s="11">
        <v>58776</v>
      </c>
      <c r="F797" s="9">
        <f t="shared" si="31"/>
        <v>1270.6949999999999</v>
      </c>
      <c r="H797" s="11">
        <v>58776</v>
      </c>
      <c r="I797" s="9">
        <f t="shared" si="32"/>
        <v>1270.6949999999999</v>
      </c>
    </row>
    <row r="798" spans="1:9">
      <c r="A798" s="11">
        <v>58807</v>
      </c>
      <c r="B798" s="12">
        <f t="shared" si="30"/>
        <v>1270.6949999999999</v>
      </c>
      <c r="C798" s="10"/>
      <c r="E798" s="11">
        <v>58807</v>
      </c>
      <c r="F798" s="9">
        <f t="shared" si="31"/>
        <v>1270.6949999999999</v>
      </c>
      <c r="H798" s="11">
        <v>58807</v>
      </c>
      <c r="I798" s="9">
        <f t="shared" si="32"/>
        <v>1270.6949999999999</v>
      </c>
    </row>
    <row r="799" spans="1:9">
      <c r="A799" s="11">
        <v>58838</v>
      </c>
      <c r="B799" s="12">
        <f t="shared" si="30"/>
        <v>1270.6949999999999</v>
      </c>
      <c r="C799" s="10"/>
      <c r="E799" s="11">
        <v>58838</v>
      </c>
      <c r="F799" s="9">
        <f t="shared" si="31"/>
        <v>1270.6949999999999</v>
      </c>
      <c r="H799" s="11">
        <v>58838</v>
      </c>
      <c r="I799" s="9">
        <f t="shared" si="32"/>
        <v>1270.6949999999999</v>
      </c>
    </row>
    <row r="800" spans="1:9">
      <c r="A800" s="11">
        <v>58866</v>
      </c>
      <c r="B800" s="12">
        <f t="shared" si="30"/>
        <v>1270.6949999999999</v>
      </c>
      <c r="C800" s="10"/>
      <c r="E800" s="11">
        <v>58866</v>
      </c>
      <c r="F800" s="9">
        <f t="shared" si="31"/>
        <v>1270.6949999999999</v>
      </c>
      <c r="H800" s="11">
        <v>58866</v>
      </c>
      <c r="I800" s="9">
        <f t="shared" si="32"/>
        <v>1270.6949999999999</v>
      </c>
    </row>
    <row r="801" spans="1:9">
      <c r="A801" s="11">
        <v>58897</v>
      </c>
      <c r="B801" s="12">
        <f t="shared" ref="B801:B864" si="33">B800</f>
        <v>1270.6949999999999</v>
      </c>
      <c r="C801" s="10"/>
      <c r="E801" s="11">
        <v>58897</v>
      </c>
      <c r="F801" s="9">
        <f t="shared" si="31"/>
        <v>1270.6949999999999</v>
      </c>
      <c r="H801" s="11">
        <v>58897</v>
      </c>
      <c r="I801" s="9">
        <f t="shared" si="32"/>
        <v>1270.6949999999999</v>
      </c>
    </row>
    <row r="802" spans="1:9">
      <c r="A802" s="11">
        <v>58927</v>
      </c>
      <c r="B802" s="12">
        <f t="shared" si="33"/>
        <v>1270.6949999999999</v>
      </c>
      <c r="C802" s="10"/>
      <c r="E802" s="11">
        <v>58927</v>
      </c>
      <c r="F802" s="9">
        <f t="shared" si="31"/>
        <v>1270.6949999999999</v>
      </c>
      <c r="H802" s="11">
        <v>58927</v>
      </c>
      <c r="I802" s="9">
        <f t="shared" si="32"/>
        <v>1270.6949999999999</v>
      </c>
    </row>
    <row r="803" spans="1:9">
      <c r="A803" s="11">
        <v>58958</v>
      </c>
      <c r="B803" s="12">
        <f t="shared" si="33"/>
        <v>1270.6949999999999</v>
      </c>
      <c r="C803" s="10"/>
      <c r="E803" s="11">
        <v>58958</v>
      </c>
      <c r="F803" s="9">
        <f t="shared" si="31"/>
        <v>1270.6949999999999</v>
      </c>
      <c r="H803" s="11">
        <v>58958</v>
      </c>
      <c r="I803" s="9">
        <f t="shared" si="32"/>
        <v>1270.6949999999999</v>
      </c>
    </row>
    <row r="804" spans="1:9">
      <c r="A804" s="11">
        <v>58988</v>
      </c>
      <c r="B804" s="12">
        <f t="shared" si="33"/>
        <v>1270.6949999999999</v>
      </c>
      <c r="C804" s="10"/>
      <c r="E804" s="11">
        <v>58988</v>
      </c>
      <c r="F804" s="9">
        <f t="shared" si="31"/>
        <v>1270.6949999999999</v>
      </c>
      <c r="H804" s="11">
        <v>58988</v>
      </c>
      <c r="I804" s="9">
        <f t="shared" si="32"/>
        <v>1270.6949999999999</v>
      </c>
    </row>
    <row r="805" spans="1:9">
      <c r="A805" s="11">
        <v>59019</v>
      </c>
      <c r="B805" s="12">
        <f t="shared" si="33"/>
        <v>1270.6949999999999</v>
      </c>
      <c r="C805" s="10"/>
      <c r="E805" s="11">
        <v>59019</v>
      </c>
      <c r="F805" s="9">
        <f t="shared" si="31"/>
        <v>1270.6949999999999</v>
      </c>
      <c r="H805" s="11">
        <v>59019</v>
      </c>
      <c r="I805" s="9">
        <f t="shared" si="32"/>
        <v>1270.6949999999999</v>
      </c>
    </row>
    <row r="806" spans="1:9">
      <c r="A806" s="11">
        <v>59050</v>
      </c>
      <c r="B806" s="12">
        <f t="shared" si="33"/>
        <v>1270.6949999999999</v>
      </c>
      <c r="C806" s="10"/>
      <c r="E806" s="11">
        <v>59050</v>
      </c>
      <c r="F806" s="9">
        <f t="shared" si="31"/>
        <v>1270.6949999999999</v>
      </c>
      <c r="H806" s="11">
        <v>59050</v>
      </c>
      <c r="I806" s="9">
        <f t="shared" si="32"/>
        <v>1270.6949999999999</v>
      </c>
    </row>
    <row r="807" spans="1:9">
      <c r="A807" s="11">
        <v>59080</v>
      </c>
      <c r="B807" s="12">
        <f t="shared" si="33"/>
        <v>1270.6949999999999</v>
      </c>
      <c r="C807" s="10"/>
      <c r="E807" s="11">
        <v>59080</v>
      </c>
      <c r="F807" s="9">
        <f t="shared" si="31"/>
        <v>1270.6949999999999</v>
      </c>
      <c r="H807" s="11">
        <v>59080</v>
      </c>
      <c r="I807" s="9">
        <f t="shared" si="32"/>
        <v>1270.6949999999999</v>
      </c>
    </row>
    <row r="808" spans="1:9">
      <c r="A808" s="11">
        <v>59111</v>
      </c>
      <c r="B808" s="12">
        <f t="shared" si="33"/>
        <v>1270.6949999999999</v>
      </c>
      <c r="C808" s="10"/>
      <c r="E808" s="11">
        <v>59111</v>
      </c>
      <c r="F808" s="9">
        <f t="shared" si="31"/>
        <v>1270.6949999999999</v>
      </c>
      <c r="H808" s="11">
        <v>59111</v>
      </c>
      <c r="I808" s="9">
        <f t="shared" si="32"/>
        <v>1270.6949999999999</v>
      </c>
    </row>
    <row r="809" spans="1:9">
      <c r="A809" s="11">
        <v>59141</v>
      </c>
      <c r="B809" s="12">
        <f t="shared" si="33"/>
        <v>1270.6949999999999</v>
      </c>
      <c r="C809" s="10"/>
      <c r="E809" s="11">
        <v>59141</v>
      </c>
      <c r="F809" s="9">
        <f t="shared" si="31"/>
        <v>1270.6949999999999</v>
      </c>
      <c r="H809" s="11">
        <v>59141</v>
      </c>
      <c r="I809" s="9">
        <f t="shared" si="32"/>
        <v>1270.6949999999999</v>
      </c>
    </row>
    <row r="810" spans="1:9">
      <c r="A810" s="11">
        <v>59172</v>
      </c>
      <c r="B810" s="12">
        <f t="shared" si="33"/>
        <v>1270.6949999999999</v>
      </c>
      <c r="C810" s="10"/>
      <c r="E810" s="11">
        <v>59172</v>
      </c>
      <c r="F810" s="9">
        <f t="shared" si="31"/>
        <v>1270.6949999999999</v>
      </c>
      <c r="H810" s="11">
        <v>59172</v>
      </c>
      <c r="I810" s="9">
        <f t="shared" si="32"/>
        <v>1270.6949999999999</v>
      </c>
    </row>
    <row r="811" spans="1:9">
      <c r="A811" s="11">
        <v>59203</v>
      </c>
      <c r="B811" s="12">
        <f t="shared" si="33"/>
        <v>1270.6949999999999</v>
      </c>
      <c r="C811" s="10"/>
      <c r="E811" s="11">
        <v>59203</v>
      </c>
      <c r="F811" s="9">
        <f t="shared" ref="F811:F874" si="34">B810</f>
        <v>1270.6949999999999</v>
      </c>
      <c r="H811" s="11">
        <v>59203</v>
      </c>
      <c r="I811" s="9">
        <f t="shared" ref="I811:I874" si="35">B809</f>
        <v>1270.6949999999999</v>
      </c>
    </row>
    <row r="812" spans="1:9">
      <c r="A812" s="11">
        <v>59231</v>
      </c>
      <c r="B812" s="12">
        <f t="shared" si="33"/>
        <v>1270.6949999999999</v>
      </c>
      <c r="C812" s="10"/>
      <c r="E812" s="11">
        <v>59231</v>
      </c>
      <c r="F812" s="9">
        <f t="shared" si="34"/>
        <v>1270.6949999999999</v>
      </c>
      <c r="H812" s="11">
        <v>59231</v>
      </c>
      <c r="I812" s="9">
        <f t="shared" si="35"/>
        <v>1270.6949999999999</v>
      </c>
    </row>
    <row r="813" spans="1:9">
      <c r="A813" s="11">
        <v>59262</v>
      </c>
      <c r="B813" s="12">
        <f t="shared" si="33"/>
        <v>1270.6949999999999</v>
      </c>
      <c r="C813" s="10"/>
      <c r="E813" s="11">
        <v>59262</v>
      </c>
      <c r="F813" s="9">
        <f t="shared" si="34"/>
        <v>1270.6949999999999</v>
      </c>
      <c r="H813" s="11">
        <v>59262</v>
      </c>
      <c r="I813" s="9">
        <f t="shared" si="35"/>
        <v>1270.6949999999999</v>
      </c>
    </row>
    <row r="814" spans="1:9">
      <c r="A814" s="11">
        <v>59292</v>
      </c>
      <c r="B814" s="12">
        <f t="shared" si="33"/>
        <v>1270.6949999999999</v>
      </c>
      <c r="C814" s="10"/>
      <c r="E814" s="11">
        <v>59292</v>
      </c>
      <c r="F814" s="9">
        <f t="shared" si="34"/>
        <v>1270.6949999999999</v>
      </c>
      <c r="H814" s="11">
        <v>59292</v>
      </c>
      <c r="I814" s="9">
        <f t="shared" si="35"/>
        <v>1270.6949999999999</v>
      </c>
    </row>
    <row r="815" spans="1:9">
      <c r="A815" s="11">
        <v>59323</v>
      </c>
      <c r="B815" s="12">
        <f t="shared" si="33"/>
        <v>1270.6949999999999</v>
      </c>
      <c r="C815" s="10"/>
      <c r="E815" s="11">
        <v>59323</v>
      </c>
      <c r="F815" s="9">
        <f t="shared" si="34"/>
        <v>1270.6949999999999</v>
      </c>
      <c r="H815" s="11">
        <v>59323</v>
      </c>
      <c r="I815" s="9">
        <f t="shared" si="35"/>
        <v>1270.6949999999999</v>
      </c>
    </row>
    <row r="816" spans="1:9">
      <c r="A816" s="11">
        <v>59353</v>
      </c>
      <c r="B816" s="12">
        <f t="shared" si="33"/>
        <v>1270.6949999999999</v>
      </c>
      <c r="C816" s="10"/>
      <c r="E816" s="11">
        <v>59353</v>
      </c>
      <c r="F816" s="9">
        <f t="shared" si="34"/>
        <v>1270.6949999999999</v>
      </c>
      <c r="H816" s="11">
        <v>59353</v>
      </c>
      <c r="I816" s="9">
        <f t="shared" si="35"/>
        <v>1270.6949999999999</v>
      </c>
    </row>
    <row r="817" spans="1:9">
      <c r="A817" s="11">
        <v>59384</v>
      </c>
      <c r="B817" s="12">
        <f t="shared" si="33"/>
        <v>1270.6949999999999</v>
      </c>
      <c r="C817" s="10"/>
      <c r="E817" s="11">
        <v>59384</v>
      </c>
      <c r="F817" s="9">
        <f t="shared" si="34"/>
        <v>1270.6949999999999</v>
      </c>
      <c r="H817" s="11">
        <v>59384</v>
      </c>
      <c r="I817" s="9">
        <f t="shared" si="35"/>
        <v>1270.6949999999999</v>
      </c>
    </row>
    <row r="818" spans="1:9">
      <c r="A818" s="11">
        <v>59415</v>
      </c>
      <c r="B818" s="12">
        <f t="shared" si="33"/>
        <v>1270.6949999999999</v>
      </c>
      <c r="C818" s="10"/>
      <c r="E818" s="11">
        <v>59415</v>
      </c>
      <c r="F818" s="9">
        <f t="shared" si="34"/>
        <v>1270.6949999999999</v>
      </c>
      <c r="H818" s="11">
        <v>59415</v>
      </c>
      <c r="I818" s="9">
        <f t="shared" si="35"/>
        <v>1270.6949999999999</v>
      </c>
    </row>
    <row r="819" spans="1:9">
      <c r="A819" s="11">
        <v>59445</v>
      </c>
      <c r="B819" s="12">
        <f t="shared" si="33"/>
        <v>1270.6949999999999</v>
      </c>
      <c r="C819" s="10"/>
      <c r="E819" s="11">
        <v>59445</v>
      </c>
      <c r="F819" s="9">
        <f t="shared" si="34"/>
        <v>1270.6949999999999</v>
      </c>
      <c r="H819" s="11">
        <v>59445</v>
      </c>
      <c r="I819" s="9">
        <f t="shared" si="35"/>
        <v>1270.6949999999999</v>
      </c>
    </row>
    <row r="820" spans="1:9">
      <c r="A820" s="11">
        <v>59476</v>
      </c>
      <c r="B820" s="12">
        <f t="shared" si="33"/>
        <v>1270.6949999999999</v>
      </c>
      <c r="C820" s="10"/>
      <c r="E820" s="11">
        <v>59476</v>
      </c>
      <c r="F820" s="9">
        <f t="shared" si="34"/>
        <v>1270.6949999999999</v>
      </c>
      <c r="H820" s="11">
        <v>59476</v>
      </c>
      <c r="I820" s="9">
        <f t="shared" si="35"/>
        <v>1270.6949999999999</v>
      </c>
    </row>
    <row r="821" spans="1:9">
      <c r="A821" s="11">
        <v>59506</v>
      </c>
      <c r="B821" s="12">
        <f t="shared" si="33"/>
        <v>1270.6949999999999</v>
      </c>
      <c r="C821" s="10"/>
      <c r="E821" s="11">
        <v>59506</v>
      </c>
      <c r="F821" s="9">
        <f t="shared" si="34"/>
        <v>1270.6949999999999</v>
      </c>
      <c r="H821" s="11">
        <v>59506</v>
      </c>
      <c r="I821" s="9">
        <f t="shared" si="35"/>
        <v>1270.6949999999999</v>
      </c>
    </row>
    <row r="822" spans="1:9">
      <c r="A822" s="11">
        <v>59537</v>
      </c>
      <c r="B822" s="12">
        <f t="shared" si="33"/>
        <v>1270.6949999999999</v>
      </c>
      <c r="C822" s="10"/>
      <c r="E822" s="11">
        <v>59537</v>
      </c>
      <c r="F822" s="9">
        <f t="shared" si="34"/>
        <v>1270.6949999999999</v>
      </c>
      <c r="H822" s="11">
        <v>59537</v>
      </c>
      <c r="I822" s="9">
        <f t="shared" si="35"/>
        <v>1270.6949999999999</v>
      </c>
    </row>
    <row r="823" spans="1:9">
      <c r="A823" s="11">
        <v>59568</v>
      </c>
      <c r="B823" s="12">
        <f t="shared" si="33"/>
        <v>1270.6949999999999</v>
      </c>
      <c r="C823" s="10"/>
      <c r="E823" s="11">
        <v>59568</v>
      </c>
      <c r="F823" s="9">
        <f t="shared" si="34"/>
        <v>1270.6949999999999</v>
      </c>
      <c r="H823" s="11">
        <v>59568</v>
      </c>
      <c r="I823" s="9">
        <f t="shared" si="35"/>
        <v>1270.6949999999999</v>
      </c>
    </row>
    <row r="824" spans="1:9">
      <c r="A824" s="11">
        <v>59596</v>
      </c>
      <c r="B824" s="12">
        <f t="shared" si="33"/>
        <v>1270.6949999999999</v>
      </c>
      <c r="C824" s="10"/>
      <c r="E824" s="11">
        <v>59596</v>
      </c>
      <c r="F824" s="9">
        <f t="shared" si="34"/>
        <v>1270.6949999999999</v>
      </c>
      <c r="H824" s="11">
        <v>59596</v>
      </c>
      <c r="I824" s="9">
        <f t="shared" si="35"/>
        <v>1270.6949999999999</v>
      </c>
    </row>
    <row r="825" spans="1:9">
      <c r="A825" s="11">
        <v>59627</v>
      </c>
      <c r="B825" s="12">
        <f t="shared" si="33"/>
        <v>1270.6949999999999</v>
      </c>
      <c r="C825" s="10"/>
      <c r="E825" s="11">
        <v>59627</v>
      </c>
      <c r="F825" s="9">
        <f t="shared" si="34"/>
        <v>1270.6949999999999</v>
      </c>
      <c r="H825" s="11">
        <v>59627</v>
      </c>
      <c r="I825" s="9">
        <f t="shared" si="35"/>
        <v>1270.6949999999999</v>
      </c>
    </row>
    <row r="826" spans="1:9">
      <c r="A826" s="11">
        <v>59657</v>
      </c>
      <c r="B826" s="12">
        <f t="shared" si="33"/>
        <v>1270.6949999999999</v>
      </c>
      <c r="C826" s="10"/>
      <c r="E826" s="11">
        <v>59657</v>
      </c>
      <c r="F826" s="9">
        <f t="shared" si="34"/>
        <v>1270.6949999999999</v>
      </c>
      <c r="H826" s="11">
        <v>59657</v>
      </c>
      <c r="I826" s="9">
        <f t="shared" si="35"/>
        <v>1270.6949999999999</v>
      </c>
    </row>
    <row r="827" spans="1:9">
      <c r="A827" s="11">
        <v>59688</v>
      </c>
      <c r="B827" s="12">
        <f t="shared" si="33"/>
        <v>1270.6949999999999</v>
      </c>
      <c r="C827" s="10"/>
      <c r="E827" s="11">
        <v>59688</v>
      </c>
      <c r="F827" s="9">
        <f t="shared" si="34"/>
        <v>1270.6949999999999</v>
      </c>
      <c r="H827" s="11">
        <v>59688</v>
      </c>
      <c r="I827" s="9">
        <f t="shared" si="35"/>
        <v>1270.6949999999999</v>
      </c>
    </row>
    <row r="828" spans="1:9">
      <c r="A828" s="11">
        <v>59718</v>
      </c>
      <c r="B828" s="12">
        <f t="shared" si="33"/>
        <v>1270.6949999999999</v>
      </c>
      <c r="C828" s="10"/>
      <c r="E828" s="11">
        <v>59718</v>
      </c>
      <c r="F828" s="9">
        <f t="shared" si="34"/>
        <v>1270.6949999999999</v>
      </c>
      <c r="H828" s="11">
        <v>59718</v>
      </c>
      <c r="I828" s="9">
        <f t="shared" si="35"/>
        <v>1270.6949999999999</v>
      </c>
    </row>
    <row r="829" spans="1:9">
      <c r="A829" s="11">
        <v>59749</v>
      </c>
      <c r="B829" s="12">
        <f t="shared" si="33"/>
        <v>1270.6949999999999</v>
      </c>
      <c r="C829" s="10"/>
      <c r="E829" s="11">
        <v>59749</v>
      </c>
      <c r="F829" s="9">
        <f t="shared" si="34"/>
        <v>1270.6949999999999</v>
      </c>
      <c r="H829" s="11">
        <v>59749</v>
      </c>
      <c r="I829" s="9">
        <f t="shared" si="35"/>
        <v>1270.6949999999999</v>
      </c>
    </row>
    <row r="830" spans="1:9">
      <c r="A830" s="11">
        <v>59780</v>
      </c>
      <c r="B830" s="12">
        <f t="shared" si="33"/>
        <v>1270.6949999999999</v>
      </c>
      <c r="C830" s="10"/>
      <c r="E830" s="11">
        <v>59780</v>
      </c>
      <c r="F830" s="9">
        <f t="shared" si="34"/>
        <v>1270.6949999999999</v>
      </c>
      <c r="H830" s="11">
        <v>59780</v>
      </c>
      <c r="I830" s="9">
        <f t="shared" si="35"/>
        <v>1270.6949999999999</v>
      </c>
    </row>
    <row r="831" spans="1:9">
      <c r="A831" s="11">
        <v>59810</v>
      </c>
      <c r="B831" s="12">
        <f t="shared" si="33"/>
        <v>1270.6949999999999</v>
      </c>
      <c r="C831" s="10"/>
      <c r="E831" s="11">
        <v>59810</v>
      </c>
      <c r="F831" s="9">
        <f t="shared" si="34"/>
        <v>1270.6949999999999</v>
      </c>
      <c r="H831" s="11">
        <v>59810</v>
      </c>
      <c r="I831" s="9">
        <f t="shared" si="35"/>
        <v>1270.6949999999999</v>
      </c>
    </row>
    <row r="832" spans="1:9">
      <c r="A832" s="11">
        <v>59841</v>
      </c>
      <c r="B832" s="12">
        <f t="shared" si="33"/>
        <v>1270.6949999999999</v>
      </c>
      <c r="C832" s="10"/>
      <c r="E832" s="11">
        <v>59841</v>
      </c>
      <c r="F832" s="9">
        <f t="shared" si="34"/>
        <v>1270.6949999999999</v>
      </c>
      <c r="H832" s="11">
        <v>59841</v>
      </c>
      <c r="I832" s="9">
        <f t="shared" si="35"/>
        <v>1270.6949999999999</v>
      </c>
    </row>
    <row r="833" spans="1:9">
      <c r="A833" s="11">
        <v>59871</v>
      </c>
      <c r="B833" s="12">
        <f t="shared" si="33"/>
        <v>1270.6949999999999</v>
      </c>
      <c r="C833" s="10"/>
      <c r="E833" s="11">
        <v>59871</v>
      </c>
      <c r="F833" s="9">
        <f t="shared" si="34"/>
        <v>1270.6949999999999</v>
      </c>
      <c r="H833" s="11">
        <v>59871</v>
      </c>
      <c r="I833" s="9">
        <f t="shared" si="35"/>
        <v>1270.6949999999999</v>
      </c>
    </row>
    <row r="834" spans="1:9">
      <c r="A834" s="11">
        <v>59902</v>
      </c>
      <c r="B834" s="12">
        <f t="shared" si="33"/>
        <v>1270.6949999999999</v>
      </c>
      <c r="C834" s="10"/>
      <c r="E834" s="11">
        <v>59902</v>
      </c>
      <c r="F834" s="9">
        <f t="shared" si="34"/>
        <v>1270.6949999999999</v>
      </c>
      <c r="H834" s="11">
        <v>59902</v>
      </c>
      <c r="I834" s="9">
        <f t="shared" si="35"/>
        <v>1270.6949999999999</v>
      </c>
    </row>
    <row r="835" spans="1:9">
      <c r="A835" s="11">
        <v>59933</v>
      </c>
      <c r="B835" s="12">
        <f t="shared" si="33"/>
        <v>1270.6949999999999</v>
      </c>
      <c r="C835" s="10"/>
      <c r="E835" s="11">
        <v>59933</v>
      </c>
      <c r="F835" s="9">
        <f t="shared" si="34"/>
        <v>1270.6949999999999</v>
      </c>
      <c r="H835" s="11">
        <v>59933</v>
      </c>
      <c r="I835" s="9">
        <f t="shared" si="35"/>
        <v>1270.6949999999999</v>
      </c>
    </row>
    <row r="836" spans="1:9">
      <c r="A836" s="11">
        <v>59962</v>
      </c>
      <c r="B836" s="12">
        <f t="shared" si="33"/>
        <v>1270.6949999999999</v>
      </c>
      <c r="C836" s="10"/>
      <c r="E836" s="11">
        <v>59962</v>
      </c>
      <c r="F836" s="9">
        <f t="shared" si="34"/>
        <v>1270.6949999999999</v>
      </c>
      <c r="H836" s="11">
        <v>59962</v>
      </c>
      <c r="I836" s="9">
        <f t="shared" si="35"/>
        <v>1270.6949999999999</v>
      </c>
    </row>
    <row r="837" spans="1:9">
      <c r="A837" s="11">
        <v>59993</v>
      </c>
      <c r="B837" s="12">
        <f t="shared" si="33"/>
        <v>1270.6949999999999</v>
      </c>
      <c r="C837" s="10"/>
      <c r="E837" s="11">
        <v>59993</v>
      </c>
      <c r="F837" s="9">
        <f t="shared" si="34"/>
        <v>1270.6949999999999</v>
      </c>
      <c r="H837" s="11">
        <v>59993</v>
      </c>
      <c r="I837" s="9">
        <f t="shared" si="35"/>
        <v>1270.6949999999999</v>
      </c>
    </row>
    <row r="838" spans="1:9">
      <c r="A838" s="11">
        <v>60023</v>
      </c>
      <c r="B838" s="12">
        <f t="shared" si="33"/>
        <v>1270.6949999999999</v>
      </c>
      <c r="C838" s="10"/>
      <c r="E838" s="11">
        <v>60023</v>
      </c>
      <c r="F838" s="9">
        <f t="shared" si="34"/>
        <v>1270.6949999999999</v>
      </c>
      <c r="H838" s="11">
        <v>60023</v>
      </c>
      <c r="I838" s="9">
        <f t="shared" si="35"/>
        <v>1270.6949999999999</v>
      </c>
    </row>
    <row r="839" spans="1:9">
      <c r="A839" s="11">
        <v>60054</v>
      </c>
      <c r="B839" s="12">
        <f t="shared" si="33"/>
        <v>1270.6949999999999</v>
      </c>
      <c r="C839" s="10"/>
      <c r="E839" s="11">
        <v>60054</v>
      </c>
      <c r="F839" s="9">
        <f t="shared" si="34"/>
        <v>1270.6949999999999</v>
      </c>
      <c r="H839" s="11">
        <v>60054</v>
      </c>
      <c r="I839" s="9">
        <f t="shared" si="35"/>
        <v>1270.6949999999999</v>
      </c>
    </row>
    <row r="840" spans="1:9">
      <c r="A840" s="11">
        <v>60084</v>
      </c>
      <c r="B840" s="12">
        <f t="shared" si="33"/>
        <v>1270.6949999999999</v>
      </c>
      <c r="C840" s="10"/>
      <c r="E840" s="11">
        <v>60084</v>
      </c>
      <c r="F840" s="9">
        <f t="shared" si="34"/>
        <v>1270.6949999999999</v>
      </c>
      <c r="H840" s="11">
        <v>60084</v>
      </c>
      <c r="I840" s="9">
        <f t="shared" si="35"/>
        <v>1270.6949999999999</v>
      </c>
    </row>
    <row r="841" spans="1:9">
      <c r="A841" s="11">
        <v>60115</v>
      </c>
      <c r="B841" s="12">
        <f t="shared" si="33"/>
        <v>1270.6949999999999</v>
      </c>
      <c r="C841" s="10"/>
      <c r="E841" s="11">
        <v>60115</v>
      </c>
      <c r="F841" s="9">
        <f t="shared" si="34"/>
        <v>1270.6949999999999</v>
      </c>
      <c r="H841" s="11">
        <v>60115</v>
      </c>
      <c r="I841" s="9">
        <f t="shared" si="35"/>
        <v>1270.6949999999999</v>
      </c>
    </row>
    <row r="842" spans="1:9">
      <c r="A842" s="11">
        <v>60146</v>
      </c>
      <c r="B842" s="12">
        <f t="shared" si="33"/>
        <v>1270.6949999999999</v>
      </c>
      <c r="C842" s="10"/>
      <c r="E842" s="11">
        <v>60146</v>
      </c>
      <c r="F842" s="9">
        <f t="shared" si="34"/>
        <v>1270.6949999999999</v>
      </c>
      <c r="H842" s="11">
        <v>60146</v>
      </c>
      <c r="I842" s="9">
        <f t="shared" si="35"/>
        <v>1270.6949999999999</v>
      </c>
    </row>
    <row r="843" spans="1:9">
      <c r="A843" s="11">
        <v>60176</v>
      </c>
      <c r="B843" s="12">
        <f t="shared" si="33"/>
        <v>1270.6949999999999</v>
      </c>
      <c r="C843" s="10"/>
      <c r="E843" s="11">
        <v>60176</v>
      </c>
      <c r="F843" s="9">
        <f t="shared" si="34"/>
        <v>1270.6949999999999</v>
      </c>
      <c r="H843" s="11">
        <v>60176</v>
      </c>
      <c r="I843" s="9">
        <f t="shared" si="35"/>
        <v>1270.6949999999999</v>
      </c>
    </row>
    <row r="844" spans="1:9">
      <c r="A844" s="11">
        <v>60207</v>
      </c>
      <c r="B844" s="12">
        <f t="shared" si="33"/>
        <v>1270.6949999999999</v>
      </c>
      <c r="C844" s="10"/>
      <c r="E844" s="11">
        <v>60207</v>
      </c>
      <c r="F844" s="9">
        <f t="shared" si="34"/>
        <v>1270.6949999999999</v>
      </c>
      <c r="H844" s="11">
        <v>60207</v>
      </c>
      <c r="I844" s="9">
        <f t="shared" si="35"/>
        <v>1270.6949999999999</v>
      </c>
    </row>
    <row r="845" spans="1:9">
      <c r="A845" s="11">
        <v>60237</v>
      </c>
      <c r="B845" s="12">
        <f t="shared" si="33"/>
        <v>1270.6949999999999</v>
      </c>
      <c r="C845" s="10"/>
      <c r="E845" s="11">
        <v>60237</v>
      </c>
      <c r="F845" s="9">
        <f t="shared" si="34"/>
        <v>1270.6949999999999</v>
      </c>
      <c r="H845" s="11">
        <v>60237</v>
      </c>
      <c r="I845" s="9">
        <f t="shared" si="35"/>
        <v>1270.6949999999999</v>
      </c>
    </row>
    <row r="846" spans="1:9">
      <c r="A846" s="11">
        <v>60268</v>
      </c>
      <c r="B846" s="12">
        <f t="shared" si="33"/>
        <v>1270.6949999999999</v>
      </c>
      <c r="C846" s="10"/>
      <c r="E846" s="11">
        <v>60268</v>
      </c>
      <c r="F846" s="9">
        <f t="shared" si="34"/>
        <v>1270.6949999999999</v>
      </c>
      <c r="H846" s="11">
        <v>60268</v>
      </c>
      <c r="I846" s="9">
        <f t="shared" si="35"/>
        <v>1270.6949999999999</v>
      </c>
    </row>
    <row r="847" spans="1:9">
      <c r="A847" s="11">
        <v>60299</v>
      </c>
      <c r="B847" s="12">
        <f t="shared" si="33"/>
        <v>1270.6949999999999</v>
      </c>
      <c r="C847" s="10"/>
      <c r="E847" s="11">
        <v>60299</v>
      </c>
      <c r="F847" s="9">
        <f t="shared" si="34"/>
        <v>1270.6949999999999</v>
      </c>
      <c r="H847" s="11">
        <v>60299</v>
      </c>
      <c r="I847" s="9">
        <f t="shared" si="35"/>
        <v>1270.6949999999999</v>
      </c>
    </row>
    <row r="848" spans="1:9">
      <c r="A848" s="11">
        <v>60327</v>
      </c>
      <c r="B848" s="12">
        <f t="shared" si="33"/>
        <v>1270.6949999999999</v>
      </c>
      <c r="C848" s="10"/>
      <c r="E848" s="11">
        <v>60327</v>
      </c>
      <c r="F848" s="9">
        <f t="shared" si="34"/>
        <v>1270.6949999999999</v>
      </c>
      <c r="H848" s="11">
        <v>60327</v>
      </c>
      <c r="I848" s="9">
        <f t="shared" si="35"/>
        <v>1270.6949999999999</v>
      </c>
    </row>
    <row r="849" spans="1:9">
      <c r="A849" s="11">
        <v>60358</v>
      </c>
      <c r="B849" s="12">
        <f t="shared" si="33"/>
        <v>1270.6949999999999</v>
      </c>
      <c r="C849" s="10"/>
      <c r="E849" s="11">
        <v>60358</v>
      </c>
      <c r="F849" s="9">
        <f t="shared" si="34"/>
        <v>1270.6949999999999</v>
      </c>
      <c r="H849" s="11">
        <v>60358</v>
      </c>
      <c r="I849" s="9">
        <f t="shared" si="35"/>
        <v>1270.6949999999999</v>
      </c>
    </row>
    <row r="850" spans="1:9">
      <c r="A850" s="11">
        <v>60388</v>
      </c>
      <c r="B850" s="12">
        <f t="shared" si="33"/>
        <v>1270.6949999999999</v>
      </c>
      <c r="C850" s="10"/>
      <c r="E850" s="11">
        <v>60388</v>
      </c>
      <c r="F850" s="9">
        <f t="shared" si="34"/>
        <v>1270.6949999999999</v>
      </c>
      <c r="H850" s="11">
        <v>60388</v>
      </c>
      <c r="I850" s="9">
        <f t="shared" si="35"/>
        <v>1270.6949999999999</v>
      </c>
    </row>
    <row r="851" spans="1:9">
      <c r="A851" s="11">
        <v>60419</v>
      </c>
      <c r="B851" s="12">
        <f t="shared" si="33"/>
        <v>1270.6949999999999</v>
      </c>
      <c r="C851" s="10"/>
      <c r="E851" s="11">
        <v>60419</v>
      </c>
      <c r="F851" s="9">
        <f t="shared" si="34"/>
        <v>1270.6949999999999</v>
      </c>
      <c r="H851" s="11">
        <v>60419</v>
      </c>
      <c r="I851" s="9">
        <f t="shared" si="35"/>
        <v>1270.6949999999999</v>
      </c>
    </row>
    <row r="852" spans="1:9">
      <c r="A852" s="11">
        <v>60449</v>
      </c>
      <c r="B852" s="12">
        <f t="shared" si="33"/>
        <v>1270.6949999999999</v>
      </c>
      <c r="C852" s="10"/>
      <c r="E852" s="11">
        <v>60449</v>
      </c>
      <c r="F852" s="9">
        <f t="shared" si="34"/>
        <v>1270.6949999999999</v>
      </c>
      <c r="H852" s="11">
        <v>60449</v>
      </c>
      <c r="I852" s="9">
        <f t="shared" si="35"/>
        <v>1270.6949999999999</v>
      </c>
    </row>
    <row r="853" spans="1:9">
      <c r="A853" s="11">
        <v>60480</v>
      </c>
      <c r="B853" s="12">
        <f t="shared" si="33"/>
        <v>1270.6949999999999</v>
      </c>
      <c r="C853" s="10"/>
      <c r="E853" s="11">
        <v>60480</v>
      </c>
      <c r="F853" s="9">
        <f t="shared" si="34"/>
        <v>1270.6949999999999</v>
      </c>
      <c r="H853" s="11">
        <v>60480</v>
      </c>
      <c r="I853" s="9">
        <f t="shared" si="35"/>
        <v>1270.6949999999999</v>
      </c>
    </row>
    <row r="854" spans="1:9">
      <c r="A854" s="11">
        <v>60511</v>
      </c>
      <c r="B854" s="12">
        <f t="shared" si="33"/>
        <v>1270.6949999999999</v>
      </c>
      <c r="C854" s="10"/>
      <c r="E854" s="11">
        <v>60511</v>
      </c>
      <c r="F854" s="9">
        <f t="shared" si="34"/>
        <v>1270.6949999999999</v>
      </c>
      <c r="H854" s="11">
        <v>60511</v>
      </c>
      <c r="I854" s="9">
        <f t="shared" si="35"/>
        <v>1270.6949999999999</v>
      </c>
    </row>
    <row r="855" spans="1:9">
      <c r="A855" s="11">
        <v>60541</v>
      </c>
      <c r="B855" s="12">
        <f t="shared" si="33"/>
        <v>1270.6949999999999</v>
      </c>
      <c r="C855" s="10"/>
      <c r="E855" s="11">
        <v>60541</v>
      </c>
      <c r="F855" s="9">
        <f t="shared" si="34"/>
        <v>1270.6949999999999</v>
      </c>
      <c r="H855" s="11">
        <v>60541</v>
      </c>
      <c r="I855" s="9">
        <f t="shared" si="35"/>
        <v>1270.6949999999999</v>
      </c>
    </row>
    <row r="856" spans="1:9">
      <c r="A856" s="11">
        <v>60572</v>
      </c>
      <c r="B856" s="12">
        <f t="shared" si="33"/>
        <v>1270.6949999999999</v>
      </c>
      <c r="C856" s="10"/>
      <c r="E856" s="11">
        <v>60572</v>
      </c>
      <c r="F856" s="9">
        <f t="shared" si="34"/>
        <v>1270.6949999999999</v>
      </c>
      <c r="H856" s="11">
        <v>60572</v>
      </c>
      <c r="I856" s="9">
        <f t="shared" si="35"/>
        <v>1270.6949999999999</v>
      </c>
    </row>
    <row r="857" spans="1:9">
      <c r="A857" s="11">
        <v>60602</v>
      </c>
      <c r="B857" s="12">
        <f t="shared" si="33"/>
        <v>1270.6949999999999</v>
      </c>
      <c r="C857" s="10"/>
      <c r="E857" s="11">
        <v>60602</v>
      </c>
      <c r="F857" s="9">
        <f t="shared" si="34"/>
        <v>1270.6949999999999</v>
      </c>
      <c r="H857" s="11">
        <v>60602</v>
      </c>
      <c r="I857" s="9">
        <f t="shared" si="35"/>
        <v>1270.6949999999999</v>
      </c>
    </row>
    <row r="858" spans="1:9">
      <c r="A858" s="11">
        <v>60633</v>
      </c>
      <c r="B858" s="12">
        <f t="shared" si="33"/>
        <v>1270.6949999999999</v>
      </c>
      <c r="C858" s="10"/>
      <c r="E858" s="11">
        <v>60633</v>
      </c>
      <c r="F858" s="9">
        <f t="shared" si="34"/>
        <v>1270.6949999999999</v>
      </c>
      <c r="H858" s="11">
        <v>60633</v>
      </c>
      <c r="I858" s="9">
        <f t="shared" si="35"/>
        <v>1270.6949999999999</v>
      </c>
    </row>
    <row r="859" spans="1:9">
      <c r="A859" s="11">
        <v>60664</v>
      </c>
      <c r="B859" s="12">
        <f t="shared" si="33"/>
        <v>1270.6949999999999</v>
      </c>
      <c r="C859" s="10"/>
      <c r="E859" s="11">
        <v>60664</v>
      </c>
      <c r="F859" s="9">
        <f t="shared" si="34"/>
        <v>1270.6949999999999</v>
      </c>
      <c r="H859" s="11">
        <v>60664</v>
      </c>
      <c r="I859" s="9">
        <f t="shared" si="35"/>
        <v>1270.6949999999999</v>
      </c>
    </row>
    <row r="860" spans="1:9">
      <c r="A860" s="11">
        <v>60692</v>
      </c>
      <c r="B860" s="12">
        <f t="shared" si="33"/>
        <v>1270.6949999999999</v>
      </c>
      <c r="C860" s="10"/>
      <c r="E860" s="11">
        <v>60692</v>
      </c>
      <c r="F860" s="9">
        <f t="shared" si="34"/>
        <v>1270.6949999999999</v>
      </c>
      <c r="H860" s="11">
        <v>60692</v>
      </c>
      <c r="I860" s="9">
        <f t="shared" si="35"/>
        <v>1270.6949999999999</v>
      </c>
    </row>
    <row r="861" spans="1:9">
      <c r="A861" s="11">
        <v>60723</v>
      </c>
      <c r="B861" s="12">
        <f t="shared" si="33"/>
        <v>1270.6949999999999</v>
      </c>
      <c r="C861" s="10"/>
      <c r="E861" s="11">
        <v>60723</v>
      </c>
      <c r="F861" s="9">
        <f t="shared" si="34"/>
        <v>1270.6949999999999</v>
      </c>
      <c r="H861" s="11">
        <v>60723</v>
      </c>
      <c r="I861" s="9">
        <f t="shared" si="35"/>
        <v>1270.6949999999999</v>
      </c>
    </row>
    <row r="862" spans="1:9">
      <c r="A862" s="11">
        <v>60753</v>
      </c>
      <c r="B862" s="12">
        <f t="shared" si="33"/>
        <v>1270.6949999999999</v>
      </c>
      <c r="C862" s="10"/>
      <c r="E862" s="11">
        <v>60753</v>
      </c>
      <c r="F862" s="9">
        <f t="shared" si="34"/>
        <v>1270.6949999999999</v>
      </c>
      <c r="H862" s="11">
        <v>60753</v>
      </c>
      <c r="I862" s="9">
        <f t="shared" si="35"/>
        <v>1270.6949999999999</v>
      </c>
    </row>
    <row r="863" spans="1:9">
      <c r="A863" s="11">
        <v>60784</v>
      </c>
      <c r="B863" s="12">
        <f t="shared" si="33"/>
        <v>1270.6949999999999</v>
      </c>
      <c r="C863" s="10"/>
      <c r="E863" s="11">
        <v>60784</v>
      </c>
      <c r="F863" s="9">
        <f t="shared" si="34"/>
        <v>1270.6949999999999</v>
      </c>
      <c r="H863" s="11">
        <v>60784</v>
      </c>
      <c r="I863" s="9">
        <f t="shared" si="35"/>
        <v>1270.6949999999999</v>
      </c>
    </row>
    <row r="864" spans="1:9">
      <c r="A864" s="11">
        <v>60814</v>
      </c>
      <c r="B864" s="12">
        <f t="shared" si="33"/>
        <v>1270.6949999999999</v>
      </c>
      <c r="C864" s="10"/>
      <c r="E864" s="11">
        <v>60814</v>
      </c>
      <c r="F864" s="9">
        <f t="shared" si="34"/>
        <v>1270.6949999999999</v>
      </c>
      <c r="H864" s="11">
        <v>60814</v>
      </c>
      <c r="I864" s="9">
        <f t="shared" si="35"/>
        <v>1270.6949999999999</v>
      </c>
    </row>
    <row r="865" spans="1:9">
      <c r="A865" s="11">
        <v>60845</v>
      </c>
      <c r="B865" s="12">
        <f t="shared" ref="B865:B928" si="36">B864</f>
        <v>1270.6949999999999</v>
      </c>
      <c r="C865" s="10"/>
      <c r="E865" s="11">
        <v>60845</v>
      </c>
      <c r="F865" s="9">
        <f t="shared" si="34"/>
        <v>1270.6949999999999</v>
      </c>
      <c r="H865" s="11">
        <v>60845</v>
      </c>
      <c r="I865" s="9">
        <f t="shared" si="35"/>
        <v>1270.6949999999999</v>
      </c>
    </row>
    <row r="866" spans="1:9">
      <c r="A866" s="11">
        <v>60876</v>
      </c>
      <c r="B866" s="12">
        <f t="shared" si="36"/>
        <v>1270.6949999999999</v>
      </c>
      <c r="C866" s="10"/>
      <c r="E866" s="11">
        <v>60876</v>
      </c>
      <c r="F866" s="9">
        <f t="shared" si="34"/>
        <v>1270.6949999999999</v>
      </c>
      <c r="H866" s="11">
        <v>60876</v>
      </c>
      <c r="I866" s="9">
        <f t="shared" si="35"/>
        <v>1270.6949999999999</v>
      </c>
    </row>
    <row r="867" spans="1:9">
      <c r="A867" s="11">
        <v>60906</v>
      </c>
      <c r="B867" s="12">
        <f t="shared" si="36"/>
        <v>1270.6949999999999</v>
      </c>
      <c r="C867" s="10"/>
      <c r="E867" s="11">
        <v>60906</v>
      </c>
      <c r="F867" s="9">
        <f t="shared" si="34"/>
        <v>1270.6949999999999</v>
      </c>
      <c r="H867" s="11">
        <v>60906</v>
      </c>
      <c r="I867" s="9">
        <f t="shared" si="35"/>
        <v>1270.6949999999999</v>
      </c>
    </row>
    <row r="868" spans="1:9">
      <c r="A868" s="11">
        <v>60937</v>
      </c>
      <c r="B868" s="12">
        <f t="shared" si="36"/>
        <v>1270.6949999999999</v>
      </c>
      <c r="C868" s="10"/>
      <c r="E868" s="11">
        <v>60937</v>
      </c>
      <c r="F868" s="9">
        <f t="shared" si="34"/>
        <v>1270.6949999999999</v>
      </c>
      <c r="H868" s="11">
        <v>60937</v>
      </c>
      <c r="I868" s="9">
        <f t="shared" si="35"/>
        <v>1270.6949999999999</v>
      </c>
    </row>
    <row r="869" spans="1:9">
      <c r="A869" s="11">
        <v>60967</v>
      </c>
      <c r="B869" s="12">
        <f t="shared" si="36"/>
        <v>1270.6949999999999</v>
      </c>
      <c r="C869" s="10"/>
      <c r="E869" s="11">
        <v>60967</v>
      </c>
      <c r="F869" s="9">
        <f t="shared" si="34"/>
        <v>1270.6949999999999</v>
      </c>
      <c r="H869" s="11">
        <v>60967</v>
      </c>
      <c r="I869" s="9">
        <f t="shared" si="35"/>
        <v>1270.6949999999999</v>
      </c>
    </row>
    <row r="870" spans="1:9">
      <c r="A870" s="11">
        <v>60998</v>
      </c>
      <c r="B870" s="12">
        <f t="shared" si="36"/>
        <v>1270.6949999999999</v>
      </c>
      <c r="C870" s="10"/>
      <c r="E870" s="11">
        <v>60998</v>
      </c>
      <c r="F870" s="9">
        <f t="shared" si="34"/>
        <v>1270.6949999999999</v>
      </c>
      <c r="H870" s="11">
        <v>60998</v>
      </c>
      <c r="I870" s="9">
        <f t="shared" si="35"/>
        <v>1270.6949999999999</v>
      </c>
    </row>
    <row r="871" spans="1:9">
      <c r="A871" s="11">
        <v>61029</v>
      </c>
      <c r="B871" s="12">
        <f t="shared" si="36"/>
        <v>1270.6949999999999</v>
      </c>
      <c r="C871" s="10"/>
      <c r="E871" s="11">
        <v>61029</v>
      </c>
      <c r="F871" s="9">
        <f t="shared" si="34"/>
        <v>1270.6949999999999</v>
      </c>
      <c r="H871" s="11">
        <v>61029</v>
      </c>
      <c r="I871" s="9">
        <f t="shared" si="35"/>
        <v>1270.6949999999999</v>
      </c>
    </row>
    <row r="872" spans="1:9">
      <c r="A872" s="11">
        <v>61057</v>
      </c>
      <c r="B872" s="12">
        <f t="shared" si="36"/>
        <v>1270.6949999999999</v>
      </c>
      <c r="C872" s="10"/>
      <c r="E872" s="11">
        <v>61057</v>
      </c>
      <c r="F872" s="9">
        <f t="shared" si="34"/>
        <v>1270.6949999999999</v>
      </c>
      <c r="H872" s="11">
        <v>61057</v>
      </c>
      <c r="I872" s="9">
        <f t="shared" si="35"/>
        <v>1270.6949999999999</v>
      </c>
    </row>
    <row r="873" spans="1:9">
      <c r="A873" s="11">
        <v>61088</v>
      </c>
      <c r="B873" s="12">
        <f t="shared" si="36"/>
        <v>1270.6949999999999</v>
      </c>
      <c r="C873" s="10"/>
      <c r="E873" s="11">
        <v>61088</v>
      </c>
      <c r="F873" s="9">
        <f t="shared" si="34"/>
        <v>1270.6949999999999</v>
      </c>
      <c r="H873" s="11">
        <v>61088</v>
      </c>
      <c r="I873" s="9">
        <f t="shared" si="35"/>
        <v>1270.6949999999999</v>
      </c>
    </row>
    <row r="874" spans="1:9">
      <c r="A874" s="11">
        <v>61118</v>
      </c>
      <c r="B874" s="12">
        <f t="shared" si="36"/>
        <v>1270.6949999999999</v>
      </c>
      <c r="C874" s="10"/>
      <c r="E874" s="11">
        <v>61118</v>
      </c>
      <c r="F874" s="9">
        <f t="shared" si="34"/>
        <v>1270.6949999999999</v>
      </c>
      <c r="H874" s="11">
        <v>61118</v>
      </c>
      <c r="I874" s="9">
        <f t="shared" si="35"/>
        <v>1270.6949999999999</v>
      </c>
    </row>
    <row r="875" spans="1:9">
      <c r="A875" s="11">
        <v>61149</v>
      </c>
      <c r="B875" s="12">
        <f t="shared" si="36"/>
        <v>1270.6949999999999</v>
      </c>
      <c r="C875" s="10"/>
      <c r="E875" s="11">
        <v>61149</v>
      </c>
      <c r="F875" s="9">
        <f t="shared" ref="F875:F938" si="37">B874</f>
        <v>1270.6949999999999</v>
      </c>
      <c r="H875" s="11">
        <v>61149</v>
      </c>
      <c r="I875" s="9">
        <f t="shared" ref="I875:I938" si="38">B873</f>
        <v>1270.6949999999999</v>
      </c>
    </row>
    <row r="876" spans="1:9">
      <c r="A876" s="11">
        <v>61179</v>
      </c>
      <c r="B876" s="12">
        <f t="shared" si="36"/>
        <v>1270.6949999999999</v>
      </c>
      <c r="C876" s="10"/>
      <c r="E876" s="11">
        <v>61179</v>
      </c>
      <c r="F876" s="9">
        <f t="shared" si="37"/>
        <v>1270.6949999999999</v>
      </c>
      <c r="H876" s="11">
        <v>61179</v>
      </c>
      <c r="I876" s="9">
        <f t="shared" si="38"/>
        <v>1270.6949999999999</v>
      </c>
    </row>
    <row r="877" spans="1:9">
      <c r="A877" s="11">
        <v>61210</v>
      </c>
      <c r="B877" s="12">
        <f t="shared" si="36"/>
        <v>1270.6949999999999</v>
      </c>
      <c r="C877" s="10"/>
      <c r="E877" s="11">
        <v>61210</v>
      </c>
      <c r="F877" s="9">
        <f t="shared" si="37"/>
        <v>1270.6949999999999</v>
      </c>
      <c r="H877" s="11">
        <v>61210</v>
      </c>
      <c r="I877" s="9">
        <f t="shared" si="38"/>
        <v>1270.6949999999999</v>
      </c>
    </row>
    <row r="878" spans="1:9">
      <c r="A878" s="11">
        <v>61241</v>
      </c>
      <c r="B878" s="12">
        <f t="shared" si="36"/>
        <v>1270.6949999999999</v>
      </c>
      <c r="C878" s="10"/>
      <c r="E878" s="11">
        <v>61241</v>
      </c>
      <c r="F878" s="9">
        <f t="shared" si="37"/>
        <v>1270.6949999999999</v>
      </c>
      <c r="H878" s="11">
        <v>61241</v>
      </c>
      <c r="I878" s="9">
        <f t="shared" si="38"/>
        <v>1270.6949999999999</v>
      </c>
    </row>
    <row r="879" spans="1:9">
      <c r="A879" s="11">
        <v>61271</v>
      </c>
      <c r="B879" s="12">
        <f t="shared" si="36"/>
        <v>1270.6949999999999</v>
      </c>
      <c r="C879" s="10"/>
      <c r="E879" s="11">
        <v>61271</v>
      </c>
      <c r="F879" s="9">
        <f t="shared" si="37"/>
        <v>1270.6949999999999</v>
      </c>
      <c r="H879" s="11">
        <v>61271</v>
      </c>
      <c r="I879" s="9">
        <f t="shared" si="38"/>
        <v>1270.6949999999999</v>
      </c>
    </row>
    <row r="880" spans="1:9">
      <c r="A880" s="11">
        <v>61302</v>
      </c>
      <c r="B880" s="12">
        <f t="shared" si="36"/>
        <v>1270.6949999999999</v>
      </c>
      <c r="C880" s="10"/>
      <c r="E880" s="11">
        <v>61302</v>
      </c>
      <c r="F880" s="9">
        <f t="shared" si="37"/>
        <v>1270.6949999999999</v>
      </c>
      <c r="H880" s="11">
        <v>61302</v>
      </c>
      <c r="I880" s="9">
        <f t="shared" si="38"/>
        <v>1270.6949999999999</v>
      </c>
    </row>
    <row r="881" spans="1:9">
      <c r="A881" s="11">
        <v>61332</v>
      </c>
      <c r="B881" s="12">
        <f t="shared" si="36"/>
        <v>1270.6949999999999</v>
      </c>
      <c r="C881" s="10"/>
      <c r="E881" s="11">
        <v>61332</v>
      </c>
      <c r="F881" s="9">
        <f t="shared" si="37"/>
        <v>1270.6949999999999</v>
      </c>
      <c r="H881" s="11">
        <v>61332</v>
      </c>
      <c r="I881" s="9">
        <f t="shared" si="38"/>
        <v>1270.6949999999999</v>
      </c>
    </row>
    <row r="882" spans="1:9">
      <c r="A882" s="11">
        <v>61363</v>
      </c>
      <c r="B882" s="12">
        <f t="shared" si="36"/>
        <v>1270.6949999999999</v>
      </c>
      <c r="C882" s="10"/>
      <c r="E882" s="11">
        <v>61363</v>
      </c>
      <c r="F882" s="9">
        <f t="shared" si="37"/>
        <v>1270.6949999999999</v>
      </c>
      <c r="H882" s="11">
        <v>61363</v>
      </c>
      <c r="I882" s="9">
        <f t="shared" si="38"/>
        <v>1270.6949999999999</v>
      </c>
    </row>
    <row r="883" spans="1:9">
      <c r="A883" s="11">
        <v>61394</v>
      </c>
      <c r="B883" s="12">
        <f t="shared" si="36"/>
        <v>1270.6949999999999</v>
      </c>
      <c r="C883" s="10"/>
      <c r="E883" s="11">
        <v>61394</v>
      </c>
      <c r="F883" s="9">
        <f t="shared" si="37"/>
        <v>1270.6949999999999</v>
      </c>
      <c r="H883" s="11">
        <v>61394</v>
      </c>
      <c r="I883" s="9">
        <f t="shared" si="38"/>
        <v>1270.6949999999999</v>
      </c>
    </row>
    <row r="884" spans="1:9">
      <c r="A884" s="11">
        <v>61423</v>
      </c>
      <c r="B884" s="12">
        <f t="shared" si="36"/>
        <v>1270.6949999999999</v>
      </c>
      <c r="C884" s="10"/>
      <c r="E884" s="11">
        <v>61423</v>
      </c>
      <c r="F884" s="9">
        <f t="shared" si="37"/>
        <v>1270.6949999999999</v>
      </c>
      <c r="H884" s="11">
        <v>61423</v>
      </c>
      <c r="I884" s="9">
        <f t="shared" si="38"/>
        <v>1270.6949999999999</v>
      </c>
    </row>
    <row r="885" spans="1:9">
      <c r="A885" s="11">
        <v>61454</v>
      </c>
      <c r="B885" s="12">
        <f t="shared" si="36"/>
        <v>1270.6949999999999</v>
      </c>
      <c r="C885" s="10"/>
      <c r="E885" s="11">
        <v>61454</v>
      </c>
      <c r="F885" s="9">
        <f t="shared" si="37"/>
        <v>1270.6949999999999</v>
      </c>
      <c r="H885" s="11">
        <v>61454</v>
      </c>
      <c r="I885" s="9">
        <f t="shared" si="38"/>
        <v>1270.6949999999999</v>
      </c>
    </row>
    <row r="886" spans="1:9">
      <c r="A886" s="11">
        <v>61484</v>
      </c>
      <c r="B886" s="12">
        <f t="shared" si="36"/>
        <v>1270.6949999999999</v>
      </c>
      <c r="C886" s="10"/>
      <c r="E886" s="11">
        <v>61484</v>
      </c>
      <c r="F886" s="9">
        <f t="shared" si="37"/>
        <v>1270.6949999999999</v>
      </c>
      <c r="H886" s="11">
        <v>61484</v>
      </c>
      <c r="I886" s="9">
        <f t="shared" si="38"/>
        <v>1270.6949999999999</v>
      </c>
    </row>
    <row r="887" spans="1:9">
      <c r="A887" s="11">
        <v>61515</v>
      </c>
      <c r="B887" s="12">
        <f t="shared" si="36"/>
        <v>1270.6949999999999</v>
      </c>
      <c r="C887" s="10"/>
      <c r="E887" s="11">
        <v>61515</v>
      </c>
      <c r="F887" s="9">
        <f t="shared" si="37"/>
        <v>1270.6949999999999</v>
      </c>
      <c r="H887" s="11">
        <v>61515</v>
      </c>
      <c r="I887" s="9">
        <f t="shared" si="38"/>
        <v>1270.6949999999999</v>
      </c>
    </row>
    <row r="888" spans="1:9">
      <c r="A888" s="11">
        <v>61545</v>
      </c>
      <c r="B888" s="12">
        <f t="shared" si="36"/>
        <v>1270.6949999999999</v>
      </c>
      <c r="C888" s="10"/>
      <c r="E888" s="11">
        <v>61545</v>
      </c>
      <c r="F888" s="9">
        <f t="shared" si="37"/>
        <v>1270.6949999999999</v>
      </c>
      <c r="H888" s="11">
        <v>61545</v>
      </c>
      <c r="I888" s="9">
        <f t="shared" si="38"/>
        <v>1270.6949999999999</v>
      </c>
    </row>
    <row r="889" spans="1:9">
      <c r="A889" s="11">
        <v>61576</v>
      </c>
      <c r="B889" s="12">
        <f t="shared" si="36"/>
        <v>1270.6949999999999</v>
      </c>
      <c r="C889" s="10"/>
      <c r="E889" s="11">
        <v>61576</v>
      </c>
      <c r="F889" s="9">
        <f t="shared" si="37"/>
        <v>1270.6949999999999</v>
      </c>
      <c r="H889" s="11">
        <v>61576</v>
      </c>
      <c r="I889" s="9">
        <f t="shared" si="38"/>
        <v>1270.6949999999999</v>
      </c>
    </row>
    <row r="890" spans="1:9">
      <c r="A890" s="11">
        <v>61607</v>
      </c>
      <c r="B890" s="12">
        <f t="shared" si="36"/>
        <v>1270.6949999999999</v>
      </c>
      <c r="C890" s="10"/>
      <c r="E890" s="11">
        <v>61607</v>
      </c>
      <c r="F890" s="9">
        <f t="shared" si="37"/>
        <v>1270.6949999999999</v>
      </c>
      <c r="H890" s="11">
        <v>61607</v>
      </c>
      <c r="I890" s="9">
        <f t="shared" si="38"/>
        <v>1270.6949999999999</v>
      </c>
    </row>
    <row r="891" spans="1:9">
      <c r="A891" s="11">
        <v>61637</v>
      </c>
      <c r="B891" s="12">
        <f t="shared" si="36"/>
        <v>1270.6949999999999</v>
      </c>
      <c r="C891" s="10"/>
      <c r="E891" s="11">
        <v>61637</v>
      </c>
      <c r="F891" s="9">
        <f t="shared" si="37"/>
        <v>1270.6949999999999</v>
      </c>
      <c r="H891" s="11">
        <v>61637</v>
      </c>
      <c r="I891" s="9">
        <f t="shared" si="38"/>
        <v>1270.6949999999999</v>
      </c>
    </row>
    <row r="892" spans="1:9">
      <c r="A892" s="11">
        <v>61668</v>
      </c>
      <c r="B892" s="12">
        <f t="shared" si="36"/>
        <v>1270.6949999999999</v>
      </c>
      <c r="C892" s="10"/>
      <c r="E892" s="11">
        <v>61668</v>
      </c>
      <c r="F892" s="9">
        <f t="shared" si="37"/>
        <v>1270.6949999999999</v>
      </c>
      <c r="H892" s="11">
        <v>61668</v>
      </c>
      <c r="I892" s="9">
        <f t="shared" si="38"/>
        <v>1270.6949999999999</v>
      </c>
    </row>
    <row r="893" spans="1:9">
      <c r="A893" s="11">
        <v>61698</v>
      </c>
      <c r="B893" s="12">
        <f t="shared" si="36"/>
        <v>1270.6949999999999</v>
      </c>
      <c r="C893" s="10"/>
      <c r="E893" s="11">
        <v>61698</v>
      </c>
      <c r="F893" s="9">
        <f t="shared" si="37"/>
        <v>1270.6949999999999</v>
      </c>
      <c r="H893" s="11">
        <v>61698</v>
      </c>
      <c r="I893" s="9">
        <f t="shared" si="38"/>
        <v>1270.6949999999999</v>
      </c>
    </row>
    <row r="894" spans="1:9">
      <c r="A894" s="11">
        <v>61729</v>
      </c>
      <c r="B894" s="12">
        <f t="shared" si="36"/>
        <v>1270.6949999999999</v>
      </c>
      <c r="C894" s="10"/>
      <c r="E894" s="11">
        <v>61729</v>
      </c>
      <c r="F894" s="9">
        <f t="shared" si="37"/>
        <v>1270.6949999999999</v>
      </c>
      <c r="H894" s="11">
        <v>61729</v>
      </c>
      <c r="I894" s="9">
        <f t="shared" si="38"/>
        <v>1270.6949999999999</v>
      </c>
    </row>
    <row r="895" spans="1:9">
      <c r="A895" s="11">
        <v>61760</v>
      </c>
      <c r="B895" s="12">
        <f t="shared" si="36"/>
        <v>1270.6949999999999</v>
      </c>
      <c r="C895" s="10"/>
      <c r="E895" s="11">
        <v>61760</v>
      </c>
      <c r="F895" s="9">
        <f t="shared" si="37"/>
        <v>1270.6949999999999</v>
      </c>
      <c r="H895" s="11">
        <v>61760</v>
      </c>
      <c r="I895" s="9">
        <f t="shared" si="38"/>
        <v>1270.6949999999999</v>
      </c>
    </row>
    <row r="896" spans="1:9">
      <c r="A896" s="11">
        <v>61788</v>
      </c>
      <c r="B896" s="12">
        <f t="shared" si="36"/>
        <v>1270.6949999999999</v>
      </c>
      <c r="C896" s="10"/>
      <c r="E896" s="11">
        <v>61788</v>
      </c>
      <c r="F896" s="9">
        <f t="shared" si="37"/>
        <v>1270.6949999999999</v>
      </c>
      <c r="H896" s="11">
        <v>61788</v>
      </c>
      <c r="I896" s="9">
        <f t="shared" si="38"/>
        <v>1270.6949999999999</v>
      </c>
    </row>
    <row r="897" spans="1:9">
      <c r="A897" s="11">
        <v>61819</v>
      </c>
      <c r="B897" s="12">
        <f t="shared" si="36"/>
        <v>1270.6949999999999</v>
      </c>
      <c r="C897" s="10"/>
      <c r="E897" s="11">
        <v>61819</v>
      </c>
      <c r="F897" s="9">
        <f t="shared" si="37"/>
        <v>1270.6949999999999</v>
      </c>
      <c r="H897" s="11">
        <v>61819</v>
      </c>
      <c r="I897" s="9">
        <f t="shared" si="38"/>
        <v>1270.6949999999999</v>
      </c>
    </row>
    <row r="898" spans="1:9">
      <c r="A898" s="11">
        <v>61849</v>
      </c>
      <c r="B898" s="12">
        <f t="shared" si="36"/>
        <v>1270.6949999999999</v>
      </c>
      <c r="C898" s="10"/>
      <c r="E898" s="11">
        <v>61849</v>
      </c>
      <c r="F898" s="9">
        <f t="shared" si="37"/>
        <v>1270.6949999999999</v>
      </c>
      <c r="H898" s="11">
        <v>61849</v>
      </c>
      <c r="I898" s="9">
        <f t="shared" si="38"/>
        <v>1270.6949999999999</v>
      </c>
    </row>
    <row r="899" spans="1:9">
      <c r="A899" s="11">
        <v>61880</v>
      </c>
      <c r="B899" s="12">
        <f t="shared" si="36"/>
        <v>1270.6949999999999</v>
      </c>
      <c r="C899" s="10"/>
      <c r="E899" s="11">
        <v>61880</v>
      </c>
      <c r="F899" s="9">
        <f t="shared" si="37"/>
        <v>1270.6949999999999</v>
      </c>
      <c r="H899" s="11">
        <v>61880</v>
      </c>
      <c r="I899" s="9">
        <f t="shared" si="38"/>
        <v>1270.6949999999999</v>
      </c>
    </row>
    <row r="900" spans="1:9">
      <c r="A900" s="11">
        <v>61910</v>
      </c>
      <c r="B900" s="12">
        <f t="shared" si="36"/>
        <v>1270.6949999999999</v>
      </c>
      <c r="C900" s="10"/>
      <c r="E900" s="11">
        <v>61910</v>
      </c>
      <c r="F900" s="9">
        <f t="shared" si="37"/>
        <v>1270.6949999999999</v>
      </c>
      <c r="H900" s="11">
        <v>61910</v>
      </c>
      <c r="I900" s="9">
        <f t="shared" si="38"/>
        <v>1270.6949999999999</v>
      </c>
    </row>
    <row r="901" spans="1:9">
      <c r="A901" s="11">
        <v>61941</v>
      </c>
      <c r="B901" s="12">
        <f t="shared" si="36"/>
        <v>1270.6949999999999</v>
      </c>
      <c r="C901" s="10"/>
      <c r="E901" s="11">
        <v>61941</v>
      </c>
      <c r="F901" s="9">
        <f t="shared" si="37"/>
        <v>1270.6949999999999</v>
      </c>
      <c r="H901" s="11">
        <v>61941</v>
      </c>
      <c r="I901" s="9">
        <f t="shared" si="38"/>
        <v>1270.6949999999999</v>
      </c>
    </row>
    <row r="902" spans="1:9">
      <c r="A902" s="11">
        <v>61972</v>
      </c>
      <c r="B902" s="12">
        <f t="shared" si="36"/>
        <v>1270.6949999999999</v>
      </c>
      <c r="C902" s="10"/>
      <c r="E902" s="11">
        <v>61972</v>
      </c>
      <c r="F902" s="9">
        <f t="shared" si="37"/>
        <v>1270.6949999999999</v>
      </c>
      <c r="H902" s="11">
        <v>61972</v>
      </c>
      <c r="I902" s="9">
        <f t="shared" si="38"/>
        <v>1270.6949999999999</v>
      </c>
    </row>
    <row r="903" spans="1:9">
      <c r="A903" s="11">
        <v>62002</v>
      </c>
      <c r="B903" s="12">
        <f t="shared" si="36"/>
        <v>1270.6949999999999</v>
      </c>
      <c r="C903" s="10"/>
      <c r="E903" s="11">
        <v>62002</v>
      </c>
      <c r="F903" s="9">
        <f t="shared" si="37"/>
        <v>1270.6949999999999</v>
      </c>
      <c r="H903" s="11">
        <v>62002</v>
      </c>
      <c r="I903" s="9">
        <f t="shared" si="38"/>
        <v>1270.6949999999999</v>
      </c>
    </row>
    <row r="904" spans="1:9">
      <c r="A904" s="11">
        <v>62033</v>
      </c>
      <c r="B904" s="12">
        <f t="shared" si="36"/>
        <v>1270.6949999999999</v>
      </c>
      <c r="C904" s="10"/>
      <c r="E904" s="11">
        <v>62033</v>
      </c>
      <c r="F904" s="9">
        <f t="shared" si="37"/>
        <v>1270.6949999999999</v>
      </c>
      <c r="H904" s="11">
        <v>62033</v>
      </c>
      <c r="I904" s="9">
        <f t="shared" si="38"/>
        <v>1270.6949999999999</v>
      </c>
    </row>
    <row r="905" spans="1:9">
      <c r="A905" s="11">
        <v>62063</v>
      </c>
      <c r="B905" s="12">
        <f t="shared" si="36"/>
        <v>1270.6949999999999</v>
      </c>
      <c r="C905" s="10"/>
      <c r="E905" s="11">
        <v>62063</v>
      </c>
      <c r="F905" s="9">
        <f t="shared" si="37"/>
        <v>1270.6949999999999</v>
      </c>
      <c r="H905" s="11">
        <v>62063</v>
      </c>
      <c r="I905" s="9">
        <f t="shared" si="38"/>
        <v>1270.6949999999999</v>
      </c>
    </row>
    <row r="906" spans="1:9">
      <c r="A906" s="11">
        <v>62094</v>
      </c>
      <c r="B906" s="12">
        <f t="shared" si="36"/>
        <v>1270.6949999999999</v>
      </c>
      <c r="C906" s="10"/>
      <c r="E906" s="11">
        <v>62094</v>
      </c>
      <c r="F906" s="9">
        <f t="shared" si="37"/>
        <v>1270.6949999999999</v>
      </c>
      <c r="H906" s="11">
        <v>62094</v>
      </c>
      <c r="I906" s="9">
        <f t="shared" si="38"/>
        <v>1270.6949999999999</v>
      </c>
    </row>
    <row r="907" spans="1:9">
      <c r="A907" s="11">
        <v>62125</v>
      </c>
      <c r="B907" s="12">
        <f t="shared" si="36"/>
        <v>1270.6949999999999</v>
      </c>
      <c r="C907" s="10"/>
      <c r="E907" s="11">
        <v>62125</v>
      </c>
      <c r="F907" s="9">
        <f t="shared" si="37"/>
        <v>1270.6949999999999</v>
      </c>
      <c r="H907" s="11">
        <v>62125</v>
      </c>
      <c r="I907" s="9">
        <f t="shared" si="38"/>
        <v>1270.6949999999999</v>
      </c>
    </row>
    <row r="908" spans="1:9">
      <c r="A908" s="11">
        <v>62153</v>
      </c>
      <c r="B908" s="12">
        <f t="shared" si="36"/>
        <v>1270.6949999999999</v>
      </c>
      <c r="C908" s="10"/>
      <c r="E908" s="11">
        <v>62153</v>
      </c>
      <c r="F908" s="9">
        <f t="shared" si="37"/>
        <v>1270.6949999999999</v>
      </c>
      <c r="H908" s="11">
        <v>62153</v>
      </c>
      <c r="I908" s="9">
        <f t="shared" si="38"/>
        <v>1270.6949999999999</v>
      </c>
    </row>
    <row r="909" spans="1:9">
      <c r="A909" s="11">
        <v>62184</v>
      </c>
      <c r="B909" s="12">
        <f t="shared" si="36"/>
        <v>1270.6949999999999</v>
      </c>
      <c r="C909" s="10"/>
      <c r="E909" s="11">
        <v>62184</v>
      </c>
      <c r="F909" s="9">
        <f t="shared" si="37"/>
        <v>1270.6949999999999</v>
      </c>
      <c r="H909" s="11">
        <v>62184</v>
      </c>
      <c r="I909" s="9">
        <f t="shared" si="38"/>
        <v>1270.6949999999999</v>
      </c>
    </row>
    <row r="910" spans="1:9">
      <c r="A910" s="11">
        <v>62214</v>
      </c>
      <c r="B910" s="12">
        <f t="shared" si="36"/>
        <v>1270.6949999999999</v>
      </c>
      <c r="C910" s="10"/>
      <c r="E910" s="11">
        <v>62214</v>
      </c>
      <c r="F910" s="9">
        <f t="shared" si="37"/>
        <v>1270.6949999999999</v>
      </c>
      <c r="H910" s="11">
        <v>62214</v>
      </c>
      <c r="I910" s="9">
        <f t="shared" si="38"/>
        <v>1270.6949999999999</v>
      </c>
    </row>
    <row r="911" spans="1:9">
      <c r="A911" s="11">
        <v>62245</v>
      </c>
      <c r="B911" s="12">
        <f t="shared" si="36"/>
        <v>1270.6949999999999</v>
      </c>
      <c r="C911" s="10"/>
      <c r="E911" s="11">
        <v>62245</v>
      </c>
      <c r="F911" s="9">
        <f t="shared" si="37"/>
        <v>1270.6949999999999</v>
      </c>
      <c r="H911" s="11">
        <v>62245</v>
      </c>
      <c r="I911" s="9">
        <f t="shared" si="38"/>
        <v>1270.6949999999999</v>
      </c>
    </row>
    <row r="912" spans="1:9">
      <c r="A912" s="11">
        <v>62275</v>
      </c>
      <c r="B912" s="12">
        <f t="shared" si="36"/>
        <v>1270.6949999999999</v>
      </c>
      <c r="C912" s="10"/>
      <c r="E912" s="11">
        <v>62275</v>
      </c>
      <c r="F912" s="9">
        <f t="shared" si="37"/>
        <v>1270.6949999999999</v>
      </c>
      <c r="H912" s="11">
        <v>62275</v>
      </c>
      <c r="I912" s="9">
        <f t="shared" si="38"/>
        <v>1270.6949999999999</v>
      </c>
    </row>
    <row r="913" spans="1:9">
      <c r="A913" s="11">
        <v>62306</v>
      </c>
      <c r="B913" s="12">
        <f t="shared" si="36"/>
        <v>1270.6949999999999</v>
      </c>
      <c r="C913" s="10"/>
      <c r="E913" s="11">
        <v>62306</v>
      </c>
      <c r="F913" s="9">
        <f t="shared" si="37"/>
        <v>1270.6949999999999</v>
      </c>
      <c r="H913" s="11">
        <v>62306</v>
      </c>
      <c r="I913" s="9">
        <f t="shared" si="38"/>
        <v>1270.6949999999999</v>
      </c>
    </row>
    <row r="914" spans="1:9">
      <c r="A914" s="11">
        <v>62337</v>
      </c>
      <c r="B914" s="12">
        <f t="shared" si="36"/>
        <v>1270.6949999999999</v>
      </c>
      <c r="C914" s="10"/>
      <c r="E914" s="11">
        <v>62337</v>
      </c>
      <c r="F914" s="9">
        <f t="shared" si="37"/>
        <v>1270.6949999999999</v>
      </c>
      <c r="H914" s="11">
        <v>62337</v>
      </c>
      <c r="I914" s="9">
        <f t="shared" si="38"/>
        <v>1270.6949999999999</v>
      </c>
    </row>
    <row r="915" spans="1:9">
      <c r="A915" s="11">
        <v>62367</v>
      </c>
      <c r="B915" s="12">
        <f t="shared" si="36"/>
        <v>1270.6949999999999</v>
      </c>
      <c r="C915" s="10"/>
      <c r="E915" s="11">
        <v>62367</v>
      </c>
      <c r="F915" s="9">
        <f t="shared" si="37"/>
        <v>1270.6949999999999</v>
      </c>
      <c r="H915" s="11">
        <v>62367</v>
      </c>
      <c r="I915" s="9">
        <f t="shared" si="38"/>
        <v>1270.6949999999999</v>
      </c>
    </row>
    <row r="916" spans="1:9">
      <c r="A916" s="11">
        <v>62398</v>
      </c>
      <c r="B916" s="12">
        <f t="shared" si="36"/>
        <v>1270.6949999999999</v>
      </c>
      <c r="C916" s="10"/>
      <c r="E916" s="11">
        <v>62398</v>
      </c>
      <c r="F916" s="9">
        <f t="shared" si="37"/>
        <v>1270.6949999999999</v>
      </c>
      <c r="H916" s="11">
        <v>62398</v>
      </c>
      <c r="I916" s="9">
        <f t="shared" si="38"/>
        <v>1270.6949999999999</v>
      </c>
    </row>
    <row r="917" spans="1:9">
      <c r="A917" s="11">
        <v>62428</v>
      </c>
      <c r="B917" s="12">
        <f t="shared" si="36"/>
        <v>1270.6949999999999</v>
      </c>
      <c r="C917" s="10"/>
      <c r="E917" s="11">
        <v>62428</v>
      </c>
      <c r="F917" s="9">
        <f t="shared" si="37"/>
        <v>1270.6949999999999</v>
      </c>
      <c r="H917" s="11">
        <v>62428</v>
      </c>
      <c r="I917" s="9">
        <f t="shared" si="38"/>
        <v>1270.6949999999999</v>
      </c>
    </row>
    <row r="918" spans="1:9">
      <c r="A918" s="11">
        <v>62459</v>
      </c>
      <c r="B918" s="12">
        <f t="shared" si="36"/>
        <v>1270.6949999999999</v>
      </c>
      <c r="C918" s="10"/>
      <c r="E918" s="11">
        <v>62459</v>
      </c>
      <c r="F918" s="9">
        <f t="shared" si="37"/>
        <v>1270.6949999999999</v>
      </c>
      <c r="H918" s="11">
        <v>62459</v>
      </c>
      <c r="I918" s="9">
        <f t="shared" si="38"/>
        <v>1270.6949999999999</v>
      </c>
    </row>
    <row r="919" spans="1:9">
      <c r="A919" s="11">
        <v>62490</v>
      </c>
      <c r="B919" s="12">
        <f t="shared" si="36"/>
        <v>1270.6949999999999</v>
      </c>
      <c r="C919" s="10"/>
      <c r="E919" s="11">
        <v>62490</v>
      </c>
      <c r="F919" s="9">
        <f t="shared" si="37"/>
        <v>1270.6949999999999</v>
      </c>
      <c r="H919" s="11">
        <v>62490</v>
      </c>
      <c r="I919" s="9">
        <f t="shared" si="38"/>
        <v>1270.6949999999999</v>
      </c>
    </row>
    <row r="920" spans="1:9">
      <c r="A920" s="11">
        <v>62518</v>
      </c>
      <c r="B920" s="12">
        <f t="shared" si="36"/>
        <v>1270.6949999999999</v>
      </c>
      <c r="C920" s="10"/>
      <c r="E920" s="11">
        <v>62518</v>
      </c>
      <c r="F920" s="9">
        <f t="shared" si="37"/>
        <v>1270.6949999999999</v>
      </c>
      <c r="H920" s="11">
        <v>62518</v>
      </c>
      <c r="I920" s="9">
        <f t="shared" si="38"/>
        <v>1270.6949999999999</v>
      </c>
    </row>
    <row r="921" spans="1:9">
      <c r="A921" s="11">
        <v>62549</v>
      </c>
      <c r="B921" s="12">
        <f t="shared" si="36"/>
        <v>1270.6949999999999</v>
      </c>
      <c r="C921" s="10"/>
      <c r="E921" s="11">
        <v>62549</v>
      </c>
      <c r="F921" s="9">
        <f t="shared" si="37"/>
        <v>1270.6949999999999</v>
      </c>
      <c r="H921" s="11">
        <v>62549</v>
      </c>
      <c r="I921" s="9">
        <f t="shared" si="38"/>
        <v>1270.6949999999999</v>
      </c>
    </row>
    <row r="922" spans="1:9">
      <c r="A922" s="11">
        <v>62579</v>
      </c>
      <c r="B922" s="12">
        <f t="shared" si="36"/>
        <v>1270.6949999999999</v>
      </c>
      <c r="C922" s="10"/>
      <c r="E922" s="11">
        <v>62579</v>
      </c>
      <c r="F922" s="9">
        <f t="shared" si="37"/>
        <v>1270.6949999999999</v>
      </c>
      <c r="H922" s="11">
        <v>62579</v>
      </c>
      <c r="I922" s="9">
        <f t="shared" si="38"/>
        <v>1270.6949999999999</v>
      </c>
    </row>
    <row r="923" spans="1:9">
      <c r="A923" s="11">
        <v>62610</v>
      </c>
      <c r="B923" s="12">
        <f t="shared" si="36"/>
        <v>1270.6949999999999</v>
      </c>
      <c r="C923" s="10"/>
      <c r="E923" s="11">
        <v>62610</v>
      </c>
      <c r="F923" s="9">
        <f t="shared" si="37"/>
        <v>1270.6949999999999</v>
      </c>
      <c r="H923" s="11">
        <v>62610</v>
      </c>
      <c r="I923" s="9">
        <f t="shared" si="38"/>
        <v>1270.6949999999999</v>
      </c>
    </row>
    <row r="924" spans="1:9">
      <c r="A924" s="11">
        <v>62640</v>
      </c>
      <c r="B924" s="12">
        <f t="shared" si="36"/>
        <v>1270.6949999999999</v>
      </c>
      <c r="C924" s="10"/>
      <c r="E924" s="11">
        <v>62640</v>
      </c>
      <c r="F924" s="9">
        <f t="shared" si="37"/>
        <v>1270.6949999999999</v>
      </c>
      <c r="H924" s="11">
        <v>62640</v>
      </c>
      <c r="I924" s="9">
        <f t="shared" si="38"/>
        <v>1270.6949999999999</v>
      </c>
    </row>
    <row r="925" spans="1:9">
      <c r="A925" s="11">
        <v>62671</v>
      </c>
      <c r="B925" s="12">
        <f t="shared" si="36"/>
        <v>1270.6949999999999</v>
      </c>
      <c r="C925" s="10"/>
      <c r="E925" s="11">
        <v>62671</v>
      </c>
      <c r="F925" s="9">
        <f t="shared" si="37"/>
        <v>1270.6949999999999</v>
      </c>
      <c r="H925" s="11">
        <v>62671</v>
      </c>
      <c r="I925" s="9">
        <f t="shared" si="38"/>
        <v>1270.6949999999999</v>
      </c>
    </row>
    <row r="926" spans="1:9">
      <c r="A926" s="11">
        <v>62702</v>
      </c>
      <c r="B926" s="12">
        <f t="shared" si="36"/>
        <v>1270.6949999999999</v>
      </c>
      <c r="C926" s="10"/>
      <c r="E926" s="11">
        <v>62702</v>
      </c>
      <c r="F926" s="9">
        <f t="shared" si="37"/>
        <v>1270.6949999999999</v>
      </c>
      <c r="H926" s="11">
        <v>62702</v>
      </c>
      <c r="I926" s="9">
        <f t="shared" si="38"/>
        <v>1270.6949999999999</v>
      </c>
    </row>
    <row r="927" spans="1:9">
      <c r="A927" s="11">
        <v>62732</v>
      </c>
      <c r="B927" s="12">
        <f t="shared" si="36"/>
        <v>1270.6949999999999</v>
      </c>
      <c r="C927" s="10"/>
      <c r="E927" s="11">
        <v>62732</v>
      </c>
      <c r="F927" s="9">
        <f t="shared" si="37"/>
        <v>1270.6949999999999</v>
      </c>
      <c r="H927" s="11">
        <v>62732</v>
      </c>
      <c r="I927" s="9">
        <f t="shared" si="38"/>
        <v>1270.6949999999999</v>
      </c>
    </row>
    <row r="928" spans="1:9">
      <c r="A928" s="11">
        <v>62763</v>
      </c>
      <c r="B928" s="12">
        <f t="shared" si="36"/>
        <v>1270.6949999999999</v>
      </c>
      <c r="C928" s="10"/>
      <c r="E928" s="11">
        <v>62763</v>
      </c>
      <c r="F928" s="9">
        <f t="shared" si="37"/>
        <v>1270.6949999999999</v>
      </c>
      <c r="H928" s="11">
        <v>62763</v>
      </c>
      <c r="I928" s="9">
        <f t="shared" si="38"/>
        <v>1270.6949999999999</v>
      </c>
    </row>
    <row r="929" spans="1:9">
      <c r="A929" s="11">
        <v>62793</v>
      </c>
      <c r="B929" s="12">
        <f t="shared" ref="B929:B992" si="39">B928</f>
        <v>1270.6949999999999</v>
      </c>
      <c r="C929" s="10"/>
      <c r="E929" s="11">
        <v>62793</v>
      </c>
      <c r="F929" s="9">
        <f t="shared" si="37"/>
        <v>1270.6949999999999</v>
      </c>
      <c r="H929" s="11">
        <v>62793</v>
      </c>
      <c r="I929" s="9">
        <f t="shared" si="38"/>
        <v>1270.6949999999999</v>
      </c>
    </row>
    <row r="930" spans="1:9">
      <c r="A930" s="11">
        <v>62824</v>
      </c>
      <c r="B930" s="12">
        <f t="shared" si="39"/>
        <v>1270.6949999999999</v>
      </c>
      <c r="C930" s="10"/>
      <c r="E930" s="11">
        <v>62824</v>
      </c>
      <c r="F930" s="9">
        <f t="shared" si="37"/>
        <v>1270.6949999999999</v>
      </c>
      <c r="H930" s="11">
        <v>62824</v>
      </c>
      <c r="I930" s="9">
        <f t="shared" si="38"/>
        <v>1270.6949999999999</v>
      </c>
    </row>
    <row r="931" spans="1:9">
      <c r="A931" s="11">
        <v>62855</v>
      </c>
      <c r="B931" s="12">
        <f t="shared" si="39"/>
        <v>1270.6949999999999</v>
      </c>
      <c r="C931" s="10"/>
      <c r="E931" s="11">
        <v>62855</v>
      </c>
      <c r="F931" s="9">
        <f t="shared" si="37"/>
        <v>1270.6949999999999</v>
      </c>
      <c r="H931" s="11">
        <v>62855</v>
      </c>
      <c r="I931" s="9">
        <f t="shared" si="38"/>
        <v>1270.6949999999999</v>
      </c>
    </row>
    <row r="932" spans="1:9">
      <c r="A932" s="11">
        <v>62884</v>
      </c>
      <c r="B932" s="12">
        <f t="shared" si="39"/>
        <v>1270.6949999999999</v>
      </c>
      <c r="C932" s="10"/>
      <c r="E932" s="11">
        <v>62884</v>
      </c>
      <c r="F932" s="9">
        <f t="shared" si="37"/>
        <v>1270.6949999999999</v>
      </c>
      <c r="H932" s="11">
        <v>62884</v>
      </c>
      <c r="I932" s="9">
        <f t="shared" si="38"/>
        <v>1270.6949999999999</v>
      </c>
    </row>
    <row r="933" spans="1:9">
      <c r="A933" s="11">
        <v>62915</v>
      </c>
      <c r="B933" s="12">
        <f t="shared" si="39"/>
        <v>1270.6949999999999</v>
      </c>
      <c r="C933" s="10"/>
      <c r="E933" s="11">
        <v>62915</v>
      </c>
      <c r="F933" s="9">
        <f t="shared" si="37"/>
        <v>1270.6949999999999</v>
      </c>
      <c r="H933" s="11">
        <v>62915</v>
      </c>
      <c r="I933" s="9">
        <f t="shared" si="38"/>
        <v>1270.6949999999999</v>
      </c>
    </row>
    <row r="934" spans="1:9">
      <c r="A934" s="11">
        <v>62945</v>
      </c>
      <c r="B934" s="12">
        <f t="shared" si="39"/>
        <v>1270.6949999999999</v>
      </c>
      <c r="C934" s="10"/>
      <c r="E934" s="11">
        <v>62945</v>
      </c>
      <c r="F934" s="9">
        <f t="shared" si="37"/>
        <v>1270.6949999999999</v>
      </c>
      <c r="H934" s="11">
        <v>62945</v>
      </c>
      <c r="I934" s="9">
        <f t="shared" si="38"/>
        <v>1270.6949999999999</v>
      </c>
    </row>
    <row r="935" spans="1:9">
      <c r="A935" s="11">
        <v>62976</v>
      </c>
      <c r="B935" s="12">
        <f t="shared" si="39"/>
        <v>1270.6949999999999</v>
      </c>
      <c r="C935" s="10"/>
      <c r="E935" s="11">
        <v>62976</v>
      </c>
      <c r="F935" s="9">
        <f t="shared" si="37"/>
        <v>1270.6949999999999</v>
      </c>
      <c r="H935" s="11">
        <v>62976</v>
      </c>
      <c r="I935" s="9">
        <f t="shared" si="38"/>
        <v>1270.6949999999999</v>
      </c>
    </row>
    <row r="936" spans="1:9">
      <c r="A936" s="11">
        <v>63006</v>
      </c>
      <c r="B936" s="12">
        <f t="shared" si="39"/>
        <v>1270.6949999999999</v>
      </c>
      <c r="C936" s="10"/>
      <c r="E936" s="11">
        <v>63006</v>
      </c>
      <c r="F936" s="9">
        <f t="shared" si="37"/>
        <v>1270.6949999999999</v>
      </c>
      <c r="H936" s="11">
        <v>63006</v>
      </c>
      <c r="I936" s="9">
        <f t="shared" si="38"/>
        <v>1270.6949999999999</v>
      </c>
    </row>
    <row r="937" spans="1:9">
      <c r="A937" s="11">
        <v>63037</v>
      </c>
      <c r="B937" s="12">
        <f t="shared" si="39"/>
        <v>1270.6949999999999</v>
      </c>
      <c r="C937" s="10"/>
      <c r="E937" s="11">
        <v>63037</v>
      </c>
      <c r="F937" s="9">
        <f t="shared" si="37"/>
        <v>1270.6949999999999</v>
      </c>
      <c r="H937" s="11">
        <v>63037</v>
      </c>
      <c r="I937" s="9">
        <f t="shared" si="38"/>
        <v>1270.6949999999999</v>
      </c>
    </row>
    <row r="938" spans="1:9">
      <c r="A938" s="11">
        <v>63068</v>
      </c>
      <c r="B938" s="12">
        <f t="shared" si="39"/>
        <v>1270.6949999999999</v>
      </c>
      <c r="C938" s="10"/>
      <c r="E938" s="11">
        <v>63068</v>
      </c>
      <c r="F938" s="9">
        <f t="shared" si="37"/>
        <v>1270.6949999999999</v>
      </c>
      <c r="H938" s="11">
        <v>63068</v>
      </c>
      <c r="I938" s="9">
        <f t="shared" si="38"/>
        <v>1270.6949999999999</v>
      </c>
    </row>
    <row r="939" spans="1:9">
      <c r="A939" s="11">
        <v>63098</v>
      </c>
      <c r="B939" s="12">
        <f t="shared" si="39"/>
        <v>1270.6949999999999</v>
      </c>
      <c r="C939" s="10"/>
      <c r="E939" s="11">
        <v>63098</v>
      </c>
      <c r="F939" s="9">
        <f t="shared" ref="F939:F1002" si="40">B938</f>
        <v>1270.6949999999999</v>
      </c>
      <c r="H939" s="11">
        <v>63098</v>
      </c>
      <c r="I939" s="9">
        <f t="shared" ref="I939:I1002" si="41">B937</f>
        <v>1270.6949999999999</v>
      </c>
    </row>
    <row r="940" spans="1:9">
      <c r="A940" s="11">
        <v>63129</v>
      </c>
      <c r="B940" s="12">
        <f t="shared" si="39"/>
        <v>1270.6949999999999</v>
      </c>
      <c r="C940" s="10"/>
      <c r="E940" s="11">
        <v>63129</v>
      </c>
      <c r="F940" s="9">
        <f t="shared" si="40"/>
        <v>1270.6949999999999</v>
      </c>
      <c r="H940" s="11">
        <v>63129</v>
      </c>
      <c r="I940" s="9">
        <f t="shared" si="41"/>
        <v>1270.6949999999999</v>
      </c>
    </row>
    <row r="941" spans="1:9">
      <c r="A941" s="11">
        <v>63159</v>
      </c>
      <c r="B941" s="12">
        <f t="shared" si="39"/>
        <v>1270.6949999999999</v>
      </c>
      <c r="C941" s="10"/>
      <c r="E941" s="11">
        <v>63159</v>
      </c>
      <c r="F941" s="9">
        <f t="shared" si="40"/>
        <v>1270.6949999999999</v>
      </c>
      <c r="H941" s="11">
        <v>63159</v>
      </c>
      <c r="I941" s="9">
        <f t="shared" si="41"/>
        <v>1270.6949999999999</v>
      </c>
    </row>
    <row r="942" spans="1:9">
      <c r="A942" s="11">
        <v>63190</v>
      </c>
      <c r="B942" s="12">
        <f t="shared" si="39"/>
        <v>1270.6949999999999</v>
      </c>
      <c r="C942" s="10"/>
      <c r="E942" s="11">
        <v>63190</v>
      </c>
      <c r="F942" s="9">
        <f t="shared" si="40"/>
        <v>1270.6949999999999</v>
      </c>
      <c r="H942" s="11">
        <v>63190</v>
      </c>
      <c r="I942" s="9">
        <f t="shared" si="41"/>
        <v>1270.6949999999999</v>
      </c>
    </row>
    <row r="943" spans="1:9">
      <c r="A943" s="11">
        <v>63221</v>
      </c>
      <c r="B943" s="12">
        <f t="shared" si="39"/>
        <v>1270.6949999999999</v>
      </c>
      <c r="C943" s="10"/>
      <c r="E943" s="11">
        <v>63221</v>
      </c>
      <c r="F943" s="9">
        <f t="shared" si="40"/>
        <v>1270.6949999999999</v>
      </c>
      <c r="H943" s="11">
        <v>63221</v>
      </c>
      <c r="I943" s="9">
        <f t="shared" si="41"/>
        <v>1270.6949999999999</v>
      </c>
    </row>
    <row r="944" spans="1:9">
      <c r="A944" s="11">
        <v>63249</v>
      </c>
      <c r="B944" s="12">
        <f t="shared" si="39"/>
        <v>1270.6949999999999</v>
      </c>
      <c r="C944" s="10"/>
      <c r="E944" s="11">
        <v>63249</v>
      </c>
      <c r="F944" s="9">
        <f t="shared" si="40"/>
        <v>1270.6949999999999</v>
      </c>
      <c r="H944" s="11">
        <v>63249</v>
      </c>
      <c r="I944" s="9">
        <f t="shared" si="41"/>
        <v>1270.6949999999999</v>
      </c>
    </row>
    <row r="945" spans="1:9">
      <c r="A945" s="11">
        <v>63280</v>
      </c>
      <c r="B945" s="12">
        <f t="shared" si="39"/>
        <v>1270.6949999999999</v>
      </c>
      <c r="C945" s="10"/>
      <c r="E945" s="11">
        <v>63280</v>
      </c>
      <c r="F945" s="9">
        <f t="shared" si="40"/>
        <v>1270.6949999999999</v>
      </c>
      <c r="H945" s="11">
        <v>63280</v>
      </c>
      <c r="I945" s="9">
        <f t="shared" si="41"/>
        <v>1270.6949999999999</v>
      </c>
    </row>
    <row r="946" spans="1:9">
      <c r="A946" s="11">
        <v>63310</v>
      </c>
      <c r="B946" s="12">
        <f t="shared" si="39"/>
        <v>1270.6949999999999</v>
      </c>
      <c r="C946" s="10"/>
      <c r="E946" s="11">
        <v>63310</v>
      </c>
      <c r="F946" s="9">
        <f t="shared" si="40"/>
        <v>1270.6949999999999</v>
      </c>
      <c r="H946" s="11">
        <v>63310</v>
      </c>
      <c r="I946" s="9">
        <f t="shared" si="41"/>
        <v>1270.6949999999999</v>
      </c>
    </row>
    <row r="947" spans="1:9">
      <c r="A947" s="11">
        <v>63341</v>
      </c>
      <c r="B947" s="12">
        <f t="shared" si="39"/>
        <v>1270.6949999999999</v>
      </c>
      <c r="C947" s="10"/>
      <c r="E947" s="11">
        <v>63341</v>
      </c>
      <c r="F947" s="9">
        <f t="shared" si="40"/>
        <v>1270.6949999999999</v>
      </c>
      <c r="H947" s="11">
        <v>63341</v>
      </c>
      <c r="I947" s="9">
        <f t="shared" si="41"/>
        <v>1270.6949999999999</v>
      </c>
    </row>
    <row r="948" spans="1:9">
      <c r="A948" s="11">
        <v>63371</v>
      </c>
      <c r="B948" s="12">
        <f t="shared" si="39"/>
        <v>1270.6949999999999</v>
      </c>
      <c r="C948" s="10"/>
      <c r="E948" s="11">
        <v>63371</v>
      </c>
      <c r="F948" s="9">
        <f t="shared" si="40"/>
        <v>1270.6949999999999</v>
      </c>
      <c r="H948" s="11">
        <v>63371</v>
      </c>
      <c r="I948" s="9">
        <f t="shared" si="41"/>
        <v>1270.6949999999999</v>
      </c>
    </row>
    <row r="949" spans="1:9">
      <c r="A949" s="11">
        <v>63402</v>
      </c>
      <c r="B949" s="12">
        <f t="shared" si="39"/>
        <v>1270.6949999999999</v>
      </c>
      <c r="C949" s="10"/>
      <c r="E949" s="11">
        <v>63402</v>
      </c>
      <c r="F949" s="9">
        <f t="shared" si="40"/>
        <v>1270.6949999999999</v>
      </c>
      <c r="H949" s="11">
        <v>63402</v>
      </c>
      <c r="I949" s="9">
        <f t="shared" si="41"/>
        <v>1270.6949999999999</v>
      </c>
    </row>
    <row r="950" spans="1:9">
      <c r="A950" s="11">
        <v>63433</v>
      </c>
      <c r="B950" s="12">
        <f t="shared" si="39"/>
        <v>1270.6949999999999</v>
      </c>
      <c r="C950" s="10"/>
      <c r="E950" s="11">
        <v>63433</v>
      </c>
      <c r="F950" s="9">
        <f t="shared" si="40"/>
        <v>1270.6949999999999</v>
      </c>
      <c r="H950" s="11">
        <v>63433</v>
      </c>
      <c r="I950" s="9">
        <f t="shared" si="41"/>
        <v>1270.6949999999999</v>
      </c>
    </row>
    <row r="951" spans="1:9">
      <c r="A951" s="11">
        <v>63463</v>
      </c>
      <c r="B951" s="12">
        <f t="shared" si="39"/>
        <v>1270.6949999999999</v>
      </c>
      <c r="C951" s="10"/>
      <c r="E951" s="11">
        <v>63463</v>
      </c>
      <c r="F951" s="9">
        <f t="shared" si="40"/>
        <v>1270.6949999999999</v>
      </c>
      <c r="H951" s="11">
        <v>63463</v>
      </c>
      <c r="I951" s="9">
        <f t="shared" si="41"/>
        <v>1270.6949999999999</v>
      </c>
    </row>
    <row r="952" spans="1:9">
      <c r="A952" s="11">
        <v>63494</v>
      </c>
      <c r="B952" s="12">
        <f t="shared" si="39"/>
        <v>1270.6949999999999</v>
      </c>
      <c r="C952" s="10"/>
      <c r="E952" s="11">
        <v>63494</v>
      </c>
      <c r="F952" s="9">
        <f t="shared" si="40"/>
        <v>1270.6949999999999</v>
      </c>
      <c r="H952" s="11">
        <v>63494</v>
      </c>
      <c r="I952" s="9">
        <f t="shared" si="41"/>
        <v>1270.6949999999999</v>
      </c>
    </row>
    <row r="953" spans="1:9">
      <c r="A953" s="11">
        <v>63524</v>
      </c>
      <c r="B953" s="12">
        <f t="shared" si="39"/>
        <v>1270.6949999999999</v>
      </c>
      <c r="C953" s="10"/>
      <c r="E953" s="11">
        <v>63524</v>
      </c>
      <c r="F953" s="9">
        <f t="shared" si="40"/>
        <v>1270.6949999999999</v>
      </c>
      <c r="H953" s="11">
        <v>63524</v>
      </c>
      <c r="I953" s="9">
        <f t="shared" si="41"/>
        <v>1270.6949999999999</v>
      </c>
    </row>
    <row r="954" spans="1:9">
      <c r="A954" s="11">
        <v>63555</v>
      </c>
      <c r="B954" s="12">
        <f t="shared" si="39"/>
        <v>1270.6949999999999</v>
      </c>
      <c r="C954" s="10"/>
      <c r="E954" s="11">
        <v>63555</v>
      </c>
      <c r="F954" s="9">
        <f t="shared" si="40"/>
        <v>1270.6949999999999</v>
      </c>
      <c r="H954" s="11">
        <v>63555</v>
      </c>
      <c r="I954" s="9">
        <f t="shared" si="41"/>
        <v>1270.6949999999999</v>
      </c>
    </row>
    <row r="955" spans="1:9">
      <c r="A955" s="11">
        <v>63586</v>
      </c>
      <c r="B955" s="12">
        <f t="shared" si="39"/>
        <v>1270.6949999999999</v>
      </c>
      <c r="C955" s="10"/>
      <c r="E955" s="11">
        <v>63586</v>
      </c>
      <c r="F955" s="9">
        <f t="shared" si="40"/>
        <v>1270.6949999999999</v>
      </c>
      <c r="H955" s="11">
        <v>63586</v>
      </c>
      <c r="I955" s="9">
        <f t="shared" si="41"/>
        <v>1270.6949999999999</v>
      </c>
    </row>
    <row r="956" spans="1:9">
      <c r="A956" s="11">
        <v>63614</v>
      </c>
      <c r="B956" s="12">
        <f t="shared" si="39"/>
        <v>1270.6949999999999</v>
      </c>
      <c r="C956" s="10"/>
      <c r="E956" s="11">
        <v>63614</v>
      </c>
      <c r="F956" s="9">
        <f t="shared" si="40"/>
        <v>1270.6949999999999</v>
      </c>
      <c r="H956" s="11">
        <v>63614</v>
      </c>
      <c r="I956" s="9">
        <f t="shared" si="41"/>
        <v>1270.6949999999999</v>
      </c>
    </row>
    <row r="957" spans="1:9">
      <c r="A957" s="11">
        <v>63645</v>
      </c>
      <c r="B957" s="12">
        <f t="shared" si="39"/>
        <v>1270.6949999999999</v>
      </c>
      <c r="C957" s="10"/>
      <c r="E957" s="11">
        <v>63645</v>
      </c>
      <c r="F957" s="9">
        <f t="shared" si="40"/>
        <v>1270.6949999999999</v>
      </c>
      <c r="H957" s="11">
        <v>63645</v>
      </c>
      <c r="I957" s="9">
        <f t="shared" si="41"/>
        <v>1270.6949999999999</v>
      </c>
    </row>
    <row r="958" spans="1:9">
      <c r="A958" s="11">
        <v>63675</v>
      </c>
      <c r="B958" s="12">
        <f t="shared" si="39"/>
        <v>1270.6949999999999</v>
      </c>
      <c r="C958" s="10"/>
      <c r="E958" s="11">
        <v>63675</v>
      </c>
      <c r="F958" s="9">
        <f t="shared" si="40"/>
        <v>1270.6949999999999</v>
      </c>
      <c r="H958" s="11">
        <v>63675</v>
      </c>
      <c r="I958" s="9">
        <f t="shared" si="41"/>
        <v>1270.6949999999999</v>
      </c>
    </row>
    <row r="959" spans="1:9">
      <c r="A959" s="11">
        <v>63706</v>
      </c>
      <c r="B959" s="12">
        <f t="shared" si="39"/>
        <v>1270.6949999999999</v>
      </c>
      <c r="C959" s="10"/>
      <c r="E959" s="11">
        <v>63706</v>
      </c>
      <c r="F959" s="9">
        <f t="shared" si="40"/>
        <v>1270.6949999999999</v>
      </c>
      <c r="H959" s="11">
        <v>63706</v>
      </c>
      <c r="I959" s="9">
        <f t="shared" si="41"/>
        <v>1270.6949999999999</v>
      </c>
    </row>
    <row r="960" spans="1:9">
      <c r="A960" s="11">
        <v>63736</v>
      </c>
      <c r="B960" s="12">
        <f t="shared" si="39"/>
        <v>1270.6949999999999</v>
      </c>
      <c r="C960" s="10"/>
      <c r="E960" s="11">
        <v>63736</v>
      </c>
      <c r="F960" s="9">
        <f t="shared" si="40"/>
        <v>1270.6949999999999</v>
      </c>
      <c r="H960" s="11">
        <v>63736</v>
      </c>
      <c r="I960" s="9">
        <f t="shared" si="41"/>
        <v>1270.6949999999999</v>
      </c>
    </row>
    <row r="961" spans="1:9">
      <c r="A961" s="11">
        <v>63767</v>
      </c>
      <c r="B961" s="12">
        <f t="shared" si="39"/>
        <v>1270.6949999999999</v>
      </c>
      <c r="C961" s="10"/>
      <c r="E961" s="11">
        <v>63767</v>
      </c>
      <c r="F961" s="9">
        <f t="shared" si="40"/>
        <v>1270.6949999999999</v>
      </c>
      <c r="H961" s="11">
        <v>63767</v>
      </c>
      <c r="I961" s="9">
        <f t="shared" si="41"/>
        <v>1270.6949999999999</v>
      </c>
    </row>
    <row r="962" spans="1:9">
      <c r="A962" s="11">
        <v>63798</v>
      </c>
      <c r="B962" s="12">
        <f t="shared" si="39"/>
        <v>1270.6949999999999</v>
      </c>
      <c r="C962" s="10"/>
      <c r="E962" s="11">
        <v>63798</v>
      </c>
      <c r="F962" s="9">
        <f t="shared" si="40"/>
        <v>1270.6949999999999</v>
      </c>
      <c r="H962" s="11">
        <v>63798</v>
      </c>
      <c r="I962" s="9">
        <f t="shared" si="41"/>
        <v>1270.6949999999999</v>
      </c>
    </row>
    <row r="963" spans="1:9">
      <c r="A963" s="11">
        <v>63828</v>
      </c>
      <c r="B963" s="12">
        <f t="shared" si="39"/>
        <v>1270.6949999999999</v>
      </c>
      <c r="C963" s="10"/>
      <c r="E963" s="11">
        <v>63828</v>
      </c>
      <c r="F963" s="9">
        <f t="shared" si="40"/>
        <v>1270.6949999999999</v>
      </c>
      <c r="H963" s="11">
        <v>63828</v>
      </c>
      <c r="I963" s="9">
        <f t="shared" si="41"/>
        <v>1270.6949999999999</v>
      </c>
    </row>
    <row r="964" spans="1:9">
      <c r="A964" s="11">
        <v>63859</v>
      </c>
      <c r="B964" s="12">
        <f t="shared" si="39"/>
        <v>1270.6949999999999</v>
      </c>
      <c r="C964" s="10"/>
      <c r="E964" s="11">
        <v>63859</v>
      </c>
      <c r="F964" s="9">
        <f t="shared" si="40"/>
        <v>1270.6949999999999</v>
      </c>
      <c r="H964" s="11">
        <v>63859</v>
      </c>
      <c r="I964" s="9">
        <f t="shared" si="41"/>
        <v>1270.6949999999999</v>
      </c>
    </row>
    <row r="965" spans="1:9">
      <c r="A965" s="11">
        <v>63889</v>
      </c>
      <c r="B965" s="12">
        <f t="shared" si="39"/>
        <v>1270.6949999999999</v>
      </c>
      <c r="C965" s="10"/>
      <c r="E965" s="11">
        <v>63889</v>
      </c>
      <c r="F965" s="9">
        <f t="shared" si="40"/>
        <v>1270.6949999999999</v>
      </c>
      <c r="H965" s="11">
        <v>63889</v>
      </c>
      <c r="I965" s="9">
        <f t="shared" si="41"/>
        <v>1270.6949999999999</v>
      </c>
    </row>
    <row r="966" spans="1:9">
      <c r="A966" s="11">
        <v>63920</v>
      </c>
      <c r="B966" s="12">
        <f t="shared" si="39"/>
        <v>1270.6949999999999</v>
      </c>
      <c r="C966" s="10"/>
      <c r="E966" s="11">
        <v>63920</v>
      </c>
      <c r="F966" s="9">
        <f t="shared" si="40"/>
        <v>1270.6949999999999</v>
      </c>
      <c r="H966" s="11">
        <v>63920</v>
      </c>
      <c r="I966" s="9">
        <f t="shared" si="41"/>
        <v>1270.6949999999999</v>
      </c>
    </row>
    <row r="967" spans="1:9">
      <c r="A967" s="11">
        <v>63951</v>
      </c>
      <c r="B967" s="12">
        <f t="shared" si="39"/>
        <v>1270.6949999999999</v>
      </c>
      <c r="C967" s="10"/>
      <c r="E967" s="11">
        <v>63951</v>
      </c>
      <c r="F967" s="9">
        <f t="shared" si="40"/>
        <v>1270.6949999999999</v>
      </c>
      <c r="H967" s="11">
        <v>63951</v>
      </c>
      <c r="I967" s="9">
        <f t="shared" si="41"/>
        <v>1270.6949999999999</v>
      </c>
    </row>
    <row r="968" spans="1:9">
      <c r="A968" s="11">
        <v>63979</v>
      </c>
      <c r="B968" s="12">
        <f t="shared" si="39"/>
        <v>1270.6949999999999</v>
      </c>
      <c r="C968" s="10"/>
      <c r="E968" s="11">
        <v>63979</v>
      </c>
      <c r="F968" s="9">
        <f t="shared" si="40"/>
        <v>1270.6949999999999</v>
      </c>
      <c r="H968" s="11">
        <v>63979</v>
      </c>
      <c r="I968" s="9">
        <f t="shared" si="41"/>
        <v>1270.6949999999999</v>
      </c>
    </row>
    <row r="969" spans="1:9">
      <c r="A969" s="11">
        <v>64010</v>
      </c>
      <c r="B969" s="12">
        <f t="shared" si="39"/>
        <v>1270.6949999999999</v>
      </c>
      <c r="C969" s="10"/>
      <c r="E969" s="11">
        <v>64010</v>
      </c>
      <c r="F969" s="9">
        <f t="shared" si="40"/>
        <v>1270.6949999999999</v>
      </c>
      <c r="H969" s="11">
        <v>64010</v>
      </c>
      <c r="I969" s="9">
        <f t="shared" si="41"/>
        <v>1270.6949999999999</v>
      </c>
    </row>
    <row r="970" spans="1:9">
      <c r="A970" s="11">
        <v>64040</v>
      </c>
      <c r="B970" s="12">
        <f t="shared" si="39"/>
        <v>1270.6949999999999</v>
      </c>
      <c r="C970" s="10"/>
      <c r="E970" s="11">
        <v>64040</v>
      </c>
      <c r="F970" s="9">
        <f t="shared" si="40"/>
        <v>1270.6949999999999</v>
      </c>
      <c r="H970" s="11">
        <v>64040</v>
      </c>
      <c r="I970" s="9">
        <f t="shared" si="41"/>
        <v>1270.6949999999999</v>
      </c>
    </row>
    <row r="971" spans="1:9">
      <c r="A971" s="11">
        <v>64071</v>
      </c>
      <c r="B971" s="12">
        <f t="shared" si="39"/>
        <v>1270.6949999999999</v>
      </c>
      <c r="C971" s="10"/>
      <c r="E971" s="11">
        <v>64071</v>
      </c>
      <c r="F971" s="9">
        <f t="shared" si="40"/>
        <v>1270.6949999999999</v>
      </c>
      <c r="H971" s="11">
        <v>64071</v>
      </c>
      <c r="I971" s="9">
        <f t="shared" si="41"/>
        <v>1270.6949999999999</v>
      </c>
    </row>
    <row r="972" spans="1:9">
      <c r="A972" s="11">
        <v>64101</v>
      </c>
      <c r="B972" s="12">
        <f t="shared" si="39"/>
        <v>1270.6949999999999</v>
      </c>
      <c r="C972" s="10"/>
      <c r="E972" s="11">
        <v>64101</v>
      </c>
      <c r="F972" s="9">
        <f t="shared" si="40"/>
        <v>1270.6949999999999</v>
      </c>
      <c r="H972" s="11">
        <v>64101</v>
      </c>
      <c r="I972" s="9">
        <f t="shared" si="41"/>
        <v>1270.6949999999999</v>
      </c>
    </row>
    <row r="973" spans="1:9">
      <c r="A973" s="11">
        <v>64132</v>
      </c>
      <c r="B973" s="12">
        <f t="shared" si="39"/>
        <v>1270.6949999999999</v>
      </c>
      <c r="C973" s="10"/>
      <c r="E973" s="11">
        <v>64132</v>
      </c>
      <c r="F973" s="9">
        <f t="shared" si="40"/>
        <v>1270.6949999999999</v>
      </c>
      <c r="H973" s="11">
        <v>64132</v>
      </c>
      <c r="I973" s="9">
        <f t="shared" si="41"/>
        <v>1270.6949999999999</v>
      </c>
    </row>
    <row r="974" spans="1:9">
      <c r="A974" s="11">
        <v>64163</v>
      </c>
      <c r="B974" s="12">
        <f t="shared" si="39"/>
        <v>1270.6949999999999</v>
      </c>
      <c r="C974" s="10"/>
      <c r="E974" s="11">
        <v>64163</v>
      </c>
      <c r="F974" s="9">
        <f t="shared" si="40"/>
        <v>1270.6949999999999</v>
      </c>
      <c r="H974" s="11">
        <v>64163</v>
      </c>
      <c r="I974" s="9">
        <f t="shared" si="41"/>
        <v>1270.6949999999999</v>
      </c>
    </row>
    <row r="975" spans="1:9">
      <c r="A975" s="11">
        <v>64193</v>
      </c>
      <c r="B975" s="12">
        <f t="shared" si="39"/>
        <v>1270.6949999999999</v>
      </c>
      <c r="C975" s="10"/>
      <c r="E975" s="11">
        <v>64193</v>
      </c>
      <c r="F975" s="9">
        <f t="shared" si="40"/>
        <v>1270.6949999999999</v>
      </c>
      <c r="H975" s="11">
        <v>64193</v>
      </c>
      <c r="I975" s="9">
        <f t="shared" si="41"/>
        <v>1270.6949999999999</v>
      </c>
    </row>
    <row r="976" spans="1:9">
      <c r="A976" s="11">
        <v>64224</v>
      </c>
      <c r="B976" s="12">
        <f t="shared" si="39"/>
        <v>1270.6949999999999</v>
      </c>
      <c r="C976" s="10"/>
      <c r="E976" s="11">
        <v>64224</v>
      </c>
      <c r="F976" s="9">
        <f t="shared" si="40"/>
        <v>1270.6949999999999</v>
      </c>
      <c r="H976" s="11">
        <v>64224</v>
      </c>
      <c r="I976" s="9">
        <f t="shared" si="41"/>
        <v>1270.6949999999999</v>
      </c>
    </row>
    <row r="977" spans="1:9">
      <c r="A977" s="11">
        <v>64254</v>
      </c>
      <c r="B977" s="12">
        <f t="shared" si="39"/>
        <v>1270.6949999999999</v>
      </c>
      <c r="C977" s="10"/>
      <c r="E977" s="11">
        <v>64254</v>
      </c>
      <c r="F977" s="9">
        <f t="shared" si="40"/>
        <v>1270.6949999999999</v>
      </c>
      <c r="H977" s="11">
        <v>64254</v>
      </c>
      <c r="I977" s="9">
        <f t="shared" si="41"/>
        <v>1270.6949999999999</v>
      </c>
    </row>
    <row r="978" spans="1:9">
      <c r="A978" s="11">
        <v>64285</v>
      </c>
      <c r="B978" s="12">
        <f t="shared" si="39"/>
        <v>1270.6949999999999</v>
      </c>
      <c r="C978" s="10"/>
      <c r="E978" s="11">
        <v>64285</v>
      </c>
      <c r="F978" s="9">
        <f t="shared" si="40"/>
        <v>1270.6949999999999</v>
      </c>
      <c r="H978" s="11">
        <v>64285</v>
      </c>
      <c r="I978" s="9">
        <f t="shared" si="41"/>
        <v>1270.6949999999999</v>
      </c>
    </row>
    <row r="979" spans="1:9">
      <c r="A979" s="11">
        <v>64316</v>
      </c>
      <c r="B979" s="12">
        <f t="shared" si="39"/>
        <v>1270.6949999999999</v>
      </c>
      <c r="C979" s="10"/>
      <c r="E979" s="11">
        <v>64316</v>
      </c>
      <c r="F979" s="9">
        <f t="shared" si="40"/>
        <v>1270.6949999999999</v>
      </c>
      <c r="H979" s="11">
        <v>64316</v>
      </c>
      <c r="I979" s="9">
        <f t="shared" si="41"/>
        <v>1270.6949999999999</v>
      </c>
    </row>
    <row r="980" spans="1:9">
      <c r="A980" s="11">
        <v>64345</v>
      </c>
      <c r="B980" s="12">
        <f t="shared" si="39"/>
        <v>1270.6949999999999</v>
      </c>
      <c r="C980" s="10"/>
      <c r="E980" s="11">
        <v>64345</v>
      </c>
      <c r="F980" s="9">
        <f t="shared" si="40"/>
        <v>1270.6949999999999</v>
      </c>
      <c r="H980" s="11">
        <v>64345</v>
      </c>
      <c r="I980" s="9">
        <f t="shared" si="41"/>
        <v>1270.6949999999999</v>
      </c>
    </row>
    <row r="981" spans="1:9">
      <c r="A981" s="11">
        <v>64376</v>
      </c>
      <c r="B981" s="12">
        <f t="shared" si="39"/>
        <v>1270.6949999999999</v>
      </c>
      <c r="C981" s="10"/>
      <c r="E981" s="11">
        <v>64376</v>
      </c>
      <c r="F981" s="9">
        <f t="shared" si="40"/>
        <v>1270.6949999999999</v>
      </c>
      <c r="H981" s="11">
        <v>64376</v>
      </c>
      <c r="I981" s="9">
        <f t="shared" si="41"/>
        <v>1270.6949999999999</v>
      </c>
    </row>
    <row r="982" spans="1:9">
      <c r="A982" s="11">
        <v>64406</v>
      </c>
      <c r="B982" s="12">
        <f t="shared" si="39"/>
        <v>1270.6949999999999</v>
      </c>
      <c r="C982" s="10"/>
      <c r="E982" s="11">
        <v>64406</v>
      </c>
      <c r="F982" s="9">
        <f t="shared" si="40"/>
        <v>1270.6949999999999</v>
      </c>
      <c r="H982" s="11">
        <v>64406</v>
      </c>
      <c r="I982" s="9">
        <f t="shared" si="41"/>
        <v>1270.6949999999999</v>
      </c>
    </row>
    <row r="983" spans="1:9">
      <c r="A983" s="11">
        <v>64437</v>
      </c>
      <c r="B983" s="12">
        <f t="shared" si="39"/>
        <v>1270.6949999999999</v>
      </c>
      <c r="C983" s="10"/>
      <c r="E983" s="11">
        <v>64437</v>
      </c>
      <c r="F983" s="9">
        <f t="shared" si="40"/>
        <v>1270.6949999999999</v>
      </c>
      <c r="H983" s="11">
        <v>64437</v>
      </c>
      <c r="I983" s="9">
        <f t="shared" si="41"/>
        <v>1270.6949999999999</v>
      </c>
    </row>
    <row r="984" spans="1:9">
      <c r="A984" s="11">
        <v>64467</v>
      </c>
      <c r="B984" s="12">
        <f t="shared" si="39"/>
        <v>1270.6949999999999</v>
      </c>
      <c r="C984" s="10"/>
      <c r="E984" s="11">
        <v>64467</v>
      </c>
      <c r="F984" s="9">
        <f t="shared" si="40"/>
        <v>1270.6949999999999</v>
      </c>
      <c r="H984" s="11">
        <v>64467</v>
      </c>
      <c r="I984" s="9">
        <f t="shared" si="41"/>
        <v>1270.6949999999999</v>
      </c>
    </row>
    <row r="985" spans="1:9">
      <c r="A985" s="11">
        <v>64498</v>
      </c>
      <c r="B985" s="12">
        <f t="shared" si="39"/>
        <v>1270.6949999999999</v>
      </c>
      <c r="C985" s="10"/>
      <c r="E985" s="11">
        <v>64498</v>
      </c>
      <c r="F985" s="9">
        <f t="shared" si="40"/>
        <v>1270.6949999999999</v>
      </c>
      <c r="H985" s="11">
        <v>64498</v>
      </c>
      <c r="I985" s="9">
        <f t="shared" si="41"/>
        <v>1270.6949999999999</v>
      </c>
    </row>
    <row r="986" spans="1:9">
      <c r="A986" s="11">
        <v>64529</v>
      </c>
      <c r="B986" s="12">
        <f t="shared" si="39"/>
        <v>1270.6949999999999</v>
      </c>
      <c r="C986" s="10"/>
      <c r="E986" s="11">
        <v>64529</v>
      </c>
      <c r="F986" s="9">
        <f t="shared" si="40"/>
        <v>1270.6949999999999</v>
      </c>
      <c r="H986" s="11">
        <v>64529</v>
      </c>
      <c r="I986" s="9">
        <f t="shared" si="41"/>
        <v>1270.6949999999999</v>
      </c>
    </row>
    <row r="987" spans="1:9">
      <c r="A987" s="11">
        <v>64559</v>
      </c>
      <c r="B987" s="12">
        <f t="shared" si="39"/>
        <v>1270.6949999999999</v>
      </c>
      <c r="C987" s="10"/>
      <c r="E987" s="11">
        <v>64559</v>
      </c>
      <c r="F987" s="9">
        <f t="shared" si="40"/>
        <v>1270.6949999999999</v>
      </c>
      <c r="H987" s="11">
        <v>64559</v>
      </c>
      <c r="I987" s="9">
        <f t="shared" si="41"/>
        <v>1270.6949999999999</v>
      </c>
    </row>
    <row r="988" spans="1:9">
      <c r="A988" s="11">
        <v>64590</v>
      </c>
      <c r="B988" s="12">
        <f t="shared" si="39"/>
        <v>1270.6949999999999</v>
      </c>
      <c r="C988" s="10"/>
      <c r="E988" s="11">
        <v>64590</v>
      </c>
      <c r="F988" s="9">
        <f t="shared" si="40"/>
        <v>1270.6949999999999</v>
      </c>
      <c r="H988" s="11">
        <v>64590</v>
      </c>
      <c r="I988" s="9">
        <f t="shared" si="41"/>
        <v>1270.6949999999999</v>
      </c>
    </row>
    <row r="989" spans="1:9">
      <c r="A989" s="11">
        <v>64620</v>
      </c>
      <c r="B989" s="12">
        <f t="shared" si="39"/>
        <v>1270.6949999999999</v>
      </c>
      <c r="C989" s="10"/>
      <c r="E989" s="11">
        <v>64620</v>
      </c>
      <c r="F989" s="9">
        <f t="shared" si="40"/>
        <v>1270.6949999999999</v>
      </c>
      <c r="H989" s="11">
        <v>64620</v>
      </c>
      <c r="I989" s="9">
        <f t="shared" si="41"/>
        <v>1270.6949999999999</v>
      </c>
    </row>
    <row r="990" spans="1:9">
      <c r="A990" s="11">
        <v>64651</v>
      </c>
      <c r="B990" s="12">
        <f t="shared" si="39"/>
        <v>1270.6949999999999</v>
      </c>
      <c r="C990" s="10"/>
      <c r="E990" s="11">
        <v>64651</v>
      </c>
      <c r="F990" s="9">
        <f t="shared" si="40"/>
        <v>1270.6949999999999</v>
      </c>
      <c r="H990" s="11">
        <v>64651</v>
      </c>
      <c r="I990" s="9">
        <f t="shared" si="41"/>
        <v>1270.6949999999999</v>
      </c>
    </row>
    <row r="991" spans="1:9">
      <c r="A991" s="11">
        <v>64682</v>
      </c>
      <c r="B991" s="12">
        <f t="shared" si="39"/>
        <v>1270.6949999999999</v>
      </c>
      <c r="C991" s="10"/>
      <c r="E991" s="11">
        <v>64682</v>
      </c>
      <c r="F991" s="9">
        <f t="shared" si="40"/>
        <v>1270.6949999999999</v>
      </c>
      <c r="H991" s="11">
        <v>64682</v>
      </c>
      <c r="I991" s="9">
        <f t="shared" si="41"/>
        <v>1270.6949999999999</v>
      </c>
    </row>
    <row r="992" spans="1:9">
      <c r="A992" s="11">
        <v>64710</v>
      </c>
      <c r="B992" s="12">
        <f t="shared" si="39"/>
        <v>1270.6949999999999</v>
      </c>
      <c r="C992" s="10"/>
      <c r="E992" s="11">
        <v>64710</v>
      </c>
      <c r="F992" s="9">
        <f t="shared" si="40"/>
        <v>1270.6949999999999</v>
      </c>
      <c r="H992" s="11">
        <v>64710</v>
      </c>
      <c r="I992" s="9">
        <f t="shared" si="41"/>
        <v>1270.6949999999999</v>
      </c>
    </row>
    <row r="993" spans="1:9">
      <c r="A993" s="11">
        <v>64741</v>
      </c>
      <c r="B993" s="12">
        <f t="shared" ref="B993:B1056" si="42">B992</f>
        <v>1270.6949999999999</v>
      </c>
      <c r="C993" s="10"/>
      <c r="E993" s="11">
        <v>64741</v>
      </c>
      <c r="F993" s="9">
        <f t="shared" si="40"/>
        <v>1270.6949999999999</v>
      </c>
      <c r="H993" s="11">
        <v>64741</v>
      </c>
      <c r="I993" s="9">
        <f t="shared" si="41"/>
        <v>1270.6949999999999</v>
      </c>
    </row>
    <row r="994" spans="1:9">
      <c r="A994" s="11">
        <v>64771</v>
      </c>
      <c r="B994" s="12">
        <f t="shared" si="42"/>
        <v>1270.6949999999999</v>
      </c>
      <c r="C994" s="10"/>
      <c r="E994" s="11">
        <v>64771</v>
      </c>
      <c r="F994" s="9">
        <f t="shared" si="40"/>
        <v>1270.6949999999999</v>
      </c>
      <c r="H994" s="11">
        <v>64771</v>
      </c>
      <c r="I994" s="9">
        <f t="shared" si="41"/>
        <v>1270.6949999999999</v>
      </c>
    </row>
    <row r="995" spans="1:9">
      <c r="A995" s="11">
        <v>64802</v>
      </c>
      <c r="B995" s="12">
        <f t="shared" si="42"/>
        <v>1270.6949999999999</v>
      </c>
      <c r="C995" s="10"/>
      <c r="E995" s="11">
        <v>64802</v>
      </c>
      <c r="F995" s="9">
        <f t="shared" si="40"/>
        <v>1270.6949999999999</v>
      </c>
      <c r="H995" s="11">
        <v>64802</v>
      </c>
      <c r="I995" s="9">
        <f t="shared" si="41"/>
        <v>1270.6949999999999</v>
      </c>
    </row>
    <row r="996" spans="1:9">
      <c r="A996" s="11">
        <v>64832</v>
      </c>
      <c r="B996" s="12">
        <f t="shared" si="42"/>
        <v>1270.6949999999999</v>
      </c>
      <c r="C996" s="10"/>
      <c r="E996" s="11">
        <v>64832</v>
      </c>
      <c r="F996" s="9">
        <f t="shared" si="40"/>
        <v>1270.6949999999999</v>
      </c>
      <c r="H996" s="11">
        <v>64832</v>
      </c>
      <c r="I996" s="9">
        <f t="shared" si="41"/>
        <v>1270.6949999999999</v>
      </c>
    </row>
    <row r="997" spans="1:9">
      <c r="A997" s="11">
        <v>64863</v>
      </c>
      <c r="B997" s="12">
        <f t="shared" si="42"/>
        <v>1270.6949999999999</v>
      </c>
      <c r="C997" s="10"/>
      <c r="E997" s="11">
        <v>64863</v>
      </c>
      <c r="F997" s="9">
        <f t="shared" si="40"/>
        <v>1270.6949999999999</v>
      </c>
      <c r="H997" s="11">
        <v>64863</v>
      </c>
      <c r="I997" s="9">
        <f t="shared" si="41"/>
        <v>1270.6949999999999</v>
      </c>
    </row>
    <row r="998" spans="1:9">
      <c r="A998" s="11">
        <v>64894</v>
      </c>
      <c r="B998" s="12">
        <f t="shared" si="42"/>
        <v>1270.6949999999999</v>
      </c>
      <c r="C998" s="10"/>
      <c r="E998" s="11">
        <v>64894</v>
      </c>
      <c r="F998" s="9">
        <f t="shared" si="40"/>
        <v>1270.6949999999999</v>
      </c>
      <c r="H998" s="11">
        <v>64894</v>
      </c>
      <c r="I998" s="9">
        <f t="shared" si="41"/>
        <v>1270.6949999999999</v>
      </c>
    </row>
    <row r="999" spans="1:9">
      <c r="A999" s="11">
        <v>64924</v>
      </c>
      <c r="B999" s="12">
        <f t="shared" si="42"/>
        <v>1270.6949999999999</v>
      </c>
      <c r="C999" s="10"/>
      <c r="E999" s="11">
        <v>64924</v>
      </c>
      <c r="F999" s="9">
        <f t="shared" si="40"/>
        <v>1270.6949999999999</v>
      </c>
      <c r="H999" s="11">
        <v>64924</v>
      </c>
      <c r="I999" s="9">
        <f t="shared" si="41"/>
        <v>1270.6949999999999</v>
      </c>
    </row>
    <row r="1000" spans="1:9">
      <c r="A1000" s="11">
        <v>64955</v>
      </c>
      <c r="B1000" s="12">
        <f t="shared" si="42"/>
        <v>1270.6949999999999</v>
      </c>
      <c r="C1000" s="10"/>
      <c r="E1000" s="11">
        <v>64955</v>
      </c>
      <c r="F1000" s="9">
        <f t="shared" si="40"/>
        <v>1270.6949999999999</v>
      </c>
      <c r="H1000" s="11">
        <v>64955</v>
      </c>
      <c r="I1000" s="9">
        <f t="shared" si="41"/>
        <v>1270.6949999999999</v>
      </c>
    </row>
    <row r="1001" spans="1:9">
      <c r="A1001" s="11">
        <v>64985</v>
      </c>
      <c r="B1001" s="12">
        <f t="shared" si="42"/>
        <v>1270.6949999999999</v>
      </c>
      <c r="C1001" s="10"/>
      <c r="E1001" s="11">
        <v>64985</v>
      </c>
      <c r="F1001" s="9">
        <f t="shared" si="40"/>
        <v>1270.6949999999999</v>
      </c>
      <c r="H1001" s="11">
        <v>64985</v>
      </c>
      <c r="I1001" s="9">
        <f t="shared" si="41"/>
        <v>1270.6949999999999</v>
      </c>
    </row>
    <row r="1002" spans="1:9">
      <c r="A1002" s="11">
        <v>65016</v>
      </c>
      <c r="B1002" s="12">
        <f t="shared" si="42"/>
        <v>1270.6949999999999</v>
      </c>
      <c r="C1002" s="10"/>
      <c r="E1002" s="11">
        <v>65016</v>
      </c>
      <c r="F1002" s="9">
        <f t="shared" si="40"/>
        <v>1270.6949999999999</v>
      </c>
      <c r="H1002" s="11">
        <v>65016</v>
      </c>
      <c r="I1002" s="9">
        <f t="shared" si="41"/>
        <v>1270.6949999999999</v>
      </c>
    </row>
    <row r="1003" spans="1:9">
      <c r="A1003" s="11">
        <v>65047</v>
      </c>
      <c r="B1003" s="12">
        <f t="shared" si="42"/>
        <v>1270.6949999999999</v>
      </c>
      <c r="C1003" s="10"/>
      <c r="E1003" s="11">
        <v>65047</v>
      </c>
      <c r="F1003" s="9">
        <f t="shared" ref="F1003:F1066" si="43">B1002</f>
        <v>1270.6949999999999</v>
      </c>
      <c r="H1003" s="11">
        <v>65047</v>
      </c>
      <c r="I1003" s="9">
        <f t="shared" ref="I1003:I1066" si="44">B1001</f>
        <v>1270.6949999999999</v>
      </c>
    </row>
    <row r="1004" spans="1:9">
      <c r="A1004" s="11">
        <v>65075</v>
      </c>
      <c r="B1004" s="12">
        <f t="shared" si="42"/>
        <v>1270.6949999999999</v>
      </c>
      <c r="C1004" s="10"/>
      <c r="E1004" s="11">
        <v>65075</v>
      </c>
      <c r="F1004" s="9">
        <f t="shared" si="43"/>
        <v>1270.6949999999999</v>
      </c>
      <c r="H1004" s="11">
        <v>65075</v>
      </c>
      <c r="I1004" s="9">
        <f t="shared" si="44"/>
        <v>1270.6949999999999</v>
      </c>
    </row>
    <row r="1005" spans="1:9">
      <c r="A1005" s="11">
        <v>65106</v>
      </c>
      <c r="B1005" s="12">
        <f t="shared" si="42"/>
        <v>1270.6949999999999</v>
      </c>
      <c r="C1005" s="10"/>
      <c r="E1005" s="11">
        <v>65106</v>
      </c>
      <c r="F1005" s="9">
        <f t="shared" si="43"/>
        <v>1270.6949999999999</v>
      </c>
      <c r="H1005" s="11">
        <v>65106</v>
      </c>
      <c r="I1005" s="9">
        <f t="shared" si="44"/>
        <v>1270.6949999999999</v>
      </c>
    </row>
    <row r="1006" spans="1:9">
      <c r="A1006" s="11">
        <v>65136</v>
      </c>
      <c r="B1006" s="12">
        <f t="shared" si="42"/>
        <v>1270.6949999999999</v>
      </c>
      <c r="C1006" s="10"/>
      <c r="E1006" s="11">
        <v>65136</v>
      </c>
      <c r="F1006" s="9">
        <f t="shared" si="43"/>
        <v>1270.6949999999999</v>
      </c>
      <c r="H1006" s="11">
        <v>65136</v>
      </c>
      <c r="I1006" s="9">
        <f t="shared" si="44"/>
        <v>1270.6949999999999</v>
      </c>
    </row>
    <row r="1007" spans="1:9">
      <c r="A1007" s="11">
        <v>65167</v>
      </c>
      <c r="B1007" s="12">
        <f t="shared" si="42"/>
        <v>1270.6949999999999</v>
      </c>
      <c r="C1007" s="10"/>
      <c r="E1007" s="11">
        <v>65167</v>
      </c>
      <c r="F1007" s="9">
        <f t="shared" si="43"/>
        <v>1270.6949999999999</v>
      </c>
      <c r="H1007" s="11">
        <v>65167</v>
      </c>
      <c r="I1007" s="9">
        <f t="shared" si="44"/>
        <v>1270.6949999999999</v>
      </c>
    </row>
    <row r="1008" spans="1:9">
      <c r="A1008" s="11">
        <v>65197</v>
      </c>
      <c r="B1008" s="12">
        <f t="shared" si="42"/>
        <v>1270.6949999999999</v>
      </c>
      <c r="C1008" s="10"/>
      <c r="E1008" s="11">
        <v>65197</v>
      </c>
      <c r="F1008" s="9">
        <f t="shared" si="43"/>
        <v>1270.6949999999999</v>
      </c>
      <c r="H1008" s="11">
        <v>65197</v>
      </c>
      <c r="I1008" s="9">
        <f t="shared" si="44"/>
        <v>1270.6949999999999</v>
      </c>
    </row>
    <row r="1009" spans="1:9">
      <c r="A1009" s="11">
        <v>65228</v>
      </c>
      <c r="B1009" s="12">
        <f t="shared" si="42"/>
        <v>1270.6949999999999</v>
      </c>
      <c r="C1009" s="10"/>
      <c r="E1009" s="11">
        <v>65228</v>
      </c>
      <c r="F1009" s="9">
        <f t="shared" si="43"/>
        <v>1270.6949999999999</v>
      </c>
      <c r="H1009" s="11">
        <v>65228</v>
      </c>
      <c r="I1009" s="9">
        <f t="shared" si="44"/>
        <v>1270.6949999999999</v>
      </c>
    </row>
    <row r="1010" spans="1:9">
      <c r="A1010" s="11">
        <v>65259</v>
      </c>
      <c r="B1010" s="12">
        <f t="shared" si="42"/>
        <v>1270.6949999999999</v>
      </c>
      <c r="C1010" s="10"/>
      <c r="E1010" s="11">
        <v>65259</v>
      </c>
      <c r="F1010" s="9">
        <f t="shared" si="43"/>
        <v>1270.6949999999999</v>
      </c>
      <c r="H1010" s="11">
        <v>65259</v>
      </c>
      <c r="I1010" s="9">
        <f t="shared" si="44"/>
        <v>1270.6949999999999</v>
      </c>
    </row>
    <row r="1011" spans="1:9">
      <c r="A1011" s="11">
        <v>65289</v>
      </c>
      <c r="B1011" s="12">
        <f t="shared" si="42"/>
        <v>1270.6949999999999</v>
      </c>
      <c r="C1011" s="10"/>
      <c r="E1011" s="11">
        <v>65289</v>
      </c>
      <c r="F1011" s="9">
        <f t="shared" si="43"/>
        <v>1270.6949999999999</v>
      </c>
      <c r="H1011" s="11">
        <v>65289</v>
      </c>
      <c r="I1011" s="9">
        <f t="shared" si="44"/>
        <v>1270.6949999999999</v>
      </c>
    </row>
    <row r="1012" spans="1:9">
      <c r="A1012" s="11">
        <v>65320</v>
      </c>
      <c r="B1012" s="12">
        <f t="shared" si="42"/>
        <v>1270.6949999999999</v>
      </c>
      <c r="C1012" s="10"/>
      <c r="E1012" s="11">
        <v>65320</v>
      </c>
      <c r="F1012" s="9">
        <f t="shared" si="43"/>
        <v>1270.6949999999999</v>
      </c>
      <c r="H1012" s="11">
        <v>65320</v>
      </c>
      <c r="I1012" s="9">
        <f t="shared" si="44"/>
        <v>1270.6949999999999</v>
      </c>
    </row>
    <row r="1013" spans="1:9">
      <c r="A1013" s="11">
        <v>65350</v>
      </c>
      <c r="B1013" s="12">
        <f t="shared" si="42"/>
        <v>1270.6949999999999</v>
      </c>
      <c r="C1013" s="10"/>
      <c r="E1013" s="11">
        <v>65350</v>
      </c>
      <c r="F1013" s="9">
        <f t="shared" si="43"/>
        <v>1270.6949999999999</v>
      </c>
      <c r="H1013" s="11">
        <v>65350</v>
      </c>
      <c r="I1013" s="9">
        <f t="shared" si="44"/>
        <v>1270.6949999999999</v>
      </c>
    </row>
    <row r="1014" spans="1:9">
      <c r="A1014" s="11">
        <v>65381</v>
      </c>
      <c r="B1014" s="12">
        <f t="shared" si="42"/>
        <v>1270.6949999999999</v>
      </c>
      <c r="C1014" s="10"/>
      <c r="E1014" s="11">
        <v>65381</v>
      </c>
      <c r="F1014" s="9">
        <f t="shared" si="43"/>
        <v>1270.6949999999999</v>
      </c>
      <c r="H1014" s="11">
        <v>65381</v>
      </c>
      <c r="I1014" s="9">
        <f t="shared" si="44"/>
        <v>1270.6949999999999</v>
      </c>
    </row>
    <row r="1015" spans="1:9">
      <c r="A1015" s="11">
        <v>65412</v>
      </c>
      <c r="B1015" s="12">
        <f t="shared" si="42"/>
        <v>1270.6949999999999</v>
      </c>
      <c r="C1015" s="10"/>
      <c r="E1015" s="11">
        <v>65412</v>
      </c>
      <c r="F1015" s="9">
        <f t="shared" si="43"/>
        <v>1270.6949999999999</v>
      </c>
      <c r="H1015" s="11">
        <v>65412</v>
      </c>
      <c r="I1015" s="9">
        <f t="shared" si="44"/>
        <v>1270.6949999999999</v>
      </c>
    </row>
    <row r="1016" spans="1:9">
      <c r="A1016" s="11">
        <v>65440</v>
      </c>
      <c r="B1016" s="12">
        <f t="shared" si="42"/>
        <v>1270.6949999999999</v>
      </c>
      <c r="C1016" s="10"/>
      <c r="E1016" s="11">
        <v>65440</v>
      </c>
      <c r="F1016" s="9">
        <f t="shared" si="43"/>
        <v>1270.6949999999999</v>
      </c>
      <c r="H1016" s="11">
        <v>65440</v>
      </c>
      <c r="I1016" s="9">
        <f t="shared" si="44"/>
        <v>1270.6949999999999</v>
      </c>
    </row>
    <row r="1017" spans="1:9">
      <c r="A1017" s="11">
        <v>65471</v>
      </c>
      <c r="B1017" s="12">
        <f t="shared" si="42"/>
        <v>1270.6949999999999</v>
      </c>
      <c r="C1017" s="10"/>
      <c r="E1017" s="11">
        <v>65471</v>
      </c>
      <c r="F1017" s="9">
        <f t="shared" si="43"/>
        <v>1270.6949999999999</v>
      </c>
      <c r="H1017" s="11">
        <v>65471</v>
      </c>
      <c r="I1017" s="9">
        <f t="shared" si="44"/>
        <v>1270.6949999999999</v>
      </c>
    </row>
    <row r="1018" spans="1:9">
      <c r="A1018" s="11">
        <v>65501</v>
      </c>
      <c r="B1018" s="12">
        <f t="shared" si="42"/>
        <v>1270.6949999999999</v>
      </c>
      <c r="C1018" s="10"/>
      <c r="E1018" s="11">
        <v>65501</v>
      </c>
      <c r="F1018" s="9">
        <f t="shared" si="43"/>
        <v>1270.6949999999999</v>
      </c>
      <c r="H1018" s="11">
        <v>65501</v>
      </c>
      <c r="I1018" s="9">
        <f t="shared" si="44"/>
        <v>1270.6949999999999</v>
      </c>
    </row>
    <row r="1019" spans="1:9">
      <c r="A1019" s="11">
        <v>65532</v>
      </c>
      <c r="B1019" s="12">
        <f t="shared" si="42"/>
        <v>1270.6949999999999</v>
      </c>
      <c r="C1019" s="10"/>
      <c r="E1019" s="11">
        <v>65532</v>
      </c>
      <c r="F1019" s="9">
        <f t="shared" si="43"/>
        <v>1270.6949999999999</v>
      </c>
      <c r="H1019" s="11">
        <v>65532</v>
      </c>
      <c r="I1019" s="9">
        <f t="shared" si="44"/>
        <v>1270.6949999999999</v>
      </c>
    </row>
    <row r="1020" spans="1:9">
      <c r="A1020" s="11">
        <v>65562</v>
      </c>
      <c r="B1020" s="12">
        <f t="shared" si="42"/>
        <v>1270.6949999999999</v>
      </c>
      <c r="C1020" s="10"/>
      <c r="E1020" s="11">
        <v>65562</v>
      </c>
      <c r="F1020" s="9">
        <f t="shared" si="43"/>
        <v>1270.6949999999999</v>
      </c>
      <c r="H1020" s="11">
        <v>65562</v>
      </c>
      <c r="I1020" s="9">
        <f t="shared" si="44"/>
        <v>1270.6949999999999</v>
      </c>
    </row>
    <row r="1021" spans="1:9">
      <c r="A1021" s="11">
        <v>65593</v>
      </c>
      <c r="B1021" s="12">
        <f t="shared" si="42"/>
        <v>1270.6949999999999</v>
      </c>
      <c r="C1021" s="10"/>
      <c r="E1021" s="11">
        <v>65593</v>
      </c>
      <c r="F1021" s="9">
        <f t="shared" si="43"/>
        <v>1270.6949999999999</v>
      </c>
      <c r="H1021" s="11">
        <v>65593</v>
      </c>
      <c r="I1021" s="9">
        <f t="shared" si="44"/>
        <v>1270.6949999999999</v>
      </c>
    </row>
    <row r="1022" spans="1:9">
      <c r="A1022" s="11">
        <v>65624</v>
      </c>
      <c r="B1022" s="12">
        <f t="shared" si="42"/>
        <v>1270.6949999999999</v>
      </c>
      <c r="C1022" s="10"/>
      <c r="E1022" s="11">
        <v>65624</v>
      </c>
      <c r="F1022" s="9">
        <f t="shared" si="43"/>
        <v>1270.6949999999999</v>
      </c>
      <c r="H1022" s="11">
        <v>65624</v>
      </c>
      <c r="I1022" s="9">
        <f t="shared" si="44"/>
        <v>1270.6949999999999</v>
      </c>
    </row>
    <row r="1023" spans="1:9">
      <c r="A1023" s="11">
        <v>65654</v>
      </c>
      <c r="B1023" s="12">
        <f t="shared" si="42"/>
        <v>1270.6949999999999</v>
      </c>
      <c r="C1023" s="10"/>
      <c r="E1023" s="11">
        <v>65654</v>
      </c>
      <c r="F1023" s="9">
        <f t="shared" si="43"/>
        <v>1270.6949999999999</v>
      </c>
      <c r="H1023" s="11">
        <v>65654</v>
      </c>
      <c r="I1023" s="9">
        <f t="shared" si="44"/>
        <v>1270.6949999999999</v>
      </c>
    </row>
    <row r="1024" spans="1:9">
      <c r="A1024" s="11">
        <v>65685</v>
      </c>
      <c r="B1024" s="12">
        <f t="shared" si="42"/>
        <v>1270.6949999999999</v>
      </c>
      <c r="C1024" s="10"/>
      <c r="E1024" s="11">
        <v>65685</v>
      </c>
      <c r="F1024" s="9">
        <f t="shared" si="43"/>
        <v>1270.6949999999999</v>
      </c>
      <c r="H1024" s="11">
        <v>65685</v>
      </c>
      <c r="I1024" s="9">
        <f t="shared" si="44"/>
        <v>1270.6949999999999</v>
      </c>
    </row>
    <row r="1025" spans="1:9">
      <c r="A1025" s="11">
        <v>65715</v>
      </c>
      <c r="B1025" s="12">
        <f t="shared" si="42"/>
        <v>1270.6949999999999</v>
      </c>
      <c r="C1025" s="10"/>
      <c r="E1025" s="11">
        <v>65715</v>
      </c>
      <c r="F1025" s="9">
        <f t="shared" si="43"/>
        <v>1270.6949999999999</v>
      </c>
      <c r="H1025" s="11">
        <v>65715</v>
      </c>
      <c r="I1025" s="9">
        <f t="shared" si="44"/>
        <v>1270.6949999999999</v>
      </c>
    </row>
    <row r="1026" spans="1:9">
      <c r="A1026" s="11">
        <v>65746</v>
      </c>
      <c r="B1026" s="12">
        <f t="shared" si="42"/>
        <v>1270.6949999999999</v>
      </c>
      <c r="C1026" s="10"/>
      <c r="E1026" s="11">
        <v>65746</v>
      </c>
      <c r="F1026" s="9">
        <f t="shared" si="43"/>
        <v>1270.6949999999999</v>
      </c>
      <c r="H1026" s="11">
        <v>65746</v>
      </c>
      <c r="I1026" s="9">
        <f t="shared" si="44"/>
        <v>1270.6949999999999</v>
      </c>
    </row>
    <row r="1027" spans="1:9">
      <c r="A1027" s="11">
        <v>65777</v>
      </c>
      <c r="B1027" s="12">
        <f t="shared" si="42"/>
        <v>1270.6949999999999</v>
      </c>
      <c r="C1027" s="10"/>
      <c r="E1027" s="11">
        <v>65777</v>
      </c>
      <c r="F1027" s="9">
        <f t="shared" si="43"/>
        <v>1270.6949999999999</v>
      </c>
      <c r="H1027" s="11">
        <v>65777</v>
      </c>
      <c r="I1027" s="9">
        <f t="shared" si="44"/>
        <v>1270.6949999999999</v>
      </c>
    </row>
    <row r="1028" spans="1:9">
      <c r="A1028" s="11">
        <v>65806</v>
      </c>
      <c r="B1028" s="12">
        <f t="shared" si="42"/>
        <v>1270.6949999999999</v>
      </c>
      <c r="C1028" s="10"/>
      <c r="E1028" s="11">
        <v>65806</v>
      </c>
      <c r="F1028" s="9">
        <f t="shared" si="43"/>
        <v>1270.6949999999999</v>
      </c>
      <c r="H1028" s="11">
        <v>65806</v>
      </c>
      <c r="I1028" s="9">
        <f t="shared" si="44"/>
        <v>1270.6949999999999</v>
      </c>
    </row>
    <row r="1029" spans="1:9">
      <c r="A1029" s="11">
        <v>65837</v>
      </c>
      <c r="B1029" s="12">
        <f t="shared" si="42"/>
        <v>1270.6949999999999</v>
      </c>
      <c r="C1029" s="10"/>
      <c r="E1029" s="11">
        <v>65837</v>
      </c>
      <c r="F1029" s="9">
        <f t="shared" si="43"/>
        <v>1270.6949999999999</v>
      </c>
      <c r="H1029" s="11">
        <v>65837</v>
      </c>
      <c r="I1029" s="9">
        <f t="shared" si="44"/>
        <v>1270.6949999999999</v>
      </c>
    </row>
    <row r="1030" spans="1:9">
      <c r="A1030" s="11">
        <v>65867</v>
      </c>
      <c r="B1030" s="12">
        <f t="shared" si="42"/>
        <v>1270.6949999999999</v>
      </c>
      <c r="C1030" s="10"/>
      <c r="E1030" s="11">
        <v>65867</v>
      </c>
      <c r="F1030" s="9">
        <f t="shared" si="43"/>
        <v>1270.6949999999999</v>
      </c>
      <c r="H1030" s="11">
        <v>65867</v>
      </c>
      <c r="I1030" s="9">
        <f t="shared" si="44"/>
        <v>1270.6949999999999</v>
      </c>
    </row>
    <row r="1031" spans="1:9">
      <c r="A1031" s="11">
        <v>65898</v>
      </c>
      <c r="B1031" s="12">
        <f t="shared" si="42"/>
        <v>1270.6949999999999</v>
      </c>
      <c r="C1031" s="10"/>
      <c r="E1031" s="11">
        <v>65898</v>
      </c>
      <c r="F1031" s="9">
        <f t="shared" si="43"/>
        <v>1270.6949999999999</v>
      </c>
      <c r="H1031" s="11">
        <v>65898</v>
      </c>
      <c r="I1031" s="9">
        <f t="shared" si="44"/>
        <v>1270.6949999999999</v>
      </c>
    </row>
    <row r="1032" spans="1:9">
      <c r="A1032" s="11">
        <v>65928</v>
      </c>
      <c r="B1032" s="12">
        <f t="shared" si="42"/>
        <v>1270.6949999999999</v>
      </c>
      <c r="C1032" s="10"/>
      <c r="E1032" s="11">
        <v>65928</v>
      </c>
      <c r="F1032" s="9">
        <f t="shared" si="43"/>
        <v>1270.6949999999999</v>
      </c>
      <c r="H1032" s="11">
        <v>65928</v>
      </c>
      <c r="I1032" s="9">
        <f t="shared" si="44"/>
        <v>1270.6949999999999</v>
      </c>
    </row>
    <row r="1033" spans="1:9">
      <c r="A1033" s="11">
        <v>65959</v>
      </c>
      <c r="B1033" s="12">
        <f t="shared" si="42"/>
        <v>1270.6949999999999</v>
      </c>
      <c r="C1033" s="10"/>
      <c r="E1033" s="11">
        <v>65959</v>
      </c>
      <c r="F1033" s="9">
        <f t="shared" si="43"/>
        <v>1270.6949999999999</v>
      </c>
      <c r="H1033" s="11">
        <v>65959</v>
      </c>
      <c r="I1033" s="9">
        <f t="shared" si="44"/>
        <v>1270.6949999999999</v>
      </c>
    </row>
    <row r="1034" spans="1:9">
      <c r="A1034" s="11">
        <v>65990</v>
      </c>
      <c r="B1034" s="12">
        <f t="shared" si="42"/>
        <v>1270.6949999999999</v>
      </c>
      <c r="C1034" s="10"/>
      <c r="E1034" s="11">
        <v>65990</v>
      </c>
      <c r="F1034" s="9">
        <f t="shared" si="43"/>
        <v>1270.6949999999999</v>
      </c>
      <c r="H1034" s="11">
        <v>65990</v>
      </c>
      <c r="I1034" s="9">
        <f t="shared" si="44"/>
        <v>1270.6949999999999</v>
      </c>
    </row>
    <row r="1035" spans="1:9">
      <c r="A1035" s="11">
        <v>66020</v>
      </c>
      <c r="B1035" s="12">
        <f t="shared" si="42"/>
        <v>1270.6949999999999</v>
      </c>
      <c r="C1035" s="10"/>
      <c r="E1035" s="11">
        <v>66020</v>
      </c>
      <c r="F1035" s="9">
        <f t="shared" si="43"/>
        <v>1270.6949999999999</v>
      </c>
      <c r="H1035" s="11">
        <v>66020</v>
      </c>
      <c r="I1035" s="9">
        <f t="shared" si="44"/>
        <v>1270.6949999999999</v>
      </c>
    </row>
    <row r="1036" spans="1:9">
      <c r="A1036" s="11">
        <v>66051</v>
      </c>
      <c r="B1036" s="12">
        <f t="shared" si="42"/>
        <v>1270.6949999999999</v>
      </c>
      <c r="C1036" s="10"/>
      <c r="E1036" s="11">
        <v>66051</v>
      </c>
      <c r="F1036" s="9">
        <f t="shared" si="43"/>
        <v>1270.6949999999999</v>
      </c>
      <c r="H1036" s="11">
        <v>66051</v>
      </c>
      <c r="I1036" s="9">
        <f t="shared" si="44"/>
        <v>1270.6949999999999</v>
      </c>
    </row>
    <row r="1037" spans="1:9">
      <c r="A1037" s="11">
        <v>66081</v>
      </c>
      <c r="B1037" s="12">
        <f t="shared" si="42"/>
        <v>1270.6949999999999</v>
      </c>
      <c r="C1037" s="10"/>
      <c r="E1037" s="11">
        <v>66081</v>
      </c>
      <c r="F1037" s="9">
        <f t="shared" si="43"/>
        <v>1270.6949999999999</v>
      </c>
      <c r="H1037" s="11">
        <v>66081</v>
      </c>
      <c r="I1037" s="9">
        <f t="shared" si="44"/>
        <v>1270.6949999999999</v>
      </c>
    </row>
    <row r="1038" spans="1:9">
      <c r="A1038" s="11">
        <v>66112</v>
      </c>
      <c r="B1038" s="12">
        <f t="shared" si="42"/>
        <v>1270.6949999999999</v>
      </c>
      <c r="C1038" s="10"/>
      <c r="E1038" s="11">
        <v>66112</v>
      </c>
      <c r="F1038" s="9">
        <f t="shared" si="43"/>
        <v>1270.6949999999999</v>
      </c>
      <c r="H1038" s="11">
        <v>66112</v>
      </c>
      <c r="I1038" s="9">
        <f t="shared" si="44"/>
        <v>1270.6949999999999</v>
      </c>
    </row>
    <row r="1039" spans="1:9">
      <c r="A1039" s="11">
        <v>66143</v>
      </c>
      <c r="B1039" s="12">
        <f t="shared" si="42"/>
        <v>1270.6949999999999</v>
      </c>
      <c r="C1039" s="10"/>
      <c r="E1039" s="11">
        <v>66143</v>
      </c>
      <c r="F1039" s="9">
        <f t="shared" si="43"/>
        <v>1270.6949999999999</v>
      </c>
      <c r="H1039" s="11">
        <v>66143</v>
      </c>
      <c r="I1039" s="9">
        <f t="shared" si="44"/>
        <v>1270.6949999999999</v>
      </c>
    </row>
    <row r="1040" spans="1:9">
      <c r="A1040" s="11">
        <v>66171</v>
      </c>
      <c r="B1040" s="12">
        <f t="shared" si="42"/>
        <v>1270.6949999999999</v>
      </c>
      <c r="C1040" s="10"/>
      <c r="E1040" s="11">
        <v>66171</v>
      </c>
      <c r="F1040" s="9">
        <f t="shared" si="43"/>
        <v>1270.6949999999999</v>
      </c>
      <c r="H1040" s="11">
        <v>66171</v>
      </c>
      <c r="I1040" s="9">
        <f t="shared" si="44"/>
        <v>1270.6949999999999</v>
      </c>
    </row>
    <row r="1041" spans="1:9">
      <c r="A1041" s="11">
        <v>66202</v>
      </c>
      <c r="B1041" s="12">
        <f t="shared" si="42"/>
        <v>1270.6949999999999</v>
      </c>
      <c r="C1041" s="10"/>
      <c r="E1041" s="11">
        <v>66202</v>
      </c>
      <c r="F1041" s="9">
        <f t="shared" si="43"/>
        <v>1270.6949999999999</v>
      </c>
      <c r="H1041" s="11">
        <v>66202</v>
      </c>
      <c r="I1041" s="9">
        <f t="shared" si="44"/>
        <v>1270.6949999999999</v>
      </c>
    </row>
    <row r="1042" spans="1:9">
      <c r="A1042" s="11">
        <v>66232</v>
      </c>
      <c r="B1042" s="12">
        <f t="shared" si="42"/>
        <v>1270.6949999999999</v>
      </c>
      <c r="C1042" s="10"/>
      <c r="E1042" s="11">
        <v>66232</v>
      </c>
      <c r="F1042" s="9">
        <f t="shared" si="43"/>
        <v>1270.6949999999999</v>
      </c>
      <c r="H1042" s="11">
        <v>66232</v>
      </c>
      <c r="I1042" s="9">
        <f t="shared" si="44"/>
        <v>1270.6949999999999</v>
      </c>
    </row>
    <row r="1043" spans="1:9">
      <c r="A1043" s="11">
        <v>66263</v>
      </c>
      <c r="B1043" s="12">
        <f t="shared" si="42"/>
        <v>1270.6949999999999</v>
      </c>
      <c r="C1043" s="10"/>
      <c r="E1043" s="11">
        <v>66263</v>
      </c>
      <c r="F1043" s="9">
        <f t="shared" si="43"/>
        <v>1270.6949999999999</v>
      </c>
      <c r="H1043" s="11">
        <v>66263</v>
      </c>
      <c r="I1043" s="9">
        <f t="shared" si="44"/>
        <v>1270.6949999999999</v>
      </c>
    </row>
    <row r="1044" spans="1:9">
      <c r="A1044" s="11">
        <v>66293</v>
      </c>
      <c r="B1044" s="12">
        <f t="shared" si="42"/>
        <v>1270.6949999999999</v>
      </c>
      <c r="C1044" s="10"/>
      <c r="E1044" s="11">
        <v>66293</v>
      </c>
      <c r="F1044" s="9">
        <f t="shared" si="43"/>
        <v>1270.6949999999999</v>
      </c>
      <c r="H1044" s="11">
        <v>66293</v>
      </c>
      <c r="I1044" s="9">
        <f t="shared" si="44"/>
        <v>1270.6949999999999</v>
      </c>
    </row>
    <row r="1045" spans="1:9">
      <c r="A1045" s="11">
        <v>66324</v>
      </c>
      <c r="B1045" s="12">
        <f t="shared" si="42"/>
        <v>1270.6949999999999</v>
      </c>
      <c r="C1045" s="10"/>
      <c r="E1045" s="11">
        <v>66324</v>
      </c>
      <c r="F1045" s="9">
        <f t="shared" si="43"/>
        <v>1270.6949999999999</v>
      </c>
      <c r="H1045" s="11">
        <v>66324</v>
      </c>
      <c r="I1045" s="9">
        <f t="shared" si="44"/>
        <v>1270.6949999999999</v>
      </c>
    </row>
    <row r="1046" spans="1:9">
      <c r="A1046" s="11">
        <v>66355</v>
      </c>
      <c r="B1046" s="12">
        <f t="shared" si="42"/>
        <v>1270.6949999999999</v>
      </c>
      <c r="C1046" s="10"/>
      <c r="E1046" s="11">
        <v>66355</v>
      </c>
      <c r="F1046" s="9">
        <f t="shared" si="43"/>
        <v>1270.6949999999999</v>
      </c>
      <c r="H1046" s="11">
        <v>66355</v>
      </c>
      <c r="I1046" s="9">
        <f t="shared" si="44"/>
        <v>1270.6949999999999</v>
      </c>
    </row>
    <row r="1047" spans="1:9">
      <c r="A1047" s="11">
        <v>66385</v>
      </c>
      <c r="B1047" s="12">
        <f t="shared" si="42"/>
        <v>1270.6949999999999</v>
      </c>
      <c r="C1047" s="10"/>
      <c r="E1047" s="11">
        <v>66385</v>
      </c>
      <c r="F1047" s="9">
        <f t="shared" si="43"/>
        <v>1270.6949999999999</v>
      </c>
      <c r="H1047" s="11">
        <v>66385</v>
      </c>
      <c r="I1047" s="9">
        <f t="shared" si="44"/>
        <v>1270.6949999999999</v>
      </c>
    </row>
    <row r="1048" spans="1:9">
      <c r="A1048" s="11">
        <v>66416</v>
      </c>
      <c r="B1048" s="12">
        <f t="shared" si="42"/>
        <v>1270.6949999999999</v>
      </c>
      <c r="C1048" s="10"/>
      <c r="E1048" s="11">
        <v>66416</v>
      </c>
      <c r="F1048" s="9">
        <f t="shared" si="43"/>
        <v>1270.6949999999999</v>
      </c>
      <c r="H1048" s="11">
        <v>66416</v>
      </c>
      <c r="I1048" s="9">
        <f t="shared" si="44"/>
        <v>1270.6949999999999</v>
      </c>
    </row>
    <row r="1049" spans="1:9">
      <c r="A1049" s="11">
        <v>66446</v>
      </c>
      <c r="B1049" s="12">
        <f t="shared" si="42"/>
        <v>1270.6949999999999</v>
      </c>
      <c r="C1049" s="10"/>
      <c r="E1049" s="11">
        <v>66446</v>
      </c>
      <c r="F1049" s="9">
        <f t="shared" si="43"/>
        <v>1270.6949999999999</v>
      </c>
      <c r="H1049" s="11">
        <v>66446</v>
      </c>
      <c r="I1049" s="9">
        <f t="shared" si="44"/>
        <v>1270.6949999999999</v>
      </c>
    </row>
    <row r="1050" spans="1:9">
      <c r="A1050" s="11">
        <v>66477</v>
      </c>
      <c r="B1050" s="12">
        <f t="shared" si="42"/>
        <v>1270.6949999999999</v>
      </c>
      <c r="C1050" s="10"/>
      <c r="E1050" s="11">
        <v>66477</v>
      </c>
      <c r="F1050" s="9">
        <f t="shared" si="43"/>
        <v>1270.6949999999999</v>
      </c>
      <c r="H1050" s="11">
        <v>66477</v>
      </c>
      <c r="I1050" s="9">
        <f t="shared" si="44"/>
        <v>1270.6949999999999</v>
      </c>
    </row>
    <row r="1051" spans="1:9">
      <c r="A1051" s="11">
        <v>66508</v>
      </c>
      <c r="B1051" s="12">
        <f t="shared" si="42"/>
        <v>1270.6949999999999</v>
      </c>
      <c r="C1051" s="10"/>
      <c r="E1051" s="11">
        <v>66508</v>
      </c>
      <c r="F1051" s="9">
        <f t="shared" si="43"/>
        <v>1270.6949999999999</v>
      </c>
      <c r="H1051" s="11">
        <v>66508</v>
      </c>
      <c r="I1051" s="9">
        <f t="shared" si="44"/>
        <v>1270.6949999999999</v>
      </c>
    </row>
    <row r="1052" spans="1:9">
      <c r="A1052" s="11">
        <v>66536</v>
      </c>
      <c r="B1052" s="12">
        <f t="shared" si="42"/>
        <v>1270.6949999999999</v>
      </c>
      <c r="C1052" s="10"/>
      <c r="E1052" s="11">
        <v>66536</v>
      </c>
      <c r="F1052" s="9">
        <f t="shared" si="43"/>
        <v>1270.6949999999999</v>
      </c>
      <c r="H1052" s="11">
        <v>66536</v>
      </c>
      <c r="I1052" s="9">
        <f t="shared" si="44"/>
        <v>1270.6949999999999</v>
      </c>
    </row>
    <row r="1053" spans="1:9">
      <c r="A1053" s="11">
        <v>66567</v>
      </c>
      <c r="B1053" s="12">
        <f t="shared" si="42"/>
        <v>1270.6949999999999</v>
      </c>
      <c r="C1053" s="10"/>
      <c r="E1053" s="11">
        <v>66567</v>
      </c>
      <c r="F1053" s="9">
        <f t="shared" si="43"/>
        <v>1270.6949999999999</v>
      </c>
      <c r="H1053" s="11">
        <v>66567</v>
      </c>
      <c r="I1053" s="9">
        <f t="shared" si="44"/>
        <v>1270.6949999999999</v>
      </c>
    </row>
    <row r="1054" spans="1:9">
      <c r="A1054" s="11">
        <v>66597</v>
      </c>
      <c r="B1054" s="12">
        <f t="shared" si="42"/>
        <v>1270.6949999999999</v>
      </c>
      <c r="C1054" s="10"/>
      <c r="E1054" s="11">
        <v>66597</v>
      </c>
      <c r="F1054" s="9">
        <f t="shared" si="43"/>
        <v>1270.6949999999999</v>
      </c>
      <c r="H1054" s="11">
        <v>66597</v>
      </c>
      <c r="I1054" s="9">
        <f t="shared" si="44"/>
        <v>1270.6949999999999</v>
      </c>
    </row>
    <row r="1055" spans="1:9">
      <c r="A1055" s="11">
        <v>66628</v>
      </c>
      <c r="B1055" s="12">
        <f t="shared" si="42"/>
        <v>1270.6949999999999</v>
      </c>
      <c r="C1055" s="10"/>
      <c r="E1055" s="11">
        <v>66628</v>
      </c>
      <c r="F1055" s="9">
        <f t="shared" si="43"/>
        <v>1270.6949999999999</v>
      </c>
      <c r="H1055" s="11">
        <v>66628</v>
      </c>
      <c r="I1055" s="9">
        <f t="shared" si="44"/>
        <v>1270.6949999999999</v>
      </c>
    </row>
    <row r="1056" spans="1:9">
      <c r="A1056" s="11">
        <v>66658</v>
      </c>
      <c r="B1056" s="12">
        <f t="shared" si="42"/>
        <v>1270.6949999999999</v>
      </c>
      <c r="C1056" s="10"/>
      <c r="E1056" s="11">
        <v>66658</v>
      </c>
      <c r="F1056" s="9">
        <f t="shared" si="43"/>
        <v>1270.6949999999999</v>
      </c>
      <c r="H1056" s="11">
        <v>66658</v>
      </c>
      <c r="I1056" s="9">
        <f t="shared" si="44"/>
        <v>1270.6949999999999</v>
      </c>
    </row>
    <row r="1057" spans="1:9">
      <c r="A1057" s="11">
        <v>66689</v>
      </c>
      <c r="B1057" s="12">
        <f t="shared" ref="B1057:B1120" si="45">B1056</f>
        <v>1270.6949999999999</v>
      </c>
      <c r="C1057" s="10"/>
      <c r="E1057" s="11">
        <v>66689</v>
      </c>
      <c r="F1057" s="9">
        <f t="shared" si="43"/>
        <v>1270.6949999999999</v>
      </c>
      <c r="H1057" s="11">
        <v>66689</v>
      </c>
      <c r="I1057" s="9">
        <f t="shared" si="44"/>
        <v>1270.6949999999999</v>
      </c>
    </row>
    <row r="1058" spans="1:9">
      <c r="A1058" s="11">
        <v>66720</v>
      </c>
      <c r="B1058" s="12">
        <f t="shared" si="45"/>
        <v>1270.6949999999999</v>
      </c>
      <c r="C1058" s="10"/>
      <c r="E1058" s="11">
        <v>66720</v>
      </c>
      <c r="F1058" s="9">
        <f t="shared" si="43"/>
        <v>1270.6949999999999</v>
      </c>
      <c r="H1058" s="11">
        <v>66720</v>
      </c>
      <c r="I1058" s="9">
        <f t="shared" si="44"/>
        <v>1270.6949999999999</v>
      </c>
    </row>
    <row r="1059" spans="1:9">
      <c r="A1059" s="11">
        <v>66750</v>
      </c>
      <c r="B1059" s="12">
        <f t="shared" si="45"/>
        <v>1270.6949999999999</v>
      </c>
      <c r="C1059" s="10"/>
      <c r="E1059" s="11">
        <v>66750</v>
      </c>
      <c r="F1059" s="9">
        <f t="shared" si="43"/>
        <v>1270.6949999999999</v>
      </c>
      <c r="H1059" s="11">
        <v>66750</v>
      </c>
      <c r="I1059" s="9">
        <f t="shared" si="44"/>
        <v>1270.6949999999999</v>
      </c>
    </row>
    <row r="1060" spans="1:9">
      <c r="A1060" s="11">
        <v>66781</v>
      </c>
      <c r="B1060" s="12">
        <f t="shared" si="45"/>
        <v>1270.6949999999999</v>
      </c>
      <c r="C1060" s="10"/>
      <c r="E1060" s="11">
        <v>66781</v>
      </c>
      <c r="F1060" s="9">
        <f t="shared" si="43"/>
        <v>1270.6949999999999</v>
      </c>
      <c r="H1060" s="11">
        <v>66781</v>
      </c>
      <c r="I1060" s="9">
        <f t="shared" si="44"/>
        <v>1270.6949999999999</v>
      </c>
    </row>
    <row r="1061" spans="1:9">
      <c r="A1061" s="11">
        <v>66811</v>
      </c>
      <c r="B1061" s="12">
        <f t="shared" si="45"/>
        <v>1270.6949999999999</v>
      </c>
      <c r="C1061" s="10"/>
      <c r="E1061" s="11">
        <v>66811</v>
      </c>
      <c r="F1061" s="9">
        <f t="shared" si="43"/>
        <v>1270.6949999999999</v>
      </c>
      <c r="H1061" s="11">
        <v>66811</v>
      </c>
      <c r="I1061" s="9">
        <f t="shared" si="44"/>
        <v>1270.6949999999999</v>
      </c>
    </row>
    <row r="1062" spans="1:9">
      <c r="A1062" s="11">
        <v>66842</v>
      </c>
      <c r="B1062" s="12">
        <f t="shared" si="45"/>
        <v>1270.6949999999999</v>
      </c>
      <c r="C1062" s="10"/>
      <c r="E1062" s="11">
        <v>66842</v>
      </c>
      <c r="F1062" s="9">
        <f t="shared" si="43"/>
        <v>1270.6949999999999</v>
      </c>
      <c r="H1062" s="11">
        <v>66842</v>
      </c>
      <c r="I1062" s="9">
        <f t="shared" si="44"/>
        <v>1270.6949999999999</v>
      </c>
    </row>
    <row r="1063" spans="1:9">
      <c r="A1063" s="11">
        <v>66873</v>
      </c>
      <c r="B1063" s="12">
        <f t="shared" si="45"/>
        <v>1270.6949999999999</v>
      </c>
      <c r="C1063" s="10"/>
      <c r="E1063" s="11">
        <v>66873</v>
      </c>
      <c r="F1063" s="9">
        <f t="shared" si="43"/>
        <v>1270.6949999999999</v>
      </c>
      <c r="H1063" s="11">
        <v>66873</v>
      </c>
      <c r="I1063" s="9">
        <f t="shared" si="44"/>
        <v>1270.6949999999999</v>
      </c>
    </row>
    <row r="1064" spans="1:9">
      <c r="A1064" s="11">
        <v>66901</v>
      </c>
      <c r="B1064" s="12">
        <f t="shared" si="45"/>
        <v>1270.6949999999999</v>
      </c>
      <c r="C1064" s="10"/>
      <c r="E1064" s="11">
        <v>66901</v>
      </c>
      <c r="F1064" s="9">
        <f t="shared" si="43"/>
        <v>1270.6949999999999</v>
      </c>
      <c r="H1064" s="11">
        <v>66901</v>
      </c>
      <c r="I1064" s="9">
        <f t="shared" si="44"/>
        <v>1270.6949999999999</v>
      </c>
    </row>
    <row r="1065" spans="1:9">
      <c r="A1065" s="11">
        <v>66932</v>
      </c>
      <c r="B1065" s="12">
        <f t="shared" si="45"/>
        <v>1270.6949999999999</v>
      </c>
      <c r="C1065" s="10"/>
      <c r="E1065" s="11">
        <v>66932</v>
      </c>
      <c r="F1065" s="9">
        <f t="shared" si="43"/>
        <v>1270.6949999999999</v>
      </c>
      <c r="H1065" s="11">
        <v>66932</v>
      </c>
      <c r="I1065" s="9">
        <f t="shared" si="44"/>
        <v>1270.6949999999999</v>
      </c>
    </row>
    <row r="1066" spans="1:9">
      <c r="A1066" s="11">
        <v>66962</v>
      </c>
      <c r="B1066" s="12">
        <f t="shared" si="45"/>
        <v>1270.6949999999999</v>
      </c>
      <c r="C1066" s="10"/>
      <c r="E1066" s="11">
        <v>66962</v>
      </c>
      <c r="F1066" s="9">
        <f t="shared" si="43"/>
        <v>1270.6949999999999</v>
      </c>
      <c r="H1066" s="11">
        <v>66962</v>
      </c>
      <c r="I1066" s="9">
        <f t="shared" si="44"/>
        <v>1270.6949999999999</v>
      </c>
    </row>
    <row r="1067" spans="1:9">
      <c r="A1067" s="11">
        <v>66993</v>
      </c>
      <c r="B1067" s="12">
        <f t="shared" si="45"/>
        <v>1270.6949999999999</v>
      </c>
      <c r="C1067" s="10"/>
      <c r="E1067" s="11">
        <v>66993</v>
      </c>
      <c r="F1067" s="9">
        <f t="shared" ref="F1067:F1130" si="46">B1066</f>
        <v>1270.6949999999999</v>
      </c>
      <c r="H1067" s="11">
        <v>66993</v>
      </c>
      <c r="I1067" s="9">
        <f t="shared" ref="I1067:I1130" si="47">B1065</f>
        <v>1270.6949999999999</v>
      </c>
    </row>
    <row r="1068" spans="1:9">
      <c r="A1068" s="11">
        <v>67023</v>
      </c>
      <c r="B1068" s="12">
        <f t="shared" si="45"/>
        <v>1270.6949999999999</v>
      </c>
      <c r="C1068" s="10"/>
      <c r="E1068" s="11">
        <v>67023</v>
      </c>
      <c r="F1068" s="9">
        <f t="shared" si="46"/>
        <v>1270.6949999999999</v>
      </c>
      <c r="H1068" s="11">
        <v>67023</v>
      </c>
      <c r="I1068" s="9">
        <f t="shared" si="47"/>
        <v>1270.6949999999999</v>
      </c>
    </row>
    <row r="1069" spans="1:9">
      <c r="A1069" s="11">
        <v>67054</v>
      </c>
      <c r="B1069" s="12">
        <f t="shared" si="45"/>
        <v>1270.6949999999999</v>
      </c>
      <c r="C1069" s="10"/>
      <c r="E1069" s="11">
        <v>67054</v>
      </c>
      <c r="F1069" s="9">
        <f t="shared" si="46"/>
        <v>1270.6949999999999</v>
      </c>
      <c r="H1069" s="11">
        <v>67054</v>
      </c>
      <c r="I1069" s="9">
        <f t="shared" si="47"/>
        <v>1270.6949999999999</v>
      </c>
    </row>
    <row r="1070" spans="1:9">
      <c r="A1070" s="11">
        <v>67085</v>
      </c>
      <c r="B1070" s="12">
        <f t="shared" si="45"/>
        <v>1270.6949999999999</v>
      </c>
      <c r="C1070" s="10"/>
      <c r="E1070" s="11">
        <v>67085</v>
      </c>
      <c r="F1070" s="9">
        <f t="shared" si="46"/>
        <v>1270.6949999999999</v>
      </c>
      <c r="H1070" s="11">
        <v>67085</v>
      </c>
      <c r="I1070" s="9">
        <f t="shared" si="47"/>
        <v>1270.6949999999999</v>
      </c>
    </row>
    <row r="1071" spans="1:9">
      <c r="A1071" s="11">
        <v>67115</v>
      </c>
      <c r="B1071" s="12">
        <f t="shared" si="45"/>
        <v>1270.6949999999999</v>
      </c>
      <c r="C1071" s="10"/>
      <c r="E1071" s="11">
        <v>67115</v>
      </c>
      <c r="F1071" s="9">
        <f t="shared" si="46"/>
        <v>1270.6949999999999</v>
      </c>
      <c r="H1071" s="11">
        <v>67115</v>
      </c>
      <c r="I1071" s="9">
        <f t="shared" si="47"/>
        <v>1270.6949999999999</v>
      </c>
    </row>
    <row r="1072" spans="1:9">
      <c r="A1072" s="11">
        <v>67146</v>
      </c>
      <c r="B1072" s="12">
        <f t="shared" si="45"/>
        <v>1270.6949999999999</v>
      </c>
      <c r="C1072" s="10"/>
      <c r="E1072" s="11">
        <v>67146</v>
      </c>
      <c r="F1072" s="9">
        <f t="shared" si="46"/>
        <v>1270.6949999999999</v>
      </c>
      <c r="H1072" s="11">
        <v>67146</v>
      </c>
      <c r="I1072" s="9">
        <f t="shared" si="47"/>
        <v>1270.6949999999999</v>
      </c>
    </row>
    <row r="1073" spans="1:9">
      <c r="A1073" s="11">
        <v>67176</v>
      </c>
      <c r="B1073" s="12">
        <f t="shared" si="45"/>
        <v>1270.6949999999999</v>
      </c>
      <c r="C1073" s="10"/>
      <c r="E1073" s="11">
        <v>67176</v>
      </c>
      <c r="F1073" s="9">
        <f t="shared" si="46"/>
        <v>1270.6949999999999</v>
      </c>
      <c r="H1073" s="11">
        <v>67176</v>
      </c>
      <c r="I1073" s="9">
        <f t="shared" si="47"/>
        <v>1270.6949999999999</v>
      </c>
    </row>
    <row r="1074" spans="1:9">
      <c r="A1074" s="11">
        <v>67207</v>
      </c>
      <c r="B1074" s="12">
        <f t="shared" si="45"/>
        <v>1270.6949999999999</v>
      </c>
      <c r="C1074" s="10"/>
      <c r="E1074" s="11">
        <v>67207</v>
      </c>
      <c r="F1074" s="9">
        <f t="shared" si="46"/>
        <v>1270.6949999999999</v>
      </c>
      <c r="H1074" s="11">
        <v>67207</v>
      </c>
      <c r="I1074" s="9">
        <f t="shared" si="47"/>
        <v>1270.6949999999999</v>
      </c>
    </row>
    <row r="1075" spans="1:9">
      <c r="A1075" s="11">
        <v>67238</v>
      </c>
      <c r="B1075" s="12">
        <f t="shared" si="45"/>
        <v>1270.6949999999999</v>
      </c>
      <c r="C1075" s="10"/>
      <c r="E1075" s="11">
        <v>67238</v>
      </c>
      <c r="F1075" s="9">
        <f t="shared" si="46"/>
        <v>1270.6949999999999</v>
      </c>
      <c r="H1075" s="11">
        <v>67238</v>
      </c>
      <c r="I1075" s="9">
        <f t="shared" si="47"/>
        <v>1270.6949999999999</v>
      </c>
    </row>
    <row r="1076" spans="1:9">
      <c r="A1076" s="11">
        <v>67267</v>
      </c>
      <c r="B1076" s="12">
        <f t="shared" si="45"/>
        <v>1270.6949999999999</v>
      </c>
      <c r="C1076" s="10"/>
      <c r="E1076" s="11">
        <v>67267</v>
      </c>
      <c r="F1076" s="9">
        <f t="shared" si="46"/>
        <v>1270.6949999999999</v>
      </c>
      <c r="H1076" s="11">
        <v>67267</v>
      </c>
      <c r="I1076" s="9">
        <f t="shared" si="47"/>
        <v>1270.6949999999999</v>
      </c>
    </row>
    <row r="1077" spans="1:9">
      <c r="A1077" s="11">
        <v>67298</v>
      </c>
      <c r="B1077" s="12">
        <f t="shared" si="45"/>
        <v>1270.6949999999999</v>
      </c>
      <c r="C1077" s="10"/>
      <c r="E1077" s="11">
        <v>67298</v>
      </c>
      <c r="F1077" s="9">
        <f t="shared" si="46"/>
        <v>1270.6949999999999</v>
      </c>
      <c r="H1077" s="11">
        <v>67298</v>
      </c>
      <c r="I1077" s="9">
        <f t="shared" si="47"/>
        <v>1270.6949999999999</v>
      </c>
    </row>
    <row r="1078" spans="1:9">
      <c r="A1078" s="11">
        <v>67328</v>
      </c>
      <c r="B1078" s="12">
        <f t="shared" si="45"/>
        <v>1270.6949999999999</v>
      </c>
      <c r="C1078" s="10"/>
      <c r="E1078" s="11">
        <v>67328</v>
      </c>
      <c r="F1078" s="9">
        <f t="shared" si="46"/>
        <v>1270.6949999999999</v>
      </c>
      <c r="H1078" s="11">
        <v>67328</v>
      </c>
      <c r="I1078" s="9">
        <f t="shared" si="47"/>
        <v>1270.6949999999999</v>
      </c>
    </row>
    <row r="1079" spans="1:9">
      <c r="A1079" s="11">
        <v>67359</v>
      </c>
      <c r="B1079" s="12">
        <f t="shared" si="45"/>
        <v>1270.6949999999999</v>
      </c>
      <c r="C1079" s="10"/>
      <c r="E1079" s="11">
        <v>67359</v>
      </c>
      <c r="F1079" s="9">
        <f t="shared" si="46"/>
        <v>1270.6949999999999</v>
      </c>
      <c r="H1079" s="11">
        <v>67359</v>
      </c>
      <c r="I1079" s="9">
        <f t="shared" si="47"/>
        <v>1270.6949999999999</v>
      </c>
    </row>
    <row r="1080" spans="1:9">
      <c r="A1080" s="11">
        <v>67389</v>
      </c>
      <c r="B1080" s="12">
        <f t="shared" si="45"/>
        <v>1270.6949999999999</v>
      </c>
      <c r="C1080" s="10"/>
      <c r="E1080" s="11">
        <v>67389</v>
      </c>
      <c r="F1080" s="9">
        <f t="shared" si="46"/>
        <v>1270.6949999999999</v>
      </c>
      <c r="H1080" s="11">
        <v>67389</v>
      </c>
      <c r="I1080" s="9">
        <f t="shared" si="47"/>
        <v>1270.6949999999999</v>
      </c>
    </row>
    <row r="1081" spans="1:9">
      <c r="A1081" s="11">
        <v>67420</v>
      </c>
      <c r="B1081" s="12">
        <f t="shared" si="45"/>
        <v>1270.6949999999999</v>
      </c>
      <c r="C1081" s="10"/>
      <c r="E1081" s="11">
        <v>67420</v>
      </c>
      <c r="F1081" s="9">
        <f t="shared" si="46"/>
        <v>1270.6949999999999</v>
      </c>
      <c r="H1081" s="11">
        <v>67420</v>
      </c>
      <c r="I1081" s="9">
        <f t="shared" si="47"/>
        <v>1270.6949999999999</v>
      </c>
    </row>
    <row r="1082" spans="1:9">
      <c r="A1082" s="11">
        <v>67451</v>
      </c>
      <c r="B1082" s="12">
        <f t="shared" si="45"/>
        <v>1270.6949999999999</v>
      </c>
      <c r="C1082" s="10"/>
      <c r="E1082" s="11">
        <v>67451</v>
      </c>
      <c r="F1082" s="9">
        <f t="shared" si="46"/>
        <v>1270.6949999999999</v>
      </c>
      <c r="H1082" s="11">
        <v>67451</v>
      </c>
      <c r="I1082" s="9">
        <f t="shared" si="47"/>
        <v>1270.6949999999999</v>
      </c>
    </row>
    <row r="1083" spans="1:9">
      <c r="A1083" s="11">
        <v>67481</v>
      </c>
      <c r="B1083" s="12">
        <f t="shared" si="45"/>
        <v>1270.6949999999999</v>
      </c>
      <c r="C1083" s="10"/>
      <c r="E1083" s="11">
        <v>67481</v>
      </c>
      <c r="F1083" s="9">
        <f t="shared" si="46"/>
        <v>1270.6949999999999</v>
      </c>
      <c r="H1083" s="11">
        <v>67481</v>
      </c>
      <c r="I1083" s="9">
        <f t="shared" si="47"/>
        <v>1270.6949999999999</v>
      </c>
    </row>
    <row r="1084" spans="1:9">
      <c r="A1084" s="11">
        <v>67512</v>
      </c>
      <c r="B1084" s="12">
        <f t="shared" si="45"/>
        <v>1270.6949999999999</v>
      </c>
      <c r="C1084" s="10"/>
      <c r="E1084" s="11">
        <v>67512</v>
      </c>
      <c r="F1084" s="9">
        <f t="shared" si="46"/>
        <v>1270.6949999999999</v>
      </c>
      <c r="H1084" s="11">
        <v>67512</v>
      </c>
      <c r="I1084" s="9">
        <f t="shared" si="47"/>
        <v>1270.6949999999999</v>
      </c>
    </row>
    <row r="1085" spans="1:9">
      <c r="A1085" s="11">
        <v>67542</v>
      </c>
      <c r="B1085" s="12">
        <f t="shared" si="45"/>
        <v>1270.6949999999999</v>
      </c>
      <c r="C1085" s="10"/>
      <c r="E1085" s="11">
        <v>67542</v>
      </c>
      <c r="F1085" s="9">
        <f t="shared" si="46"/>
        <v>1270.6949999999999</v>
      </c>
      <c r="H1085" s="11">
        <v>67542</v>
      </c>
      <c r="I1085" s="9">
        <f t="shared" si="47"/>
        <v>1270.6949999999999</v>
      </c>
    </row>
    <row r="1086" spans="1:9">
      <c r="A1086" s="11">
        <v>67573</v>
      </c>
      <c r="B1086" s="12">
        <f t="shared" si="45"/>
        <v>1270.6949999999999</v>
      </c>
      <c r="C1086" s="10"/>
      <c r="E1086" s="11">
        <v>67573</v>
      </c>
      <c r="F1086" s="9">
        <f t="shared" si="46"/>
        <v>1270.6949999999999</v>
      </c>
      <c r="H1086" s="11">
        <v>67573</v>
      </c>
      <c r="I1086" s="9">
        <f t="shared" si="47"/>
        <v>1270.6949999999999</v>
      </c>
    </row>
    <row r="1087" spans="1:9">
      <c r="A1087" s="11">
        <v>67604</v>
      </c>
      <c r="B1087" s="12">
        <f t="shared" si="45"/>
        <v>1270.6949999999999</v>
      </c>
      <c r="C1087" s="10"/>
      <c r="E1087" s="11">
        <v>67604</v>
      </c>
      <c r="F1087" s="9">
        <f t="shared" si="46"/>
        <v>1270.6949999999999</v>
      </c>
      <c r="H1087" s="11">
        <v>67604</v>
      </c>
      <c r="I1087" s="9">
        <f t="shared" si="47"/>
        <v>1270.6949999999999</v>
      </c>
    </row>
    <row r="1088" spans="1:9">
      <c r="A1088" s="11">
        <v>67632</v>
      </c>
      <c r="B1088" s="12">
        <f t="shared" si="45"/>
        <v>1270.6949999999999</v>
      </c>
      <c r="C1088" s="10"/>
      <c r="E1088" s="11">
        <v>67632</v>
      </c>
      <c r="F1088" s="9">
        <f t="shared" si="46"/>
        <v>1270.6949999999999</v>
      </c>
      <c r="H1088" s="11">
        <v>67632</v>
      </c>
      <c r="I1088" s="9">
        <f t="shared" si="47"/>
        <v>1270.6949999999999</v>
      </c>
    </row>
    <row r="1089" spans="1:9">
      <c r="A1089" s="11">
        <v>67663</v>
      </c>
      <c r="B1089" s="12">
        <f t="shared" si="45"/>
        <v>1270.6949999999999</v>
      </c>
      <c r="C1089" s="10"/>
      <c r="E1089" s="11">
        <v>67663</v>
      </c>
      <c r="F1089" s="9">
        <f t="shared" si="46"/>
        <v>1270.6949999999999</v>
      </c>
      <c r="H1089" s="11">
        <v>67663</v>
      </c>
      <c r="I1089" s="9">
        <f t="shared" si="47"/>
        <v>1270.6949999999999</v>
      </c>
    </row>
    <row r="1090" spans="1:9">
      <c r="A1090" s="11">
        <v>67693</v>
      </c>
      <c r="B1090" s="12">
        <f t="shared" si="45"/>
        <v>1270.6949999999999</v>
      </c>
      <c r="C1090" s="10"/>
      <c r="E1090" s="11">
        <v>67693</v>
      </c>
      <c r="F1090" s="9">
        <f t="shared" si="46"/>
        <v>1270.6949999999999</v>
      </c>
      <c r="H1090" s="11">
        <v>67693</v>
      </c>
      <c r="I1090" s="9">
        <f t="shared" si="47"/>
        <v>1270.6949999999999</v>
      </c>
    </row>
    <row r="1091" spans="1:9">
      <c r="A1091" s="11">
        <v>67724</v>
      </c>
      <c r="B1091" s="12">
        <f t="shared" si="45"/>
        <v>1270.6949999999999</v>
      </c>
      <c r="C1091" s="10"/>
      <c r="E1091" s="11">
        <v>67724</v>
      </c>
      <c r="F1091" s="9">
        <f t="shared" si="46"/>
        <v>1270.6949999999999</v>
      </c>
      <c r="H1091" s="11">
        <v>67724</v>
      </c>
      <c r="I1091" s="9">
        <f t="shared" si="47"/>
        <v>1270.6949999999999</v>
      </c>
    </row>
    <row r="1092" spans="1:9">
      <c r="A1092" s="11">
        <v>67754</v>
      </c>
      <c r="B1092" s="12">
        <f t="shared" si="45"/>
        <v>1270.6949999999999</v>
      </c>
      <c r="C1092" s="10"/>
      <c r="E1092" s="11">
        <v>67754</v>
      </c>
      <c r="F1092" s="9">
        <f t="shared" si="46"/>
        <v>1270.6949999999999</v>
      </c>
      <c r="H1092" s="11">
        <v>67754</v>
      </c>
      <c r="I1092" s="9">
        <f t="shared" si="47"/>
        <v>1270.6949999999999</v>
      </c>
    </row>
    <row r="1093" spans="1:9">
      <c r="A1093" s="11">
        <v>67785</v>
      </c>
      <c r="B1093" s="12">
        <f t="shared" si="45"/>
        <v>1270.6949999999999</v>
      </c>
      <c r="C1093" s="10"/>
      <c r="E1093" s="11">
        <v>67785</v>
      </c>
      <c r="F1093" s="9">
        <f t="shared" si="46"/>
        <v>1270.6949999999999</v>
      </c>
      <c r="H1093" s="11">
        <v>67785</v>
      </c>
      <c r="I1093" s="9">
        <f t="shared" si="47"/>
        <v>1270.6949999999999</v>
      </c>
    </row>
    <row r="1094" spans="1:9">
      <c r="A1094" s="11">
        <v>67816</v>
      </c>
      <c r="B1094" s="12">
        <f t="shared" si="45"/>
        <v>1270.6949999999999</v>
      </c>
      <c r="C1094" s="10"/>
      <c r="E1094" s="11">
        <v>67816</v>
      </c>
      <c r="F1094" s="9">
        <f t="shared" si="46"/>
        <v>1270.6949999999999</v>
      </c>
      <c r="H1094" s="11">
        <v>67816</v>
      </c>
      <c r="I1094" s="9">
        <f t="shared" si="47"/>
        <v>1270.6949999999999</v>
      </c>
    </row>
    <row r="1095" spans="1:9">
      <c r="A1095" s="11">
        <v>67846</v>
      </c>
      <c r="B1095" s="12">
        <f t="shared" si="45"/>
        <v>1270.6949999999999</v>
      </c>
      <c r="C1095" s="10"/>
      <c r="E1095" s="11">
        <v>67846</v>
      </c>
      <c r="F1095" s="9">
        <f t="shared" si="46"/>
        <v>1270.6949999999999</v>
      </c>
      <c r="H1095" s="11">
        <v>67846</v>
      </c>
      <c r="I1095" s="9">
        <f t="shared" si="47"/>
        <v>1270.6949999999999</v>
      </c>
    </row>
    <row r="1096" spans="1:9">
      <c r="A1096" s="11">
        <v>67877</v>
      </c>
      <c r="B1096" s="12">
        <f t="shared" si="45"/>
        <v>1270.6949999999999</v>
      </c>
      <c r="C1096" s="10"/>
      <c r="E1096" s="11">
        <v>67877</v>
      </c>
      <c r="F1096" s="9">
        <f t="shared" si="46"/>
        <v>1270.6949999999999</v>
      </c>
      <c r="H1096" s="11">
        <v>67877</v>
      </c>
      <c r="I1096" s="9">
        <f t="shared" si="47"/>
        <v>1270.6949999999999</v>
      </c>
    </row>
    <row r="1097" spans="1:9">
      <c r="A1097" s="11">
        <v>67907</v>
      </c>
      <c r="B1097" s="12">
        <f t="shared" si="45"/>
        <v>1270.6949999999999</v>
      </c>
      <c r="C1097" s="10"/>
      <c r="E1097" s="11">
        <v>67907</v>
      </c>
      <c r="F1097" s="9">
        <f t="shared" si="46"/>
        <v>1270.6949999999999</v>
      </c>
      <c r="H1097" s="11">
        <v>67907</v>
      </c>
      <c r="I1097" s="9">
        <f t="shared" si="47"/>
        <v>1270.6949999999999</v>
      </c>
    </row>
    <row r="1098" spans="1:9">
      <c r="A1098" s="11">
        <v>67938</v>
      </c>
      <c r="B1098" s="12">
        <f t="shared" si="45"/>
        <v>1270.6949999999999</v>
      </c>
      <c r="C1098" s="10"/>
      <c r="E1098" s="11">
        <v>67938</v>
      </c>
      <c r="F1098" s="9">
        <f t="shared" si="46"/>
        <v>1270.6949999999999</v>
      </c>
      <c r="H1098" s="11">
        <v>67938</v>
      </c>
      <c r="I1098" s="9">
        <f t="shared" si="47"/>
        <v>1270.6949999999999</v>
      </c>
    </row>
    <row r="1099" spans="1:9">
      <c r="A1099" s="11">
        <v>67969</v>
      </c>
      <c r="B1099" s="12">
        <f t="shared" si="45"/>
        <v>1270.6949999999999</v>
      </c>
      <c r="C1099" s="10"/>
      <c r="E1099" s="11">
        <v>67969</v>
      </c>
      <c r="F1099" s="9">
        <f t="shared" si="46"/>
        <v>1270.6949999999999</v>
      </c>
      <c r="H1099" s="11">
        <v>67969</v>
      </c>
      <c r="I1099" s="9">
        <f t="shared" si="47"/>
        <v>1270.6949999999999</v>
      </c>
    </row>
    <row r="1100" spans="1:9">
      <c r="A1100" s="11">
        <v>67997</v>
      </c>
      <c r="B1100" s="12">
        <f t="shared" si="45"/>
        <v>1270.6949999999999</v>
      </c>
      <c r="C1100" s="10"/>
      <c r="E1100" s="11">
        <v>67997</v>
      </c>
      <c r="F1100" s="9">
        <f t="shared" si="46"/>
        <v>1270.6949999999999</v>
      </c>
      <c r="H1100" s="11">
        <v>67997</v>
      </c>
      <c r="I1100" s="9">
        <f t="shared" si="47"/>
        <v>1270.6949999999999</v>
      </c>
    </row>
    <row r="1101" spans="1:9">
      <c r="A1101" s="11">
        <v>68028</v>
      </c>
      <c r="B1101" s="12">
        <f t="shared" si="45"/>
        <v>1270.6949999999999</v>
      </c>
      <c r="C1101" s="10"/>
      <c r="E1101" s="11">
        <v>68028</v>
      </c>
      <c r="F1101" s="9">
        <f t="shared" si="46"/>
        <v>1270.6949999999999</v>
      </c>
      <c r="H1101" s="11">
        <v>68028</v>
      </c>
      <c r="I1101" s="9">
        <f t="shared" si="47"/>
        <v>1270.6949999999999</v>
      </c>
    </row>
    <row r="1102" spans="1:9">
      <c r="A1102" s="11">
        <v>68058</v>
      </c>
      <c r="B1102" s="12">
        <f t="shared" si="45"/>
        <v>1270.6949999999999</v>
      </c>
      <c r="C1102" s="10"/>
      <c r="E1102" s="11">
        <v>68058</v>
      </c>
      <c r="F1102" s="9">
        <f t="shared" si="46"/>
        <v>1270.6949999999999</v>
      </c>
      <c r="H1102" s="11">
        <v>68058</v>
      </c>
      <c r="I1102" s="9">
        <f t="shared" si="47"/>
        <v>1270.6949999999999</v>
      </c>
    </row>
    <row r="1103" spans="1:9">
      <c r="A1103" s="11">
        <v>68089</v>
      </c>
      <c r="B1103" s="12">
        <f t="shared" si="45"/>
        <v>1270.6949999999999</v>
      </c>
      <c r="C1103" s="10"/>
      <c r="E1103" s="11">
        <v>68089</v>
      </c>
      <c r="F1103" s="9">
        <f t="shared" si="46"/>
        <v>1270.6949999999999</v>
      </c>
      <c r="H1103" s="11">
        <v>68089</v>
      </c>
      <c r="I1103" s="9">
        <f t="shared" si="47"/>
        <v>1270.6949999999999</v>
      </c>
    </row>
    <row r="1104" spans="1:9">
      <c r="A1104" s="11">
        <v>68119</v>
      </c>
      <c r="B1104" s="12">
        <f t="shared" si="45"/>
        <v>1270.6949999999999</v>
      </c>
      <c r="C1104" s="10"/>
      <c r="E1104" s="11">
        <v>68119</v>
      </c>
      <c r="F1104" s="9">
        <f t="shared" si="46"/>
        <v>1270.6949999999999</v>
      </c>
      <c r="H1104" s="11">
        <v>68119</v>
      </c>
      <c r="I1104" s="9">
        <f t="shared" si="47"/>
        <v>1270.6949999999999</v>
      </c>
    </row>
    <row r="1105" spans="1:9">
      <c r="A1105" s="11">
        <v>68150</v>
      </c>
      <c r="B1105" s="12">
        <f t="shared" si="45"/>
        <v>1270.6949999999999</v>
      </c>
      <c r="C1105" s="10"/>
      <c r="E1105" s="11">
        <v>68150</v>
      </c>
      <c r="F1105" s="9">
        <f t="shared" si="46"/>
        <v>1270.6949999999999</v>
      </c>
      <c r="H1105" s="11">
        <v>68150</v>
      </c>
      <c r="I1105" s="9">
        <f t="shared" si="47"/>
        <v>1270.6949999999999</v>
      </c>
    </row>
    <row r="1106" spans="1:9">
      <c r="A1106" s="11">
        <v>68181</v>
      </c>
      <c r="B1106" s="12">
        <f t="shared" si="45"/>
        <v>1270.6949999999999</v>
      </c>
      <c r="C1106" s="10"/>
      <c r="E1106" s="11">
        <v>68181</v>
      </c>
      <c r="F1106" s="9">
        <f t="shared" si="46"/>
        <v>1270.6949999999999</v>
      </c>
      <c r="H1106" s="11">
        <v>68181</v>
      </c>
      <c r="I1106" s="9">
        <f t="shared" si="47"/>
        <v>1270.6949999999999</v>
      </c>
    </row>
    <row r="1107" spans="1:9">
      <c r="A1107" s="11">
        <v>68211</v>
      </c>
      <c r="B1107" s="12">
        <f t="shared" si="45"/>
        <v>1270.6949999999999</v>
      </c>
      <c r="C1107" s="10"/>
      <c r="E1107" s="11">
        <v>68211</v>
      </c>
      <c r="F1107" s="9">
        <f t="shared" si="46"/>
        <v>1270.6949999999999</v>
      </c>
      <c r="H1107" s="11">
        <v>68211</v>
      </c>
      <c r="I1107" s="9">
        <f t="shared" si="47"/>
        <v>1270.6949999999999</v>
      </c>
    </row>
    <row r="1108" spans="1:9">
      <c r="A1108" s="11">
        <v>68242</v>
      </c>
      <c r="B1108" s="12">
        <f t="shared" si="45"/>
        <v>1270.6949999999999</v>
      </c>
      <c r="C1108" s="10"/>
      <c r="E1108" s="11">
        <v>68242</v>
      </c>
      <c r="F1108" s="9">
        <f t="shared" si="46"/>
        <v>1270.6949999999999</v>
      </c>
      <c r="H1108" s="11">
        <v>68242</v>
      </c>
      <c r="I1108" s="9">
        <f t="shared" si="47"/>
        <v>1270.6949999999999</v>
      </c>
    </row>
    <row r="1109" spans="1:9">
      <c r="A1109" s="11">
        <v>68272</v>
      </c>
      <c r="B1109" s="12">
        <f t="shared" si="45"/>
        <v>1270.6949999999999</v>
      </c>
      <c r="C1109" s="10"/>
      <c r="E1109" s="11">
        <v>68272</v>
      </c>
      <c r="F1109" s="9">
        <f t="shared" si="46"/>
        <v>1270.6949999999999</v>
      </c>
      <c r="H1109" s="11">
        <v>68272</v>
      </c>
      <c r="I1109" s="9">
        <f t="shared" si="47"/>
        <v>1270.6949999999999</v>
      </c>
    </row>
    <row r="1110" spans="1:9">
      <c r="A1110" s="11">
        <v>68303</v>
      </c>
      <c r="B1110" s="12">
        <f t="shared" si="45"/>
        <v>1270.6949999999999</v>
      </c>
      <c r="C1110" s="10"/>
      <c r="E1110" s="11">
        <v>68303</v>
      </c>
      <c r="F1110" s="9">
        <f t="shared" si="46"/>
        <v>1270.6949999999999</v>
      </c>
      <c r="H1110" s="11">
        <v>68303</v>
      </c>
      <c r="I1110" s="9">
        <f t="shared" si="47"/>
        <v>1270.6949999999999</v>
      </c>
    </row>
    <row r="1111" spans="1:9">
      <c r="A1111" s="11">
        <v>68334</v>
      </c>
      <c r="B1111" s="12">
        <f t="shared" si="45"/>
        <v>1270.6949999999999</v>
      </c>
      <c r="C1111" s="10"/>
      <c r="E1111" s="11">
        <v>68334</v>
      </c>
      <c r="F1111" s="9">
        <f t="shared" si="46"/>
        <v>1270.6949999999999</v>
      </c>
      <c r="H1111" s="11">
        <v>68334</v>
      </c>
      <c r="I1111" s="9">
        <f t="shared" si="47"/>
        <v>1270.6949999999999</v>
      </c>
    </row>
    <row r="1112" spans="1:9">
      <c r="A1112" s="11">
        <v>68362</v>
      </c>
      <c r="B1112" s="12">
        <f t="shared" si="45"/>
        <v>1270.6949999999999</v>
      </c>
      <c r="C1112" s="10"/>
      <c r="E1112" s="11">
        <v>68362</v>
      </c>
      <c r="F1112" s="9">
        <f t="shared" si="46"/>
        <v>1270.6949999999999</v>
      </c>
      <c r="H1112" s="11">
        <v>68362</v>
      </c>
      <c r="I1112" s="9">
        <f t="shared" si="47"/>
        <v>1270.6949999999999</v>
      </c>
    </row>
    <row r="1113" spans="1:9">
      <c r="A1113" s="11">
        <v>68393</v>
      </c>
      <c r="B1113" s="12">
        <f t="shared" si="45"/>
        <v>1270.6949999999999</v>
      </c>
      <c r="C1113" s="10"/>
      <c r="E1113" s="11">
        <v>68393</v>
      </c>
      <c r="F1113" s="9">
        <f t="shared" si="46"/>
        <v>1270.6949999999999</v>
      </c>
      <c r="H1113" s="11">
        <v>68393</v>
      </c>
      <c r="I1113" s="9">
        <f t="shared" si="47"/>
        <v>1270.6949999999999</v>
      </c>
    </row>
    <row r="1114" spans="1:9">
      <c r="A1114" s="11">
        <v>68423</v>
      </c>
      <c r="B1114" s="12">
        <f t="shared" si="45"/>
        <v>1270.6949999999999</v>
      </c>
      <c r="C1114" s="10"/>
      <c r="E1114" s="11">
        <v>68423</v>
      </c>
      <c r="F1114" s="9">
        <f t="shared" si="46"/>
        <v>1270.6949999999999</v>
      </c>
      <c r="H1114" s="11">
        <v>68423</v>
      </c>
      <c r="I1114" s="9">
        <f t="shared" si="47"/>
        <v>1270.6949999999999</v>
      </c>
    </row>
    <row r="1115" spans="1:9">
      <c r="A1115" s="11">
        <v>68454</v>
      </c>
      <c r="B1115" s="12">
        <f t="shared" si="45"/>
        <v>1270.6949999999999</v>
      </c>
      <c r="C1115" s="10"/>
      <c r="E1115" s="11">
        <v>68454</v>
      </c>
      <c r="F1115" s="9">
        <f t="shared" si="46"/>
        <v>1270.6949999999999</v>
      </c>
      <c r="H1115" s="11">
        <v>68454</v>
      </c>
      <c r="I1115" s="9">
        <f t="shared" si="47"/>
        <v>1270.6949999999999</v>
      </c>
    </row>
    <row r="1116" spans="1:9">
      <c r="A1116" s="11">
        <v>68484</v>
      </c>
      <c r="B1116" s="12">
        <f t="shared" si="45"/>
        <v>1270.6949999999999</v>
      </c>
      <c r="C1116" s="10"/>
      <c r="E1116" s="11">
        <v>68484</v>
      </c>
      <c r="F1116" s="9">
        <f t="shared" si="46"/>
        <v>1270.6949999999999</v>
      </c>
      <c r="H1116" s="11">
        <v>68484</v>
      </c>
      <c r="I1116" s="9">
        <f t="shared" si="47"/>
        <v>1270.6949999999999</v>
      </c>
    </row>
    <row r="1117" spans="1:9">
      <c r="A1117" s="11">
        <v>68515</v>
      </c>
      <c r="B1117" s="12">
        <f t="shared" si="45"/>
        <v>1270.6949999999999</v>
      </c>
      <c r="C1117" s="10"/>
      <c r="E1117" s="11">
        <v>68515</v>
      </c>
      <c r="F1117" s="9">
        <f t="shared" si="46"/>
        <v>1270.6949999999999</v>
      </c>
      <c r="H1117" s="11">
        <v>68515</v>
      </c>
      <c r="I1117" s="9">
        <f t="shared" si="47"/>
        <v>1270.6949999999999</v>
      </c>
    </row>
    <row r="1118" spans="1:9">
      <c r="A1118" s="11">
        <v>68546</v>
      </c>
      <c r="B1118" s="12">
        <f t="shared" si="45"/>
        <v>1270.6949999999999</v>
      </c>
      <c r="C1118" s="10"/>
      <c r="E1118" s="11">
        <v>68546</v>
      </c>
      <c r="F1118" s="9">
        <f t="shared" si="46"/>
        <v>1270.6949999999999</v>
      </c>
      <c r="H1118" s="11">
        <v>68546</v>
      </c>
      <c r="I1118" s="9">
        <f t="shared" si="47"/>
        <v>1270.6949999999999</v>
      </c>
    </row>
    <row r="1119" spans="1:9">
      <c r="A1119" s="11">
        <v>68576</v>
      </c>
      <c r="B1119" s="12">
        <f t="shared" si="45"/>
        <v>1270.6949999999999</v>
      </c>
      <c r="C1119" s="10"/>
      <c r="E1119" s="11">
        <v>68576</v>
      </c>
      <c r="F1119" s="9">
        <f t="shared" si="46"/>
        <v>1270.6949999999999</v>
      </c>
      <c r="H1119" s="11">
        <v>68576</v>
      </c>
      <c r="I1119" s="9">
        <f t="shared" si="47"/>
        <v>1270.6949999999999</v>
      </c>
    </row>
    <row r="1120" spans="1:9">
      <c r="A1120" s="11">
        <v>68607</v>
      </c>
      <c r="B1120" s="12">
        <f t="shared" si="45"/>
        <v>1270.6949999999999</v>
      </c>
      <c r="C1120" s="10"/>
      <c r="E1120" s="11">
        <v>68607</v>
      </c>
      <c r="F1120" s="9">
        <f t="shared" si="46"/>
        <v>1270.6949999999999</v>
      </c>
      <c r="H1120" s="11">
        <v>68607</v>
      </c>
      <c r="I1120" s="9">
        <f t="shared" si="47"/>
        <v>1270.6949999999999</v>
      </c>
    </row>
    <row r="1121" spans="1:9">
      <c r="A1121" s="11">
        <v>68637</v>
      </c>
      <c r="B1121" s="12">
        <f t="shared" ref="B1121:B1184" si="48">B1120</f>
        <v>1270.6949999999999</v>
      </c>
      <c r="C1121" s="10"/>
      <c r="E1121" s="11">
        <v>68637</v>
      </c>
      <c r="F1121" s="9">
        <f t="shared" si="46"/>
        <v>1270.6949999999999</v>
      </c>
      <c r="H1121" s="11">
        <v>68637</v>
      </c>
      <c r="I1121" s="9">
        <f t="shared" si="47"/>
        <v>1270.6949999999999</v>
      </c>
    </row>
    <row r="1122" spans="1:9">
      <c r="A1122" s="11">
        <v>68668</v>
      </c>
      <c r="B1122" s="12">
        <f t="shared" si="48"/>
        <v>1270.6949999999999</v>
      </c>
      <c r="C1122" s="10"/>
      <c r="E1122" s="11">
        <v>68668</v>
      </c>
      <c r="F1122" s="9">
        <f t="shared" si="46"/>
        <v>1270.6949999999999</v>
      </c>
      <c r="H1122" s="11">
        <v>68668</v>
      </c>
      <c r="I1122" s="9">
        <f t="shared" si="47"/>
        <v>1270.6949999999999</v>
      </c>
    </row>
    <row r="1123" spans="1:9">
      <c r="A1123" s="11">
        <v>68699</v>
      </c>
      <c r="B1123" s="12">
        <f t="shared" si="48"/>
        <v>1270.6949999999999</v>
      </c>
      <c r="C1123" s="10"/>
      <c r="E1123" s="11">
        <v>68699</v>
      </c>
      <c r="F1123" s="9">
        <f t="shared" si="46"/>
        <v>1270.6949999999999</v>
      </c>
      <c r="H1123" s="11">
        <v>68699</v>
      </c>
      <c r="I1123" s="9">
        <f t="shared" si="47"/>
        <v>1270.6949999999999</v>
      </c>
    </row>
    <row r="1124" spans="1:9">
      <c r="A1124" s="11">
        <v>68728</v>
      </c>
      <c r="B1124" s="12">
        <f t="shared" si="48"/>
        <v>1270.6949999999999</v>
      </c>
      <c r="C1124" s="10"/>
      <c r="E1124" s="11">
        <v>68728</v>
      </c>
      <c r="F1124" s="9">
        <f t="shared" si="46"/>
        <v>1270.6949999999999</v>
      </c>
      <c r="H1124" s="11">
        <v>68728</v>
      </c>
      <c r="I1124" s="9">
        <f t="shared" si="47"/>
        <v>1270.6949999999999</v>
      </c>
    </row>
    <row r="1125" spans="1:9">
      <c r="A1125" s="11">
        <v>68759</v>
      </c>
      <c r="B1125" s="12">
        <f t="shared" si="48"/>
        <v>1270.6949999999999</v>
      </c>
      <c r="C1125" s="10"/>
      <c r="E1125" s="11">
        <v>68759</v>
      </c>
      <c r="F1125" s="9">
        <f t="shared" si="46"/>
        <v>1270.6949999999999</v>
      </c>
      <c r="H1125" s="11">
        <v>68759</v>
      </c>
      <c r="I1125" s="9">
        <f t="shared" si="47"/>
        <v>1270.6949999999999</v>
      </c>
    </row>
    <row r="1126" spans="1:9">
      <c r="A1126" s="11">
        <v>68789</v>
      </c>
      <c r="B1126" s="12">
        <f t="shared" si="48"/>
        <v>1270.6949999999999</v>
      </c>
      <c r="C1126" s="10"/>
      <c r="E1126" s="11">
        <v>68789</v>
      </c>
      <c r="F1126" s="9">
        <f t="shared" si="46"/>
        <v>1270.6949999999999</v>
      </c>
      <c r="H1126" s="11">
        <v>68789</v>
      </c>
      <c r="I1126" s="9">
        <f t="shared" si="47"/>
        <v>1270.6949999999999</v>
      </c>
    </row>
    <row r="1127" spans="1:9">
      <c r="A1127" s="11">
        <v>68820</v>
      </c>
      <c r="B1127" s="12">
        <f t="shared" si="48"/>
        <v>1270.6949999999999</v>
      </c>
      <c r="C1127" s="10"/>
      <c r="E1127" s="11">
        <v>68820</v>
      </c>
      <c r="F1127" s="9">
        <f t="shared" si="46"/>
        <v>1270.6949999999999</v>
      </c>
      <c r="H1127" s="11">
        <v>68820</v>
      </c>
      <c r="I1127" s="9">
        <f t="shared" si="47"/>
        <v>1270.6949999999999</v>
      </c>
    </row>
    <row r="1128" spans="1:9">
      <c r="A1128" s="11">
        <v>68850</v>
      </c>
      <c r="B1128" s="12">
        <f t="shared" si="48"/>
        <v>1270.6949999999999</v>
      </c>
      <c r="C1128" s="10"/>
      <c r="E1128" s="11">
        <v>68850</v>
      </c>
      <c r="F1128" s="9">
        <f t="shared" si="46"/>
        <v>1270.6949999999999</v>
      </c>
      <c r="H1128" s="11">
        <v>68850</v>
      </c>
      <c r="I1128" s="9">
        <f t="shared" si="47"/>
        <v>1270.6949999999999</v>
      </c>
    </row>
    <row r="1129" spans="1:9">
      <c r="A1129" s="11">
        <v>68881</v>
      </c>
      <c r="B1129" s="12">
        <f t="shared" si="48"/>
        <v>1270.6949999999999</v>
      </c>
      <c r="C1129" s="10"/>
      <c r="E1129" s="11">
        <v>68881</v>
      </c>
      <c r="F1129" s="9">
        <f t="shared" si="46"/>
        <v>1270.6949999999999</v>
      </c>
      <c r="H1129" s="11">
        <v>68881</v>
      </c>
      <c r="I1129" s="9">
        <f t="shared" si="47"/>
        <v>1270.6949999999999</v>
      </c>
    </row>
    <row r="1130" spans="1:9">
      <c r="A1130" s="11">
        <v>68912</v>
      </c>
      <c r="B1130" s="12">
        <f t="shared" si="48"/>
        <v>1270.6949999999999</v>
      </c>
      <c r="C1130" s="10"/>
      <c r="E1130" s="11">
        <v>68912</v>
      </c>
      <c r="F1130" s="9">
        <f t="shared" si="46"/>
        <v>1270.6949999999999</v>
      </c>
      <c r="H1130" s="11">
        <v>68912</v>
      </c>
      <c r="I1130" s="9">
        <f t="shared" si="47"/>
        <v>1270.6949999999999</v>
      </c>
    </row>
    <row r="1131" spans="1:9">
      <c r="A1131" s="11">
        <v>68942</v>
      </c>
      <c r="B1131" s="12">
        <f t="shared" si="48"/>
        <v>1270.6949999999999</v>
      </c>
      <c r="C1131" s="10"/>
      <c r="E1131" s="11">
        <v>68942</v>
      </c>
      <c r="F1131" s="9">
        <f t="shared" ref="F1131:F1194" si="49">B1130</f>
        <v>1270.6949999999999</v>
      </c>
      <c r="H1131" s="11">
        <v>68942</v>
      </c>
      <c r="I1131" s="9">
        <f t="shared" ref="I1131:I1194" si="50">B1129</f>
        <v>1270.6949999999999</v>
      </c>
    </row>
    <row r="1132" spans="1:9">
      <c r="A1132" s="11">
        <v>68973</v>
      </c>
      <c r="B1132" s="12">
        <f t="shared" si="48"/>
        <v>1270.6949999999999</v>
      </c>
      <c r="C1132" s="10"/>
      <c r="E1132" s="11">
        <v>68973</v>
      </c>
      <c r="F1132" s="9">
        <f t="shared" si="49"/>
        <v>1270.6949999999999</v>
      </c>
      <c r="H1132" s="11">
        <v>68973</v>
      </c>
      <c r="I1132" s="9">
        <f t="shared" si="50"/>
        <v>1270.6949999999999</v>
      </c>
    </row>
    <row r="1133" spans="1:9">
      <c r="A1133" s="11">
        <v>69003</v>
      </c>
      <c r="B1133" s="12">
        <f t="shared" si="48"/>
        <v>1270.6949999999999</v>
      </c>
      <c r="C1133" s="10"/>
      <c r="E1133" s="11">
        <v>69003</v>
      </c>
      <c r="F1133" s="9">
        <f t="shared" si="49"/>
        <v>1270.6949999999999</v>
      </c>
      <c r="H1133" s="11">
        <v>69003</v>
      </c>
      <c r="I1133" s="9">
        <f t="shared" si="50"/>
        <v>1270.6949999999999</v>
      </c>
    </row>
    <row r="1134" spans="1:9">
      <c r="A1134" s="11">
        <v>69034</v>
      </c>
      <c r="B1134" s="12">
        <f t="shared" si="48"/>
        <v>1270.6949999999999</v>
      </c>
      <c r="C1134" s="10"/>
      <c r="E1134" s="11">
        <v>69034</v>
      </c>
      <c r="F1134" s="9">
        <f t="shared" si="49"/>
        <v>1270.6949999999999</v>
      </c>
      <c r="H1134" s="11">
        <v>69034</v>
      </c>
      <c r="I1134" s="9">
        <f t="shared" si="50"/>
        <v>1270.6949999999999</v>
      </c>
    </row>
    <row r="1135" spans="1:9">
      <c r="A1135" s="11">
        <v>69065</v>
      </c>
      <c r="B1135" s="12">
        <f t="shared" si="48"/>
        <v>1270.6949999999999</v>
      </c>
      <c r="C1135" s="10"/>
      <c r="E1135" s="11">
        <v>69065</v>
      </c>
      <c r="F1135" s="9">
        <f t="shared" si="49"/>
        <v>1270.6949999999999</v>
      </c>
      <c r="H1135" s="11">
        <v>69065</v>
      </c>
      <c r="I1135" s="9">
        <f t="shared" si="50"/>
        <v>1270.6949999999999</v>
      </c>
    </row>
    <row r="1136" spans="1:9">
      <c r="A1136" s="11">
        <v>69093</v>
      </c>
      <c r="B1136" s="12">
        <f t="shared" si="48"/>
        <v>1270.6949999999999</v>
      </c>
      <c r="C1136" s="10"/>
      <c r="E1136" s="11">
        <v>69093</v>
      </c>
      <c r="F1136" s="9">
        <f t="shared" si="49"/>
        <v>1270.6949999999999</v>
      </c>
      <c r="H1136" s="11">
        <v>69093</v>
      </c>
      <c r="I1136" s="9">
        <f t="shared" si="50"/>
        <v>1270.6949999999999</v>
      </c>
    </row>
    <row r="1137" spans="1:9">
      <c r="A1137" s="11">
        <v>69124</v>
      </c>
      <c r="B1137" s="12">
        <f t="shared" si="48"/>
        <v>1270.6949999999999</v>
      </c>
      <c r="C1137" s="10"/>
      <c r="E1137" s="11">
        <v>69124</v>
      </c>
      <c r="F1137" s="9">
        <f t="shared" si="49"/>
        <v>1270.6949999999999</v>
      </c>
      <c r="H1137" s="11">
        <v>69124</v>
      </c>
      <c r="I1137" s="9">
        <f t="shared" si="50"/>
        <v>1270.6949999999999</v>
      </c>
    </row>
    <row r="1138" spans="1:9">
      <c r="A1138" s="11">
        <v>69154</v>
      </c>
      <c r="B1138" s="12">
        <f t="shared" si="48"/>
        <v>1270.6949999999999</v>
      </c>
      <c r="C1138" s="10"/>
      <c r="E1138" s="11">
        <v>69154</v>
      </c>
      <c r="F1138" s="9">
        <f t="shared" si="49"/>
        <v>1270.6949999999999</v>
      </c>
      <c r="H1138" s="11">
        <v>69154</v>
      </c>
      <c r="I1138" s="9">
        <f t="shared" si="50"/>
        <v>1270.6949999999999</v>
      </c>
    </row>
    <row r="1139" spans="1:9">
      <c r="A1139" s="11">
        <v>69185</v>
      </c>
      <c r="B1139" s="12">
        <f t="shared" si="48"/>
        <v>1270.6949999999999</v>
      </c>
      <c r="C1139" s="10"/>
      <c r="E1139" s="11">
        <v>69185</v>
      </c>
      <c r="F1139" s="9">
        <f t="shared" si="49"/>
        <v>1270.6949999999999</v>
      </c>
      <c r="H1139" s="11">
        <v>69185</v>
      </c>
      <c r="I1139" s="9">
        <f t="shared" si="50"/>
        <v>1270.6949999999999</v>
      </c>
    </row>
    <row r="1140" spans="1:9">
      <c r="A1140" s="11">
        <v>69215</v>
      </c>
      <c r="B1140" s="12">
        <f t="shared" si="48"/>
        <v>1270.6949999999999</v>
      </c>
      <c r="C1140" s="10"/>
      <c r="E1140" s="11">
        <v>69215</v>
      </c>
      <c r="F1140" s="9">
        <f t="shared" si="49"/>
        <v>1270.6949999999999</v>
      </c>
      <c r="H1140" s="11">
        <v>69215</v>
      </c>
      <c r="I1140" s="9">
        <f t="shared" si="50"/>
        <v>1270.6949999999999</v>
      </c>
    </row>
    <row r="1141" spans="1:9">
      <c r="A1141" s="11">
        <v>69246</v>
      </c>
      <c r="B1141" s="12">
        <f t="shared" si="48"/>
        <v>1270.6949999999999</v>
      </c>
      <c r="C1141" s="10"/>
      <c r="E1141" s="11">
        <v>69246</v>
      </c>
      <c r="F1141" s="9">
        <f t="shared" si="49"/>
        <v>1270.6949999999999</v>
      </c>
      <c r="H1141" s="11">
        <v>69246</v>
      </c>
      <c r="I1141" s="9">
        <f t="shared" si="50"/>
        <v>1270.6949999999999</v>
      </c>
    </row>
    <row r="1142" spans="1:9">
      <c r="A1142" s="11">
        <v>69277</v>
      </c>
      <c r="B1142" s="12">
        <f t="shared" si="48"/>
        <v>1270.6949999999999</v>
      </c>
      <c r="C1142" s="10"/>
      <c r="E1142" s="11">
        <v>69277</v>
      </c>
      <c r="F1142" s="9">
        <f t="shared" si="49"/>
        <v>1270.6949999999999</v>
      </c>
      <c r="H1142" s="11">
        <v>69277</v>
      </c>
      <c r="I1142" s="9">
        <f t="shared" si="50"/>
        <v>1270.6949999999999</v>
      </c>
    </row>
    <row r="1143" spans="1:9">
      <c r="A1143" s="11">
        <v>69307</v>
      </c>
      <c r="B1143" s="12">
        <f t="shared" si="48"/>
        <v>1270.6949999999999</v>
      </c>
      <c r="C1143" s="10"/>
      <c r="E1143" s="11">
        <v>69307</v>
      </c>
      <c r="F1143" s="9">
        <f t="shared" si="49"/>
        <v>1270.6949999999999</v>
      </c>
      <c r="H1143" s="11">
        <v>69307</v>
      </c>
      <c r="I1143" s="9">
        <f t="shared" si="50"/>
        <v>1270.6949999999999</v>
      </c>
    </row>
    <row r="1144" spans="1:9">
      <c r="A1144" s="11">
        <v>69338</v>
      </c>
      <c r="B1144" s="12">
        <f t="shared" si="48"/>
        <v>1270.6949999999999</v>
      </c>
      <c r="C1144" s="10"/>
      <c r="E1144" s="11">
        <v>69338</v>
      </c>
      <c r="F1144" s="9">
        <f t="shared" si="49"/>
        <v>1270.6949999999999</v>
      </c>
      <c r="H1144" s="11">
        <v>69338</v>
      </c>
      <c r="I1144" s="9">
        <f t="shared" si="50"/>
        <v>1270.6949999999999</v>
      </c>
    </row>
    <row r="1145" spans="1:9">
      <c r="A1145" s="11">
        <v>69368</v>
      </c>
      <c r="B1145" s="12">
        <f t="shared" si="48"/>
        <v>1270.6949999999999</v>
      </c>
      <c r="C1145" s="10"/>
      <c r="E1145" s="11">
        <v>69368</v>
      </c>
      <c r="F1145" s="9">
        <f t="shared" si="49"/>
        <v>1270.6949999999999</v>
      </c>
      <c r="H1145" s="11">
        <v>69368</v>
      </c>
      <c r="I1145" s="9">
        <f t="shared" si="50"/>
        <v>1270.6949999999999</v>
      </c>
    </row>
    <row r="1146" spans="1:9">
      <c r="A1146" s="11">
        <v>69399</v>
      </c>
      <c r="B1146" s="12">
        <f t="shared" si="48"/>
        <v>1270.6949999999999</v>
      </c>
      <c r="C1146" s="10"/>
      <c r="E1146" s="11">
        <v>69399</v>
      </c>
      <c r="F1146" s="9">
        <f t="shared" si="49"/>
        <v>1270.6949999999999</v>
      </c>
      <c r="H1146" s="11">
        <v>69399</v>
      </c>
      <c r="I1146" s="9">
        <f t="shared" si="50"/>
        <v>1270.6949999999999</v>
      </c>
    </row>
    <row r="1147" spans="1:9">
      <c r="A1147" s="11">
        <v>69430</v>
      </c>
      <c r="B1147" s="12">
        <f t="shared" si="48"/>
        <v>1270.6949999999999</v>
      </c>
      <c r="C1147" s="10"/>
      <c r="E1147" s="11">
        <v>69430</v>
      </c>
      <c r="F1147" s="9">
        <f t="shared" si="49"/>
        <v>1270.6949999999999</v>
      </c>
      <c r="H1147" s="11">
        <v>69430</v>
      </c>
      <c r="I1147" s="9">
        <f t="shared" si="50"/>
        <v>1270.6949999999999</v>
      </c>
    </row>
    <row r="1148" spans="1:9">
      <c r="A1148" s="11">
        <v>69458</v>
      </c>
      <c r="B1148" s="12">
        <f t="shared" si="48"/>
        <v>1270.6949999999999</v>
      </c>
      <c r="C1148" s="10"/>
      <c r="E1148" s="11">
        <v>69458</v>
      </c>
      <c r="F1148" s="9">
        <f t="shared" si="49"/>
        <v>1270.6949999999999</v>
      </c>
      <c r="H1148" s="11">
        <v>69458</v>
      </c>
      <c r="I1148" s="9">
        <f t="shared" si="50"/>
        <v>1270.6949999999999</v>
      </c>
    </row>
    <row r="1149" spans="1:9">
      <c r="A1149" s="11">
        <v>69489</v>
      </c>
      <c r="B1149" s="12">
        <f t="shared" si="48"/>
        <v>1270.6949999999999</v>
      </c>
      <c r="C1149" s="10"/>
      <c r="E1149" s="11">
        <v>69489</v>
      </c>
      <c r="F1149" s="9">
        <f t="shared" si="49"/>
        <v>1270.6949999999999</v>
      </c>
      <c r="H1149" s="11">
        <v>69489</v>
      </c>
      <c r="I1149" s="9">
        <f t="shared" si="50"/>
        <v>1270.6949999999999</v>
      </c>
    </row>
    <row r="1150" spans="1:9">
      <c r="A1150" s="11">
        <v>69519</v>
      </c>
      <c r="B1150" s="12">
        <f t="shared" si="48"/>
        <v>1270.6949999999999</v>
      </c>
      <c r="C1150" s="10"/>
      <c r="E1150" s="11">
        <v>69519</v>
      </c>
      <c r="F1150" s="9">
        <f t="shared" si="49"/>
        <v>1270.6949999999999</v>
      </c>
      <c r="H1150" s="11">
        <v>69519</v>
      </c>
      <c r="I1150" s="9">
        <f t="shared" si="50"/>
        <v>1270.6949999999999</v>
      </c>
    </row>
    <row r="1151" spans="1:9">
      <c r="A1151" s="11">
        <v>69550</v>
      </c>
      <c r="B1151" s="12">
        <f t="shared" si="48"/>
        <v>1270.6949999999999</v>
      </c>
      <c r="C1151" s="10"/>
      <c r="E1151" s="11">
        <v>69550</v>
      </c>
      <c r="F1151" s="9">
        <f t="shared" si="49"/>
        <v>1270.6949999999999</v>
      </c>
      <c r="H1151" s="11">
        <v>69550</v>
      </c>
      <c r="I1151" s="9">
        <f t="shared" si="50"/>
        <v>1270.6949999999999</v>
      </c>
    </row>
    <row r="1152" spans="1:9">
      <c r="A1152" s="11">
        <v>69580</v>
      </c>
      <c r="B1152" s="12">
        <f t="shared" si="48"/>
        <v>1270.6949999999999</v>
      </c>
      <c r="C1152" s="10"/>
      <c r="E1152" s="11">
        <v>69580</v>
      </c>
      <c r="F1152" s="9">
        <f t="shared" si="49"/>
        <v>1270.6949999999999</v>
      </c>
      <c r="H1152" s="11">
        <v>69580</v>
      </c>
      <c r="I1152" s="9">
        <f t="shared" si="50"/>
        <v>1270.6949999999999</v>
      </c>
    </row>
    <row r="1153" spans="1:9">
      <c r="A1153" s="11">
        <v>69611</v>
      </c>
      <c r="B1153" s="12">
        <f t="shared" si="48"/>
        <v>1270.6949999999999</v>
      </c>
      <c r="C1153" s="10"/>
      <c r="E1153" s="11">
        <v>69611</v>
      </c>
      <c r="F1153" s="9">
        <f t="shared" si="49"/>
        <v>1270.6949999999999</v>
      </c>
      <c r="H1153" s="11">
        <v>69611</v>
      </c>
      <c r="I1153" s="9">
        <f t="shared" si="50"/>
        <v>1270.6949999999999</v>
      </c>
    </row>
    <row r="1154" spans="1:9">
      <c r="A1154" s="11">
        <v>69642</v>
      </c>
      <c r="B1154" s="12">
        <f t="shared" si="48"/>
        <v>1270.6949999999999</v>
      </c>
      <c r="C1154" s="10"/>
      <c r="E1154" s="11">
        <v>69642</v>
      </c>
      <c r="F1154" s="9">
        <f t="shared" si="49"/>
        <v>1270.6949999999999</v>
      </c>
      <c r="H1154" s="11">
        <v>69642</v>
      </c>
      <c r="I1154" s="9">
        <f t="shared" si="50"/>
        <v>1270.6949999999999</v>
      </c>
    </row>
    <row r="1155" spans="1:9">
      <c r="A1155" s="11">
        <v>69672</v>
      </c>
      <c r="B1155" s="12">
        <f t="shared" si="48"/>
        <v>1270.6949999999999</v>
      </c>
      <c r="C1155" s="10"/>
      <c r="E1155" s="11">
        <v>69672</v>
      </c>
      <c r="F1155" s="9">
        <f t="shared" si="49"/>
        <v>1270.6949999999999</v>
      </c>
      <c r="H1155" s="11">
        <v>69672</v>
      </c>
      <c r="I1155" s="9">
        <f t="shared" si="50"/>
        <v>1270.6949999999999</v>
      </c>
    </row>
    <row r="1156" spans="1:9">
      <c r="A1156" s="11">
        <v>69703</v>
      </c>
      <c r="B1156" s="12">
        <f t="shared" si="48"/>
        <v>1270.6949999999999</v>
      </c>
      <c r="C1156" s="10"/>
      <c r="E1156" s="11">
        <v>69703</v>
      </c>
      <c r="F1156" s="9">
        <f t="shared" si="49"/>
        <v>1270.6949999999999</v>
      </c>
      <c r="H1156" s="11">
        <v>69703</v>
      </c>
      <c r="I1156" s="9">
        <f t="shared" si="50"/>
        <v>1270.6949999999999</v>
      </c>
    </row>
    <row r="1157" spans="1:9">
      <c r="A1157" s="11">
        <v>69733</v>
      </c>
      <c r="B1157" s="12">
        <f t="shared" si="48"/>
        <v>1270.6949999999999</v>
      </c>
      <c r="C1157" s="10"/>
      <c r="E1157" s="11">
        <v>69733</v>
      </c>
      <c r="F1157" s="9">
        <f t="shared" si="49"/>
        <v>1270.6949999999999</v>
      </c>
      <c r="H1157" s="11">
        <v>69733</v>
      </c>
      <c r="I1157" s="9">
        <f t="shared" si="50"/>
        <v>1270.6949999999999</v>
      </c>
    </row>
    <row r="1158" spans="1:9">
      <c r="A1158" s="11">
        <v>69764</v>
      </c>
      <c r="B1158" s="12">
        <f t="shared" si="48"/>
        <v>1270.6949999999999</v>
      </c>
      <c r="C1158" s="10"/>
      <c r="E1158" s="11">
        <v>69764</v>
      </c>
      <c r="F1158" s="9">
        <f t="shared" si="49"/>
        <v>1270.6949999999999</v>
      </c>
      <c r="H1158" s="11">
        <v>69764</v>
      </c>
      <c r="I1158" s="9">
        <f t="shared" si="50"/>
        <v>1270.6949999999999</v>
      </c>
    </row>
    <row r="1159" spans="1:9">
      <c r="A1159" s="11">
        <v>69795</v>
      </c>
      <c r="B1159" s="12">
        <f t="shared" si="48"/>
        <v>1270.6949999999999</v>
      </c>
      <c r="C1159" s="10"/>
      <c r="E1159" s="11">
        <v>69795</v>
      </c>
      <c r="F1159" s="9">
        <f t="shared" si="49"/>
        <v>1270.6949999999999</v>
      </c>
      <c r="H1159" s="11">
        <v>69795</v>
      </c>
      <c r="I1159" s="9">
        <f t="shared" si="50"/>
        <v>1270.6949999999999</v>
      </c>
    </row>
    <row r="1160" spans="1:9">
      <c r="A1160" s="11">
        <v>69823</v>
      </c>
      <c r="B1160" s="12">
        <f t="shared" si="48"/>
        <v>1270.6949999999999</v>
      </c>
      <c r="C1160" s="10"/>
      <c r="E1160" s="11">
        <v>69823</v>
      </c>
      <c r="F1160" s="9">
        <f t="shared" si="49"/>
        <v>1270.6949999999999</v>
      </c>
      <c r="H1160" s="11">
        <v>69823</v>
      </c>
      <c r="I1160" s="9">
        <f t="shared" si="50"/>
        <v>1270.6949999999999</v>
      </c>
    </row>
    <row r="1161" spans="1:9">
      <c r="A1161" s="11">
        <v>69854</v>
      </c>
      <c r="B1161" s="12">
        <f t="shared" si="48"/>
        <v>1270.6949999999999</v>
      </c>
      <c r="C1161" s="10"/>
      <c r="E1161" s="11">
        <v>69854</v>
      </c>
      <c r="F1161" s="9">
        <f t="shared" si="49"/>
        <v>1270.6949999999999</v>
      </c>
      <c r="H1161" s="11">
        <v>69854</v>
      </c>
      <c r="I1161" s="9">
        <f t="shared" si="50"/>
        <v>1270.6949999999999</v>
      </c>
    </row>
    <row r="1162" spans="1:9">
      <c r="A1162" s="11">
        <v>69884</v>
      </c>
      <c r="B1162" s="12">
        <f t="shared" si="48"/>
        <v>1270.6949999999999</v>
      </c>
      <c r="C1162" s="10"/>
      <c r="E1162" s="11">
        <v>69884</v>
      </c>
      <c r="F1162" s="9">
        <f t="shared" si="49"/>
        <v>1270.6949999999999</v>
      </c>
      <c r="H1162" s="11">
        <v>69884</v>
      </c>
      <c r="I1162" s="9">
        <f t="shared" si="50"/>
        <v>1270.6949999999999</v>
      </c>
    </row>
    <row r="1163" spans="1:9">
      <c r="A1163" s="11">
        <v>69915</v>
      </c>
      <c r="B1163" s="12">
        <f t="shared" si="48"/>
        <v>1270.6949999999999</v>
      </c>
      <c r="C1163" s="10"/>
      <c r="E1163" s="11">
        <v>69915</v>
      </c>
      <c r="F1163" s="9">
        <f t="shared" si="49"/>
        <v>1270.6949999999999</v>
      </c>
      <c r="H1163" s="11">
        <v>69915</v>
      </c>
      <c r="I1163" s="9">
        <f t="shared" si="50"/>
        <v>1270.6949999999999</v>
      </c>
    </row>
    <row r="1164" spans="1:9">
      <c r="A1164" s="11">
        <v>69945</v>
      </c>
      <c r="B1164" s="12">
        <f t="shared" si="48"/>
        <v>1270.6949999999999</v>
      </c>
      <c r="C1164" s="10"/>
      <c r="E1164" s="11">
        <v>69945</v>
      </c>
      <c r="F1164" s="9">
        <f t="shared" si="49"/>
        <v>1270.6949999999999</v>
      </c>
      <c r="H1164" s="11">
        <v>69945</v>
      </c>
      <c r="I1164" s="9">
        <f t="shared" si="50"/>
        <v>1270.6949999999999</v>
      </c>
    </row>
    <row r="1165" spans="1:9">
      <c r="A1165" s="11">
        <v>69976</v>
      </c>
      <c r="B1165" s="12">
        <f t="shared" si="48"/>
        <v>1270.6949999999999</v>
      </c>
      <c r="C1165" s="10"/>
      <c r="E1165" s="11">
        <v>69976</v>
      </c>
      <c r="F1165" s="9">
        <f t="shared" si="49"/>
        <v>1270.6949999999999</v>
      </c>
      <c r="H1165" s="11">
        <v>69976</v>
      </c>
      <c r="I1165" s="9">
        <f t="shared" si="50"/>
        <v>1270.6949999999999</v>
      </c>
    </row>
    <row r="1166" spans="1:9">
      <c r="A1166" s="11">
        <v>70007</v>
      </c>
      <c r="B1166" s="12">
        <f t="shared" si="48"/>
        <v>1270.6949999999999</v>
      </c>
      <c r="C1166" s="10"/>
      <c r="E1166" s="11">
        <v>70007</v>
      </c>
      <c r="F1166" s="9">
        <f t="shared" si="49"/>
        <v>1270.6949999999999</v>
      </c>
      <c r="H1166" s="11">
        <v>70007</v>
      </c>
      <c r="I1166" s="9">
        <f t="shared" si="50"/>
        <v>1270.6949999999999</v>
      </c>
    </row>
    <row r="1167" spans="1:9">
      <c r="A1167" s="11">
        <v>70037</v>
      </c>
      <c r="B1167" s="12">
        <f t="shared" si="48"/>
        <v>1270.6949999999999</v>
      </c>
      <c r="C1167" s="10"/>
      <c r="E1167" s="11">
        <v>70037</v>
      </c>
      <c r="F1167" s="9">
        <f t="shared" si="49"/>
        <v>1270.6949999999999</v>
      </c>
      <c r="H1167" s="11">
        <v>70037</v>
      </c>
      <c r="I1167" s="9">
        <f t="shared" si="50"/>
        <v>1270.6949999999999</v>
      </c>
    </row>
    <row r="1168" spans="1:9">
      <c r="A1168" s="11">
        <v>70068</v>
      </c>
      <c r="B1168" s="12">
        <f t="shared" si="48"/>
        <v>1270.6949999999999</v>
      </c>
      <c r="C1168" s="10"/>
      <c r="E1168" s="11">
        <v>70068</v>
      </c>
      <c r="F1168" s="9">
        <f t="shared" si="49"/>
        <v>1270.6949999999999</v>
      </c>
      <c r="H1168" s="11">
        <v>70068</v>
      </c>
      <c r="I1168" s="9">
        <f t="shared" si="50"/>
        <v>1270.6949999999999</v>
      </c>
    </row>
    <row r="1169" spans="1:9">
      <c r="A1169" s="11">
        <v>70098</v>
      </c>
      <c r="B1169" s="12">
        <f t="shared" si="48"/>
        <v>1270.6949999999999</v>
      </c>
      <c r="C1169" s="10"/>
      <c r="E1169" s="11">
        <v>70098</v>
      </c>
      <c r="F1169" s="9">
        <f t="shared" si="49"/>
        <v>1270.6949999999999</v>
      </c>
      <c r="H1169" s="11">
        <v>70098</v>
      </c>
      <c r="I1169" s="9">
        <f t="shared" si="50"/>
        <v>1270.6949999999999</v>
      </c>
    </row>
    <row r="1170" spans="1:9">
      <c r="A1170" s="11">
        <v>70129</v>
      </c>
      <c r="B1170" s="12">
        <f t="shared" si="48"/>
        <v>1270.6949999999999</v>
      </c>
      <c r="C1170" s="10"/>
      <c r="E1170" s="11">
        <v>70129</v>
      </c>
      <c r="F1170" s="9">
        <f t="shared" si="49"/>
        <v>1270.6949999999999</v>
      </c>
      <c r="H1170" s="11">
        <v>70129</v>
      </c>
      <c r="I1170" s="9">
        <f t="shared" si="50"/>
        <v>1270.6949999999999</v>
      </c>
    </row>
    <row r="1171" spans="1:9">
      <c r="A1171" s="11">
        <v>70160</v>
      </c>
      <c r="B1171" s="12">
        <f t="shared" si="48"/>
        <v>1270.6949999999999</v>
      </c>
      <c r="C1171" s="10"/>
      <c r="E1171" s="11">
        <v>70160</v>
      </c>
      <c r="F1171" s="9">
        <f t="shared" si="49"/>
        <v>1270.6949999999999</v>
      </c>
      <c r="H1171" s="11">
        <v>70160</v>
      </c>
      <c r="I1171" s="9">
        <f t="shared" si="50"/>
        <v>1270.6949999999999</v>
      </c>
    </row>
    <row r="1172" spans="1:9">
      <c r="A1172" s="11">
        <v>70189</v>
      </c>
      <c r="B1172" s="12">
        <f t="shared" si="48"/>
        <v>1270.6949999999999</v>
      </c>
      <c r="C1172" s="10"/>
      <c r="E1172" s="11">
        <v>70189</v>
      </c>
      <c r="F1172" s="9">
        <f t="shared" si="49"/>
        <v>1270.6949999999999</v>
      </c>
      <c r="H1172" s="11">
        <v>70189</v>
      </c>
      <c r="I1172" s="9">
        <f t="shared" si="50"/>
        <v>1270.6949999999999</v>
      </c>
    </row>
    <row r="1173" spans="1:9">
      <c r="A1173" s="11">
        <v>70220</v>
      </c>
      <c r="B1173" s="12">
        <f t="shared" si="48"/>
        <v>1270.6949999999999</v>
      </c>
      <c r="C1173" s="10"/>
      <c r="E1173" s="11">
        <v>70220</v>
      </c>
      <c r="F1173" s="9">
        <f t="shared" si="49"/>
        <v>1270.6949999999999</v>
      </c>
      <c r="H1173" s="11">
        <v>70220</v>
      </c>
      <c r="I1173" s="9">
        <f t="shared" si="50"/>
        <v>1270.6949999999999</v>
      </c>
    </row>
    <row r="1174" spans="1:9">
      <c r="A1174" s="11">
        <v>70250</v>
      </c>
      <c r="B1174" s="12">
        <f t="shared" si="48"/>
        <v>1270.6949999999999</v>
      </c>
      <c r="C1174" s="10"/>
      <c r="E1174" s="11">
        <v>70250</v>
      </c>
      <c r="F1174" s="9">
        <f t="shared" si="49"/>
        <v>1270.6949999999999</v>
      </c>
      <c r="H1174" s="11">
        <v>70250</v>
      </c>
      <c r="I1174" s="9">
        <f t="shared" si="50"/>
        <v>1270.6949999999999</v>
      </c>
    </row>
    <row r="1175" spans="1:9">
      <c r="A1175" s="11">
        <v>70281</v>
      </c>
      <c r="B1175" s="12">
        <f t="shared" si="48"/>
        <v>1270.6949999999999</v>
      </c>
      <c r="C1175" s="10"/>
      <c r="E1175" s="11">
        <v>70281</v>
      </c>
      <c r="F1175" s="9">
        <f t="shared" si="49"/>
        <v>1270.6949999999999</v>
      </c>
      <c r="H1175" s="11">
        <v>70281</v>
      </c>
      <c r="I1175" s="9">
        <f t="shared" si="50"/>
        <v>1270.6949999999999</v>
      </c>
    </row>
    <row r="1176" spans="1:9">
      <c r="A1176" s="11">
        <v>70311</v>
      </c>
      <c r="B1176" s="12">
        <f t="shared" si="48"/>
        <v>1270.6949999999999</v>
      </c>
      <c r="C1176" s="10"/>
      <c r="E1176" s="11">
        <v>70311</v>
      </c>
      <c r="F1176" s="9">
        <f t="shared" si="49"/>
        <v>1270.6949999999999</v>
      </c>
      <c r="H1176" s="11">
        <v>70311</v>
      </c>
      <c r="I1176" s="9">
        <f t="shared" si="50"/>
        <v>1270.6949999999999</v>
      </c>
    </row>
    <row r="1177" spans="1:9">
      <c r="A1177" s="11">
        <v>70342</v>
      </c>
      <c r="B1177" s="12">
        <f t="shared" si="48"/>
        <v>1270.6949999999999</v>
      </c>
      <c r="C1177" s="10"/>
      <c r="E1177" s="11">
        <v>70342</v>
      </c>
      <c r="F1177" s="9">
        <f t="shared" si="49"/>
        <v>1270.6949999999999</v>
      </c>
      <c r="H1177" s="11">
        <v>70342</v>
      </c>
      <c r="I1177" s="9">
        <f t="shared" si="50"/>
        <v>1270.6949999999999</v>
      </c>
    </row>
    <row r="1178" spans="1:9">
      <c r="A1178" s="11">
        <v>70373</v>
      </c>
      <c r="B1178" s="12">
        <f t="shared" si="48"/>
        <v>1270.6949999999999</v>
      </c>
      <c r="C1178" s="10"/>
      <c r="E1178" s="11">
        <v>70373</v>
      </c>
      <c r="F1178" s="9">
        <f t="shared" si="49"/>
        <v>1270.6949999999999</v>
      </c>
      <c r="H1178" s="11">
        <v>70373</v>
      </c>
      <c r="I1178" s="9">
        <f t="shared" si="50"/>
        <v>1270.6949999999999</v>
      </c>
    </row>
    <row r="1179" spans="1:9">
      <c r="A1179" s="11">
        <v>70403</v>
      </c>
      <c r="B1179" s="12">
        <f t="shared" si="48"/>
        <v>1270.6949999999999</v>
      </c>
      <c r="C1179" s="10"/>
      <c r="E1179" s="11">
        <v>70403</v>
      </c>
      <c r="F1179" s="9">
        <f t="shared" si="49"/>
        <v>1270.6949999999999</v>
      </c>
      <c r="H1179" s="11">
        <v>70403</v>
      </c>
      <c r="I1179" s="9">
        <f t="shared" si="50"/>
        <v>1270.6949999999999</v>
      </c>
    </row>
    <row r="1180" spans="1:9">
      <c r="A1180" s="11">
        <v>70434</v>
      </c>
      <c r="B1180" s="12">
        <f t="shared" si="48"/>
        <v>1270.6949999999999</v>
      </c>
      <c r="C1180" s="10"/>
      <c r="E1180" s="11">
        <v>70434</v>
      </c>
      <c r="F1180" s="9">
        <f t="shared" si="49"/>
        <v>1270.6949999999999</v>
      </c>
      <c r="H1180" s="11">
        <v>70434</v>
      </c>
      <c r="I1180" s="9">
        <f t="shared" si="50"/>
        <v>1270.6949999999999</v>
      </c>
    </row>
    <row r="1181" spans="1:9">
      <c r="A1181" s="11">
        <v>70464</v>
      </c>
      <c r="B1181" s="12">
        <f t="shared" si="48"/>
        <v>1270.6949999999999</v>
      </c>
      <c r="C1181" s="10"/>
      <c r="E1181" s="11">
        <v>70464</v>
      </c>
      <c r="F1181" s="9">
        <f t="shared" si="49"/>
        <v>1270.6949999999999</v>
      </c>
      <c r="H1181" s="11">
        <v>70464</v>
      </c>
      <c r="I1181" s="9">
        <f t="shared" si="50"/>
        <v>1270.6949999999999</v>
      </c>
    </row>
    <row r="1182" spans="1:9">
      <c r="A1182" s="11">
        <v>70495</v>
      </c>
      <c r="B1182" s="12">
        <f t="shared" si="48"/>
        <v>1270.6949999999999</v>
      </c>
      <c r="C1182" s="10"/>
      <c r="E1182" s="11">
        <v>70495</v>
      </c>
      <c r="F1182" s="9">
        <f t="shared" si="49"/>
        <v>1270.6949999999999</v>
      </c>
      <c r="H1182" s="11">
        <v>70495</v>
      </c>
      <c r="I1182" s="9">
        <f t="shared" si="50"/>
        <v>1270.6949999999999</v>
      </c>
    </row>
    <row r="1183" spans="1:9">
      <c r="A1183" s="11">
        <v>70526</v>
      </c>
      <c r="B1183" s="12">
        <f t="shared" si="48"/>
        <v>1270.6949999999999</v>
      </c>
      <c r="C1183" s="10"/>
      <c r="E1183" s="11">
        <v>70526</v>
      </c>
      <c r="F1183" s="9">
        <f t="shared" si="49"/>
        <v>1270.6949999999999</v>
      </c>
      <c r="H1183" s="11">
        <v>70526</v>
      </c>
      <c r="I1183" s="9">
        <f t="shared" si="50"/>
        <v>1270.6949999999999</v>
      </c>
    </row>
    <row r="1184" spans="1:9">
      <c r="A1184" s="11">
        <v>70554</v>
      </c>
      <c r="B1184" s="12">
        <f t="shared" si="48"/>
        <v>1270.6949999999999</v>
      </c>
      <c r="C1184" s="10"/>
      <c r="E1184" s="11">
        <v>70554</v>
      </c>
      <c r="F1184" s="9">
        <f t="shared" si="49"/>
        <v>1270.6949999999999</v>
      </c>
      <c r="H1184" s="11">
        <v>70554</v>
      </c>
      <c r="I1184" s="9">
        <f t="shared" si="50"/>
        <v>1270.6949999999999</v>
      </c>
    </row>
    <row r="1185" spans="1:9">
      <c r="A1185" s="11">
        <v>70585</v>
      </c>
      <c r="B1185" s="12">
        <f t="shared" ref="B1185:B1248" si="51">B1184</f>
        <v>1270.6949999999999</v>
      </c>
      <c r="C1185" s="10"/>
      <c r="E1185" s="11">
        <v>70585</v>
      </c>
      <c r="F1185" s="9">
        <f t="shared" si="49"/>
        <v>1270.6949999999999</v>
      </c>
      <c r="H1185" s="11">
        <v>70585</v>
      </c>
      <c r="I1185" s="9">
        <f t="shared" si="50"/>
        <v>1270.6949999999999</v>
      </c>
    </row>
    <row r="1186" spans="1:9">
      <c r="A1186" s="11">
        <v>70615</v>
      </c>
      <c r="B1186" s="12">
        <f t="shared" si="51"/>
        <v>1270.6949999999999</v>
      </c>
      <c r="C1186" s="10"/>
      <c r="E1186" s="11">
        <v>70615</v>
      </c>
      <c r="F1186" s="9">
        <f t="shared" si="49"/>
        <v>1270.6949999999999</v>
      </c>
      <c r="H1186" s="11">
        <v>70615</v>
      </c>
      <c r="I1186" s="9">
        <f t="shared" si="50"/>
        <v>1270.6949999999999</v>
      </c>
    </row>
    <row r="1187" spans="1:9">
      <c r="A1187" s="11">
        <v>70646</v>
      </c>
      <c r="B1187" s="12">
        <f t="shared" si="51"/>
        <v>1270.6949999999999</v>
      </c>
      <c r="C1187" s="10"/>
      <c r="E1187" s="11">
        <v>70646</v>
      </c>
      <c r="F1187" s="9">
        <f t="shared" si="49"/>
        <v>1270.6949999999999</v>
      </c>
      <c r="H1187" s="11">
        <v>70646</v>
      </c>
      <c r="I1187" s="9">
        <f t="shared" si="50"/>
        <v>1270.6949999999999</v>
      </c>
    </row>
    <row r="1188" spans="1:9">
      <c r="A1188" s="11">
        <v>70676</v>
      </c>
      <c r="B1188" s="12">
        <f t="shared" si="51"/>
        <v>1270.6949999999999</v>
      </c>
      <c r="C1188" s="10"/>
      <c r="E1188" s="11">
        <v>70676</v>
      </c>
      <c r="F1188" s="9">
        <f t="shared" si="49"/>
        <v>1270.6949999999999</v>
      </c>
      <c r="H1188" s="11">
        <v>70676</v>
      </c>
      <c r="I1188" s="9">
        <f t="shared" si="50"/>
        <v>1270.6949999999999</v>
      </c>
    </row>
    <row r="1189" spans="1:9">
      <c r="A1189" s="11">
        <v>70707</v>
      </c>
      <c r="B1189" s="12">
        <f t="shared" si="51"/>
        <v>1270.6949999999999</v>
      </c>
      <c r="C1189" s="10"/>
      <c r="E1189" s="11">
        <v>70707</v>
      </c>
      <c r="F1189" s="9">
        <f t="shared" si="49"/>
        <v>1270.6949999999999</v>
      </c>
      <c r="H1189" s="11">
        <v>70707</v>
      </c>
      <c r="I1189" s="9">
        <f t="shared" si="50"/>
        <v>1270.6949999999999</v>
      </c>
    </row>
    <row r="1190" spans="1:9">
      <c r="A1190" s="11">
        <v>70738</v>
      </c>
      <c r="B1190" s="12">
        <f t="shared" si="51"/>
        <v>1270.6949999999999</v>
      </c>
      <c r="C1190" s="10"/>
      <c r="E1190" s="11">
        <v>70738</v>
      </c>
      <c r="F1190" s="9">
        <f t="shared" si="49"/>
        <v>1270.6949999999999</v>
      </c>
      <c r="H1190" s="11">
        <v>70738</v>
      </c>
      <c r="I1190" s="9">
        <f t="shared" si="50"/>
        <v>1270.6949999999999</v>
      </c>
    </row>
    <row r="1191" spans="1:9">
      <c r="A1191" s="11">
        <v>70768</v>
      </c>
      <c r="B1191" s="12">
        <f t="shared" si="51"/>
        <v>1270.6949999999999</v>
      </c>
      <c r="C1191" s="10"/>
      <c r="E1191" s="11">
        <v>70768</v>
      </c>
      <c r="F1191" s="9">
        <f t="shared" si="49"/>
        <v>1270.6949999999999</v>
      </c>
      <c r="H1191" s="11">
        <v>70768</v>
      </c>
      <c r="I1191" s="9">
        <f t="shared" si="50"/>
        <v>1270.6949999999999</v>
      </c>
    </row>
    <row r="1192" spans="1:9">
      <c r="A1192" s="11">
        <v>70799</v>
      </c>
      <c r="B1192" s="12">
        <f t="shared" si="51"/>
        <v>1270.6949999999999</v>
      </c>
      <c r="C1192" s="10"/>
      <c r="E1192" s="11">
        <v>70799</v>
      </c>
      <c r="F1192" s="9">
        <f t="shared" si="49"/>
        <v>1270.6949999999999</v>
      </c>
      <c r="H1192" s="11">
        <v>70799</v>
      </c>
      <c r="I1192" s="9">
        <f t="shared" si="50"/>
        <v>1270.6949999999999</v>
      </c>
    </row>
    <row r="1193" spans="1:9">
      <c r="A1193" s="11">
        <v>70829</v>
      </c>
      <c r="B1193" s="12">
        <f t="shared" si="51"/>
        <v>1270.6949999999999</v>
      </c>
      <c r="C1193" s="10"/>
      <c r="E1193" s="11">
        <v>70829</v>
      </c>
      <c r="F1193" s="9">
        <f t="shared" si="49"/>
        <v>1270.6949999999999</v>
      </c>
      <c r="H1193" s="11">
        <v>70829</v>
      </c>
      <c r="I1193" s="9">
        <f t="shared" si="50"/>
        <v>1270.6949999999999</v>
      </c>
    </row>
    <row r="1194" spans="1:9">
      <c r="A1194" s="11">
        <v>70860</v>
      </c>
      <c r="B1194" s="12">
        <f t="shared" si="51"/>
        <v>1270.6949999999999</v>
      </c>
      <c r="C1194" s="10"/>
      <c r="E1194" s="11">
        <v>70860</v>
      </c>
      <c r="F1194" s="9">
        <f t="shared" si="49"/>
        <v>1270.6949999999999</v>
      </c>
      <c r="H1194" s="11">
        <v>70860</v>
      </c>
      <c r="I1194" s="9">
        <f t="shared" si="50"/>
        <v>1270.6949999999999</v>
      </c>
    </row>
    <row r="1195" spans="1:9">
      <c r="A1195" s="11">
        <v>70891</v>
      </c>
      <c r="B1195" s="12">
        <f t="shared" si="51"/>
        <v>1270.6949999999999</v>
      </c>
      <c r="C1195" s="10"/>
      <c r="E1195" s="11">
        <v>70891</v>
      </c>
      <c r="F1195" s="9">
        <f t="shared" ref="F1195:F1258" si="52">B1194</f>
        <v>1270.6949999999999</v>
      </c>
      <c r="H1195" s="11">
        <v>70891</v>
      </c>
      <c r="I1195" s="9">
        <f t="shared" ref="I1195:I1258" si="53">B1193</f>
        <v>1270.6949999999999</v>
      </c>
    </row>
    <row r="1196" spans="1:9">
      <c r="A1196" s="11">
        <v>70919</v>
      </c>
      <c r="B1196" s="12">
        <f t="shared" si="51"/>
        <v>1270.6949999999999</v>
      </c>
      <c r="C1196" s="10"/>
      <c r="E1196" s="11">
        <v>70919</v>
      </c>
      <c r="F1196" s="9">
        <f t="shared" si="52"/>
        <v>1270.6949999999999</v>
      </c>
      <c r="H1196" s="11">
        <v>70919</v>
      </c>
      <c r="I1196" s="9">
        <f t="shared" si="53"/>
        <v>1270.6949999999999</v>
      </c>
    </row>
    <row r="1197" spans="1:9">
      <c r="A1197" s="11">
        <v>70950</v>
      </c>
      <c r="B1197" s="12">
        <f t="shared" si="51"/>
        <v>1270.6949999999999</v>
      </c>
      <c r="C1197" s="10"/>
      <c r="E1197" s="11">
        <v>70950</v>
      </c>
      <c r="F1197" s="9">
        <f t="shared" si="52"/>
        <v>1270.6949999999999</v>
      </c>
      <c r="H1197" s="11">
        <v>70950</v>
      </c>
      <c r="I1197" s="9">
        <f t="shared" si="53"/>
        <v>1270.6949999999999</v>
      </c>
    </row>
    <row r="1198" spans="1:9">
      <c r="A1198" s="11">
        <v>70980</v>
      </c>
      <c r="B1198" s="12">
        <f t="shared" si="51"/>
        <v>1270.6949999999999</v>
      </c>
      <c r="C1198" s="10"/>
      <c r="E1198" s="11">
        <v>70980</v>
      </c>
      <c r="F1198" s="9">
        <f t="shared" si="52"/>
        <v>1270.6949999999999</v>
      </c>
      <c r="H1198" s="11">
        <v>70980</v>
      </c>
      <c r="I1198" s="9">
        <f t="shared" si="53"/>
        <v>1270.6949999999999</v>
      </c>
    </row>
    <row r="1199" spans="1:9">
      <c r="A1199" s="11">
        <v>71011</v>
      </c>
      <c r="B1199" s="12">
        <f t="shared" si="51"/>
        <v>1270.6949999999999</v>
      </c>
      <c r="C1199" s="10"/>
      <c r="E1199" s="11">
        <v>71011</v>
      </c>
      <c r="F1199" s="9">
        <f t="shared" si="52"/>
        <v>1270.6949999999999</v>
      </c>
      <c r="H1199" s="11">
        <v>71011</v>
      </c>
      <c r="I1199" s="9">
        <f t="shared" si="53"/>
        <v>1270.6949999999999</v>
      </c>
    </row>
    <row r="1200" spans="1:9">
      <c r="A1200" s="11">
        <v>71041</v>
      </c>
      <c r="B1200" s="12">
        <f t="shared" si="51"/>
        <v>1270.6949999999999</v>
      </c>
      <c r="C1200" s="10"/>
      <c r="E1200" s="11">
        <v>71041</v>
      </c>
      <c r="F1200" s="9">
        <f t="shared" si="52"/>
        <v>1270.6949999999999</v>
      </c>
      <c r="H1200" s="11">
        <v>71041</v>
      </c>
      <c r="I1200" s="9">
        <f t="shared" si="53"/>
        <v>1270.6949999999999</v>
      </c>
    </row>
    <row r="1201" spans="1:9">
      <c r="A1201" s="11">
        <v>71072</v>
      </c>
      <c r="B1201" s="12">
        <f t="shared" si="51"/>
        <v>1270.6949999999999</v>
      </c>
      <c r="C1201" s="10"/>
      <c r="E1201" s="11">
        <v>71072</v>
      </c>
      <c r="F1201" s="9">
        <f t="shared" si="52"/>
        <v>1270.6949999999999</v>
      </c>
      <c r="H1201" s="11">
        <v>71072</v>
      </c>
      <c r="I1201" s="9">
        <f t="shared" si="53"/>
        <v>1270.6949999999999</v>
      </c>
    </row>
    <row r="1202" spans="1:9">
      <c r="A1202" s="11">
        <v>71103</v>
      </c>
      <c r="B1202" s="12">
        <f t="shared" si="51"/>
        <v>1270.6949999999999</v>
      </c>
      <c r="C1202" s="10"/>
      <c r="E1202" s="11">
        <v>71103</v>
      </c>
      <c r="F1202" s="9">
        <f t="shared" si="52"/>
        <v>1270.6949999999999</v>
      </c>
      <c r="H1202" s="11">
        <v>71103</v>
      </c>
      <c r="I1202" s="9">
        <f t="shared" si="53"/>
        <v>1270.6949999999999</v>
      </c>
    </row>
    <row r="1203" spans="1:9">
      <c r="A1203" s="11">
        <v>71133</v>
      </c>
      <c r="B1203" s="12">
        <f t="shared" si="51"/>
        <v>1270.6949999999999</v>
      </c>
      <c r="C1203" s="10"/>
      <c r="E1203" s="11">
        <v>71133</v>
      </c>
      <c r="F1203" s="9">
        <f t="shared" si="52"/>
        <v>1270.6949999999999</v>
      </c>
      <c r="H1203" s="11">
        <v>71133</v>
      </c>
      <c r="I1203" s="9">
        <f t="shared" si="53"/>
        <v>1270.6949999999999</v>
      </c>
    </row>
    <row r="1204" spans="1:9">
      <c r="A1204" s="11">
        <v>71164</v>
      </c>
      <c r="B1204" s="12">
        <f t="shared" si="51"/>
        <v>1270.6949999999999</v>
      </c>
      <c r="C1204" s="10"/>
      <c r="E1204" s="11">
        <v>71164</v>
      </c>
      <c r="F1204" s="9">
        <f t="shared" si="52"/>
        <v>1270.6949999999999</v>
      </c>
      <c r="H1204" s="11">
        <v>71164</v>
      </c>
      <c r="I1204" s="9">
        <f t="shared" si="53"/>
        <v>1270.6949999999999</v>
      </c>
    </row>
    <row r="1205" spans="1:9">
      <c r="A1205" s="11">
        <v>71194</v>
      </c>
      <c r="B1205" s="12">
        <f t="shared" si="51"/>
        <v>1270.6949999999999</v>
      </c>
      <c r="C1205" s="10"/>
      <c r="E1205" s="11">
        <v>71194</v>
      </c>
      <c r="F1205" s="9">
        <f t="shared" si="52"/>
        <v>1270.6949999999999</v>
      </c>
      <c r="H1205" s="11">
        <v>71194</v>
      </c>
      <c r="I1205" s="9">
        <f t="shared" si="53"/>
        <v>1270.6949999999999</v>
      </c>
    </row>
    <row r="1206" spans="1:9">
      <c r="A1206" s="11">
        <v>71225</v>
      </c>
      <c r="B1206" s="12">
        <f t="shared" si="51"/>
        <v>1270.6949999999999</v>
      </c>
      <c r="C1206" s="10"/>
      <c r="E1206" s="11">
        <v>71225</v>
      </c>
      <c r="F1206" s="9">
        <f t="shared" si="52"/>
        <v>1270.6949999999999</v>
      </c>
      <c r="H1206" s="11">
        <v>71225</v>
      </c>
      <c r="I1206" s="9">
        <f t="shared" si="53"/>
        <v>1270.6949999999999</v>
      </c>
    </row>
    <row r="1207" spans="1:9">
      <c r="A1207" s="11">
        <v>71256</v>
      </c>
      <c r="B1207" s="12">
        <f t="shared" si="51"/>
        <v>1270.6949999999999</v>
      </c>
      <c r="C1207" s="10"/>
      <c r="E1207" s="11">
        <v>71256</v>
      </c>
      <c r="F1207" s="9">
        <f t="shared" si="52"/>
        <v>1270.6949999999999</v>
      </c>
      <c r="H1207" s="11">
        <v>71256</v>
      </c>
      <c r="I1207" s="9">
        <f t="shared" si="53"/>
        <v>1270.6949999999999</v>
      </c>
    </row>
    <row r="1208" spans="1:9">
      <c r="A1208" s="11">
        <v>71284</v>
      </c>
      <c r="B1208" s="12">
        <f t="shared" si="51"/>
        <v>1270.6949999999999</v>
      </c>
      <c r="C1208" s="10"/>
      <c r="E1208" s="11">
        <v>71284</v>
      </c>
      <c r="F1208" s="9">
        <f t="shared" si="52"/>
        <v>1270.6949999999999</v>
      </c>
      <c r="H1208" s="11">
        <v>71284</v>
      </c>
      <c r="I1208" s="9">
        <f t="shared" si="53"/>
        <v>1270.6949999999999</v>
      </c>
    </row>
    <row r="1209" spans="1:9">
      <c r="A1209" s="11">
        <v>71315</v>
      </c>
      <c r="B1209" s="12">
        <f t="shared" si="51"/>
        <v>1270.6949999999999</v>
      </c>
      <c r="C1209" s="10"/>
      <c r="E1209" s="11">
        <v>71315</v>
      </c>
      <c r="F1209" s="9">
        <f t="shared" si="52"/>
        <v>1270.6949999999999</v>
      </c>
      <c r="H1209" s="11">
        <v>71315</v>
      </c>
      <c r="I1209" s="9">
        <f t="shared" si="53"/>
        <v>1270.6949999999999</v>
      </c>
    </row>
    <row r="1210" spans="1:9">
      <c r="A1210" s="11">
        <v>71345</v>
      </c>
      <c r="B1210" s="12">
        <f t="shared" si="51"/>
        <v>1270.6949999999999</v>
      </c>
      <c r="C1210" s="10"/>
      <c r="E1210" s="11">
        <v>71345</v>
      </c>
      <c r="F1210" s="9">
        <f t="shared" si="52"/>
        <v>1270.6949999999999</v>
      </c>
      <c r="H1210" s="11">
        <v>71345</v>
      </c>
      <c r="I1210" s="9">
        <f t="shared" si="53"/>
        <v>1270.6949999999999</v>
      </c>
    </row>
    <row r="1211" spans="1:9">
      <c r="A1211" s="11">
        <v>71376</v>
      </c>
      <c r="B1211" s="12">
        <f t="shared" si="51"/>
        <v>1270.6949999999999</v>
      </c>
      <c r="C1211" s="10"/>
      <c r="E1211" s="11">
        <v>71376</v>
      </c>
      <c r="F1211" s="9">
        <f t="shared" si="52"/>
        <v>1270.6949999999999</v>
      </c>
      <c r="H1211" s="11">
        <v>71376</v>
      </c>
      <c r="I1211" s="9">
        <f t="shared" si="53"/>
        <v>1270.6949999999999</v>
      </c>
    </row>
    <row r="1212" spans="1:9">
      <c r="A1212" s="11">
        <v>71406</v>
      </c>
      <c r="B1212" s="12">
        <f t="shared" si="51"/>
        <v>1270.6949999999999</v>
      </c>
      <c r="C1212" s="10"/>
      <c r="E1212" s="11">
        <v>71406</v>
      </c>
      <c r="F1212" s="9">
        <f t="shared" si="52"/>
        <v>1270.6949999999999</v>
      </c>
      <c r="H1212" s="11">
        <v>71406</v>
      </c>
      <c r="I1212" s="9">
        <f t="shared" si="53"/>
        <v>1270.6949999999999</v>
      </c>
    </row>
    <row r="1213" spans="1:9">
      <c r="A1213" s="11">
        <v>71437</v>
      </c>
      <c r="B1213" s="12">
        <f t="shared" si="51"/>
        <v>1270.6949999999999</v>
      </c>
      <c r="C1213" s="10"/>
      <c r="E1213" s="11">
        <v>71437</v>
      </c>
      <c r="F1213" s="9">
        <f t="shared" si="52"/>
        <v>1270.6949999999999</v>
      </c>
      <c r="H1213" s="11">
        <v>71437</v>
      </c>
      <c r="I1213" s="9">
        <f t="shared" si="53"/>
        <v>1270.6949999999999</v>
      </c>
    </row>
    <row r="1214" spans="1:9">
      <c r="A1214" s="11">
        <v>71468</v>
      </c>
      <c r="B1214" s="12">
        <f t="shared" si="51"/>
        <v>1270.6949999999999</v>
      </c>
      <c r="C1214" s="10"/>
      <c r="E1214" s="11">
        <v>71468</v>
      </c>
      <c r="F1214" s="9">
        <f t="shared" si="52"/>
        <v>1270.6949999999999</v>
      </c>
      <c r="H1214" s="11">
        <v>71468</v>
      </c>
      <c r="I1214" s="9">
        <f t="shared" si="53"/>
        <v>1270.6949999999999</v>
      </c>
    </row>
    <row r="1215" spans="1:9">
      <c r="A1215" s="11">
        <v>71498</v>
      </c>
      <c r="B1215" s="12">
        <f t="shared" si="51"/>
        <v>1270.6949999999999</v>
      </c>
      <c r="C1215" s="10"/>
      <c r="E1215" s="11">
        <v>71498</v>
      </c>
      <c r="F1215" s="9">
        <f t="shared" si="52"/>
        <v>1270.6949999999999</v>
      </c>
      <c r="H1215" s="11">
        <v>71498</v>
      </c>
      <c r="I1215" s="9">
        <f t="shared" si="53"/>
        <v>1270.6949999999999</v>
      </c>
    </row>
    <row r="1216" spans="1:9">
      <c r="A1216" s="11">
        <v>71529</v>
      </c>
      <c r="B1216" s="12">
        <f t="shared" si="51"/>
        <v>1270.6949999999999</v>
      </c>
      <c r="C1216" s="10"/>
      <c r="E1216" s="11">
        <v>71529</v>
      </c>
      <c r="F1216" s="9">
        <f t="shared" si="52"/>
        <v>1270.6949999999999</v>
      </c>
      <c r="H1216" s="11">
        <v>71529</v>
      </c>
      <c r="I1216" s="9">
        <f t="shared" si="53"/>
        <v>1270.6949999999999</v>
      </c>
    </row>
    <row r="1217" spans="1:9">
      <c r="A1217" s="11">
        <v>71559</v>
      </c>
      <c r="B1217" s="12">
        <f t="shared" si="51"/>
        <v>1270.6949999999999</v>
      </c>
      <c r="C1217" s="10"/>
      <c r="E1217" s="11">
        <v>71559</v>
      </c>
      <c r="F1217" s="9">
        <f t="shared" si="52"/>
        <v>1270.6949999999999</v>
      </c>
      <c r="H1217" s="11">
        <v>71559</v>
      </c>
      <c r="I1217" s="9">
        <f t="shared" si="53"/>
        <v>1270.6949999999999</v>
      </c>
    </row>
    <row r="1218" spans="1:9">
      <c r="A1218" s="11">
        <v>71590</v>
      </c>
      <c r="B1218" s="12">
        <f t="shared" si="51"/>
        <v>1270.6949999999999</v>
      </c>
      <c r="C1218" s="10"/>
      <c r="E1218" s="11">
        <v>71590</v>
      </c>
      <c r="F1218" s="9">
        <f t="shared" si="52"/>
        <v>1270.6949999999999</v>
      </c>
      <c r="H1218" s="11">
        <v>71590</v>
      </c>
      <c r="I1218" s="9">
        <f t="shared" si="53"/>
        <v>1270.6949999999999</v>
      </c>
    </row>
    <row r="1219" spans="1:9">
      <c r="A1219" s="11">
        <v>71621</v>
      </c>
      <c r="B1219" s="12">
        <f t="shared" si="51"/>
        <v>1270.6949999999999</v>
      </c>
      <c r="C1219" s="10"/>
      <c r="E1219" s="11">
        <v>71621</v>
      </c>
      <c r="F1219" s="9">
        <f t="shared" si="52"/>
        <v>1270.6949999999999</v>
      </c>
      <c r="H1219" s="11">
        <v>71621</v>
      </c>
      <c r="I1219" s="9">
        <f t="shared" si="53"/>
        <v>1270.6949999999999</v>
      </c>
    </row>
    <row r="1220" spans="1:9">
      <c r="A1220" s="11">
        <v>71650</v>
      </c>
      <c r="B1220" s="12">
        <f t="shared" si="51"/>
        <v>1270.6949999999999</v>
      </c>
      <c r="C1220" s="10"/>
      <c r="E1220" s="11">
        <v>71650</v>
      </c>
      <c r="F1220" s="9">
        <f t="shared" si="52"/>
        <v>1270.6949999999999</v>
      </c>
      <c r="H1220" s="11">
        <v>71650</v>
      </c>
      <c r="I1220" s="9">
        <f t="shared" si="53"/>
        <v>1270.6949999999999</v>
      </c>
    </row>
    <row r="1221" spans="1:9">
      <c r="A1221" s="11">
        <v>71681</v>
      </c>
      <c r="B1221" s="12">
        <f t="shared" si="51"/>
        <v>1270.6949999999999</v>
      </c>
      <c r="C1221" s="10"/>
      <c r="E1221" s="11">
        <v>71681</v>
      </c>
      <c r="F1221" s="9">
        <f t="shared" si="52"/>
        <v>1270.6949999999999</v>
      </c>
      <c r="H1221" s="11">
        <v>71681</v>
      </c>
      <c r="I1221" s="9">
        <f t="shared" si="53"/>
        <v>1270.6949999999999</v>
      </c>
    </row>
    <row r="1222" spans="1:9">
      <c r="A1222" s="11">
        <v>71711</v>
      </c>
      <c r="B1222" s="12">
        <f t="shared" si="51"/>
        <v>1270.6949999999999</v>
      </c>
      <c r="C1222" s="10"/>
      <c r="E1222" s="11">
        <v>71711</v>
      </c>
      <c r="F1222" s="9">
        <f t="shared" si="52"/>
        <v>1270.6949999999999</v>
      </c>
      <c r="H1222" s="11">
        <v>71711</v>
      </c>
      <c r="I1222" s="9">
        <f t="shared" si="53"/>
        <v>1270.6949999999999</v>
      </c>
    </row>
    <row r="1223" spans="1:9">
      <c r="A1223" s="11">
        <v>71742</v>
      </c>
      <c r="B1223" s="12">
        <f t="shared" si="51"/>
        <v>1270.6949999999999</v>
      </c>
      <c r="C1223" s="10"/>
      <c r="E1223" s="11">
        <v>71742</v>
      </c>
      <c r="F1223" s="9">
        <f t="shared" si="52"/>
        <v>1270.6949999999999</v>
      </c>
      <c r="H1223" s="11">
        <v>71742</v>
      </c>
      <c r="I1223" s="9">
        <f t="shared" si="53"/>
        <v>1270.6949999999999</v>
      </c>
    </row>
    <row r="1224" spans="1:9">
      <c r="A1224" s="11">
        <v>71772</v>
      </c>
      <c r="B1224" s="12">
        <f t="shared" si="51"/>
        <v>1270.6949999999999</v>
      </c>
      <c r="C1224" s="10"/>
      <c r="E1224" s="11">
        <v>71772</v>
      </c>
      <c r="F1224" s="9">
        <f t="shared" si="52"/>
        <v>1270.6949999999999</v>
      </c>
      <c r="H1224" s="11">
        <v>71772</v>
      </c>
      <c r="I1224" s="9">
        <f t="shared" si="53"/>
        <v>1270.6949999999999</v>
      </c>
    </row>
    <row r="1225" spans="1:9">
      <c r="A1225" s="11">
        <v>71803</v>
      </c>
      <c r="B1225" s="12">
        <f t="shared" si="51"/>
        <v>1270.6949999999999</v>
      </c>
      <c r="C1225" s="10"/>
      <c r="E1225" s="11">
        <v>71803</v>
      </c>
      <c r="F1225" s="9">
        <f t="shared" si="52"/>
        <v>1270.6949999999999</v>
      </c>
      <c r="H1225" s="11">
        <v>71803</v>
      </c>
      <c r="I1225" s="9">
        <f t="shared" si="53"/>
        <v>1270.6949999999999</v>
      </c>
    </row>
    <row r="1226" spans="1:9">
      <c r="A1226" s="11">
        <v>71834</v>
      </c>
      <c r="B1226" s="12">
        <f t="shared" si="51"/>
        <v>1270.6949999999999</v>
      </c>
      <c r="C1226" s="10"/>
      <c r="E1226" s="11">
        <v>71834</v>
      </c>
      <c r="F1226" s="9">
        <f t="shared" si="52"/>
        <v>1270.6949999999999</v>
      </c>
      <c r="H1226" s="11">
        <v>71834</v>
      </c>
      <c r="I1226" s="9">
        <f t="shared" si="53"/>
        <v>1270.6949999999999</v>
      </c>
    </row>
    <row r="1227" spans="1:9">
      <c r="A1227" s="11">
        <v>71864</v>
      </c>
      <c r="B1227" s="12">
        <f t="shared" si="51"/>
        <v>1270.6949999999999</v>
      </c>
      <c r="C1227" s="10"/>
      <c r="E1227" s="11">
        <v>71864</v>
      </c>
      <c r="F1227" s="9">
        <f t="shared" si="52"/>
        <v>1270.6949999999999</v>
      </c>
      <c r="H1227" s="11">
        <v>71864</v>
      </c>
      <c r="I1227" s="9">
        <f t="shared" si="53"/>
        <v>1270.6949999999999</v>
      </c>
    </row>
    <row r="1228" spans="1:9">
      <c r="A1228" s="11">
        <v>71895</v>
      </c>
      <c r="B1228" s="12">
        <f t="shared" si="51"/>
        <v>1270.6949999999999</v>
      </c>
      <c r="C1228" s="10"/>
      <c r="E1228" s="11">
        <v>71895</v>
      </c>
      <c r="F1228" s="9">
        <f t="shared" si="52"/>
        <v>1270.6949999999999</v>
      </c>
      <c r="H1228" s="11">
        <v>71895</v>
      </c>
      <c r="I1228" s="9">
        <f t="shared" si="53"/>
        <v>1270.6949999999999</v>
      </c>
    </row>
    <row r="1229" spans="1:9">
      <c r="A1229" s="11">
        <v>71925</v>
      </c>
      <c r="B1229" s="12">
        <f t="shared" si="51"/>
        <v>1270.6949999999999</v>
      </c>
      <c r="C1229" s="10"/>
      <c r="E1229" s="11">
        <v>71925</v>
      </c>
      <c r="F1229" s="9">
        <f t="shared" si="52"/>
        <v>1270.6949999999999</v>
      </c>
      <c r="H1229" s="11">
        <v>71925</v>
      </c>
      <c r="I1229" s="9">
        <f t="shared" si="53"/>
        <v>1270.6949999999999</v>
      </c>
    </row>
    <row r="1230" spans="1:9">
      <c r="A1230" s="11">
        <v>71956</v>
      </c>
      <c r="B1230" s="12">
        <f t="shared" si="51"/>
        <v>1270.6949999999999</v>
      </c>
      <c r="C1230" s="10"/>
      <c r="E1230" s="11">
        <v>71956</v>
      </c>
      <c r="F1230" s="9">
        <f t="shared" si="52"/>
        <v>1270.6949999999999</v>
      </c>
      <c r="H1230" s="11">
        <v>71956</v>
      </c>
      <c r="I1230" s="9">
        <f t="shared" si="53"/>
        <v>1270.6949999999999</v>
      </c>
    </row>
    <row r="1231" spans="1:9">
      <c r="A1231" s="11">
        <v>71987</v>
      </c>
      <c r="B1231" s="12">
        <f t="shared" si="51"/>
        <v>1270.6949999999999</v>
      </c>
      <c r="C1231" s="10"/>
      <c r="E1231" s="11">
        <v>71987</v>
      </c>
      <c r="F1231" s="9">
        <f t="shared" si="52"/>
        <v>1270.6949999999999</v>
      </c>
      <c r="H1231" s="11">
        <v>71987</v>
      </c>
      <c r="I1231" s="9">
        <f t="shared" si="53"/>
        <v>1270.6949999999999</v>
      </c>
    </row>
    <row r="1232" spans="1:9">
      <c r="A1232" s="11">
        <v>72015</v>
      </c>
      <c r="B1232" s="12">
        <f t="shared" si="51"/>
        <v>1270.6949999999999</v>
      </c>
      <c r="C1232" s="10"/>
      <c r="E1232" s="11">
        <v>72015</v>
      </c>
      <c r="F1232" s="9">
        <f t="shared" si="52"/>
        <v>1270.6949999999999</v>
      </c>
      <c r="H1232" s="11">
        <v>72015</v>
      </c>
      <c r="I1232" s="9">
        <f t="shared" si="53"/>
        <v>1270.6949999999999</v>
      </c>
    </row>
    <row r="1233" spans="1:9">
      <c r="A1233" s="11">
        <v>72046</v>
      </c>
      <c r="B1233" s="12">
        <f t="shared" si="51"/>
        <v>1270.6949999999999</v>
      </c>
      <c r="C1233" s="10"/>
      <c r="E1233" s="11">
        <v>72046</v>
      </c>
      <c r="F1233" s="9">
        <f t="shared" si="52"/>
        <v>1270.6949999999999</v>
      </c>
      <c r="H1233" s="11">
        <v>72046</v>
      </c>
      <c r="I1233" s="9">
        <f t="shared" si="53"/>
        <v>1270.6949999999999</v>
      </c>
    </row>
    <row r="1234" spans="1:9">
      <c r="A1234" s="11">
        <v>72076</v>
      </c>
      <c r="B1234" s="12">
        <f t="shared" si="51"/>
        <v>1270.6949999999999</v>
      </c>
      <c r="C1234" s="10"/>
      <c r="E1234" s="11">
        <v>72076</v>
      </c>
      <c r="F1234" s="9">
        <f t="shared" si="52"/>
        <v>1270.6949999999999</v>
      </c>
      <c r="H1234" s="11">
        <v>72076</v>
      </c>
      <c r="I1234" s="9">
        <f t="shared" si="53"/>
        <v>1270.6949999999999</v>
      </c>
    </row>
    <row r="1235" spans="1:9">
      <c r="A1235" s="11">
        <v>72107</v>
      </c>
      <c r="B1235" s="12">
        <f t="shared" si="51"/>
        <v>1270.6949999999999</v>
      </c>
      <c r="C1235" s="10"/>
      <c r="E1235" s="11">
        <v>72107</v>
      </c>
      <c r="F1235" s="9">
        <f t="shared" si="52"/>
        <v>1270.6949999999999</v>
      </c>
      <c r="H1235" s="11">
        <v>72107</v>
      </c>
      <c r="I1235" s="9">
        <f t="shared" si="53"/>
        <v>1270.6949999999999</v>
      </c>
    </row>
    <row r="1236" spans="1:9">
      <c r="A1236" s="11">
        <v>72137</v>
      </c>
      <c r="B1236" s="12">
        <f t="shared" si="51"/>
        <v>1270.6949999999999</v>
      </c>
      <c r="C1236" s="10"/>
      <c r="E1236" s="11">
        <v>72137</v>
      </c>
      <c r="F1236" s="9">
        <f t="shared" si="52"/>
        <v>1270.6949999999999</v>
      </c>
      <c r="H1236" s="11">
        <v>72137</v>
      </c>
      <c r="I1236" s="9">
        <f t="shared" si="53"/>
        <v>1270.6949999999999</v>
      </c>
    </row>
    <row r="1237" spans="1:9">
      <c r="A1237" s="11">
        <v>72168</v>
      </c>
      <c r="B1237" s="12">
        <f t="shared" si="51"/>
        <v>1270.6949999999999</v>
      </c>
      <c r="C1237" s="10"/>
      <c r="E1237" s="11">
        <v>72168</v>
      </c>
      <c r="F1237" s="9">
        <f t="shared" si="52"/>
        <v>1270.6949999999999</v>
      </c>
      <c r="H1237" s="11">
        <v>72168</v>
      </c>
      <c r="I1237" s="9">
        <f t="shared" si="53"/>
        <v>1270.6949999999999</v>
      </c>
    </row>
    <row r="1238" spans="1:9">
      <c r="A1238" s="11">
        <v>72199</v>
      </c>
      <c r="B1238" s="12">
        <f t="shared" si="51"/>
        <v>1270.6949999999999</v>
      </c>
      <c r="C1238" s="10"/>
      <c r="E1238" s="11">
        <v>72199</v>
      </c>
      <c r="F1238" s="9">
        <f t="shared" si="52"/>
        <v>1270.6949999999999</v>
      </c>
      <c r="H1238" s="11">
        <v>72199</v>
      </c>
      <c r="I1238" s="9">
        <f t="shared" si="53"/>
        <v>1270.6949999999999</v>
      </c>
    </row>
    <row r="1239" spans="1:9">
      <c r="A1239" s="11">
        <v>72229</v>
      </c>
      <c r="B1239" s="12">
        <f t="shared" si="51"/>
        <v>1270.6949999999999</v>
      </c>
      <c r="C1239" s="10"/>
      <c r="E1239" s="11">
        <v>72229</v>
      </c>
      <c r="F1239" s="9">
        <f t="shared" si="52"/>
        <v>1270.6949999999999</v>
      </c>
      <c r="H1239" s="11">
        <v>72229</v>
      </c>
      <c r="I1239" s="9">
        <f t="shared" si="53"/>
        <v>1270.6949999999999</v>
      </c>
    </row>
    <row r="1240" spans="1:9">
      <c r="A1240" s="11">
        <v>72260</v>
      </c>
      <c r="B1240" s="12">
        <f t="shared" si="51"/>
        <v>1270.6949999999999</v>
      </c>
      <c r="C1240" s="10"/>
      <c r="E1240" s="11">
        <v>72260</v>
      </c>
      <c r="F1240" s="9">
        <f t="shared" si="52"/>
        <v>1270.6949999999999</v>
      </c>
      <c r="H1240" s="11">
        <v>72260</v>
      </c>
      <c r="I1240" s="9">
        <f t="shared" si="53"/>
        <v>1270.6949999999999</v>
      </c>
    </row>
    <row r="1241" spans="1:9">
      <c r="A1241" s="11">
        <v>72290</v>
      </c>
      <c r="B1241" s="12">
        <f t="shared" si="51"/>
        <v>1270.6949999999999</v>
      </c>
      <c r="C1241" s="10"/>
      <c r="E1241" s="11">
        <v>72290</v>
      </c>
      <c r="F1241" s="9">
        <f t="shared" si="52"/>
        <v>1270.6949999999999</v>
      </c>
      <c r="H1241" s="11">
        <v>72290</v>
      </c>
      <c r="I1241" s="9">
        <f t="shared" si="53"/>
        <v>1270.6949999999999</v>
      </c>
    </row>
    <row r="1242" spans="1:9">
      <c r="A1242" s="11">
        <v>72321</v>
      </c>
      <c r="B1242" s="12">
        <f t="shared" si="51"/>
        <v>1270.6949999999999</v>
      </c>
      <c r="C1242" s="10"/>
      <c r="E1242" s="11">
        <v>72321</v>
      </c>
      <c r="F1242" s="9">
        <f t="shared" si="52"/>
        <v>1270.6949999999999</v>
      </c>
      <c r="H1242" s="11">
        <v>72321</v>
      </c>
      <c r="I1242" s="9">
        <f t="shared" si="53"/>
        <v>1270.6949999999999</v>
      </c>
    </row>
    <row r="1243" spans="1:9">
      <c r="A1243" s="11">
        <v>72352</v>
      </c>
      <c r="B1243" s="12">
        <f t="shared" si="51"/>
        <v>1270.6949999999999</v>
      </c>
      <c r="C1243" s="10"/>
      <c r="E1243" s="11">
        <v>72352</v>
      </c>
      <c r="F1243" s="9">
        <f t="shared" si="52"/>
        <v>1270.6949999999999</v>
      </c>
      <c r="H1243" s="11">
        <v>72352</v>
      </c>
      <c r="I1243" s="9">
        <f t="shared" si="53"/>
        <v>1270.6949999999999</v>
      </c>
    </row>
    <row r="1244" spans="1:9">
      <c r="A1244" s="11">
        <v>72380</v>
      </c>
      <c r="B1244" s="12">
        <f t="shared" si="51"/>
        <v>1270.6949999999999</v>
      </c>
      <c r="C1244" s="10"/>
      <c r="E1244" s="11">
        <v>72380</v>
      </c>
      <c r="F1244" s="9">
        <f t="shared" si="52"/>
        <v>1270.6949999999999</v>
      </c>
      <c r="H1244" s="11">
        <v>72380</v>
      </c>
      <c r="I1244" s="9">
        <f t="shared" si="53"/>
        <v>1270.6949999999999</v>
      </c>
    </row>
    <row r="1245" spans="1:9">
      <c r="A1245" s="11">
        <v>72411</v>
      </c>
      <c r="B1245" s="12">
        <f t="shared" si="51"/>
        <v>1270.6949999999999</v>
      </c>
      <c r="C1245" s="10"/>
      <c r="E1245" s="11">
        <v>72411</v>
      </c>
      <c r="F1245" s="9">
        <f t="shared" si="52"/>
        <v>1270.6949999999999</v>
      </c>
      <c r="H1245" s="11">
        <v>72411</v>
      </c>
      <c r="I1245" s="9">
        <f t="shared" si="53"/>
        <v>1270.6949999999999</v>
      </c>
    </row>
    <row r="1246" spans="1:9">
      <c r="A1246" s="11">
        <v>72441</v>
      </c>
      <c r="B1246" s="12">
        <f t="shared" si="51"/>
        <v>1270.6949999999999</v>
      </c>
      <c r="C1246" s="10"/>
      <c r="E1246" s="11">
        <v>72441</v>
      </c>
      <c r="F1246" s="9">
        <f t="shared" si="52"/>
        <v>1270.6949999999999</v>
      </c>
      <c r="H1246" s="11">
        <v>72441</v>
      </c>
      <c r="I1246" s="9">
        <f t="shared" si="53"/>
        <v>1270.6949999999999</v>
      </c>
    </row>
    <row r="1247" spans="1:9">
      <c r="A1247" s="11">
        <v>72472</v>
      </c>
      <c r="B1247" s="12">
        <f t="shared" si="51"/>
        <v>1270.6949999999999</v>
      </c>
      <c r="C1247" s="10"/>
      <c r="E1247" s="11">
        <v>72472</v>
      </c>
      <c r="F1247" s="9">
        <f t="shared" si="52"/>
        <v>1270.6949999999999</v>
      </c>
      <c r="H1247" s="11">
        <v>72472</v>
      </c>
      <c r="I1247" s="9">
        <f t="shared" si="53"/>
        <v>1270.6949999999999</v>
      </c>
    </row>
    <row r="1248" spans="1:9">
      <c r="A1248" s="11">
        <v>72502</v>
      </c>
      <c r="B1248" s="12">
        <f t="shared" si="51"/>
        <v>1270.6949999999999</v>
      </c>
      <c r="C1248" s="10"/>
      <c r="E1248" s="11">
        <v>72502</v>
      </c>
      <c r="F1248" s="9">
        <f t="shared" si="52"/>
        <v>1270.6949999999999</v>
      </c>
      <c r="H1248" s="11">
        <v>72502</v>
      </c>
      <c r="I1248" s="9">
        <f t="shared" si="53"/>
        <v>1270.6949999999999</v>
      </c>
    </row>
    <row r="1249" spans="1:9">
      <c r="A1249" s="11">
        <v>72533</v>
      </c>
      <c r="B1249" s="12">
        <f t="shared" ref="B1249:B1312" si="54">B1248</f>
        <v>1270.6949999999999</v>
      </c>
      <c r="C1249" s="10"/>
      <c r="E1249" s="11">
        <v>72533</v>
      </c>
      <c r="F1249" s="9">
        <f t="shared" si="52"/>
        <v>1270.6949999999999</v>
      </c>
      <c r="H1249" s="11">
        <v>72533</v>
      </c>
      <c r="I1249" s="9">
        <f t="shared" si="53"/>
        <v>1270.6949999999999</v>
      </c>
    </row>
    <row r="1250" spans="1:9">
      <c r="A1250" s="11">
        <v>72564</v>
      </c>
      <c r="B1250" s="12">
        <f t="shared" si="54"/>
        <v>1270.6949999999999</v>
      </c>
      <c r="C1250" s="10"/>
      <c r="E1250" s="11">
        <v>72564</v>
      </c>
      <c r="F1250" s="9">
        <f t="shared" si="52"/>
        <v>1270.6949999999999</v>
      </c>
      <c r="H1250" s="11">
        <v>72564</v>
      </c>
      <c r="I1250" s="9">
        <f t="shared" si="53"/>
        <v>1270.6949999999999</v>
      </c>
    </row>
    <row r="1251" spans="1:9">
      <c r="A1251" s="11">
        <v>72594</v>
      </c>
      <c r="B1251" s="12">
        <f t="shared" si="54"/>
        <v>1270.6949999999999</v>
      </c>
      <c r="C1251" s="10"/>
      <c r="E1251" s="11">
        <v>72594</v>
      </c>
      <c r="F1251" s="9">
        <f t="shared" si="52"/>
        <v>1270.6949999999999</v>
      </c>
      <c r="H1251" s="11">
        <v>72594</v>
      </c>
      <c r="I1251" s="9">
        <f t="shared" si="53"/>
        <v>1270.6949999999999</v>
      </c>
    </row>
    <row r="1252" spans="1:9">
      <c r="A1252" s="11">
        <v>72625</v>
      </c>
      <c r="B1252" s="12">
        <f t="shared" si="54"/>
        <v>1270.6949999999999</v>
      </c>
      <c r="C1252" s="10"/>
      <c r="E1252" s="11">
        <v>72625</v>
      </c>
      <c r="F1252" s="9">
        <f t="shared" si="52"/>
        <v>1270.6949999999999</v>
      </c>
      <c r="H1252" s="11">
        <v>72625</v>
      </c>
      <c r="I1252" s="9">
        <f t="shared" si="53"/>
        <v>1270.6949999999999</v>
      </c>
    </row>
    <row r="1253" spans="1:9">
      <c r="A1253" s="11">
        <v>72655</v>
      </c>
      <c r="B1253" s="12">
        <f t="shared" si="54"/>
        <v>1270.6949999999999</v>
      </c>
      <c r="C1253" s="10"/>
      <c r="E1253" s="11">
        <v>72655</v>
      </c>
      <c r="F1253" s="9">
        <f t="shared" si="52"/>
        <v>1270.6949999999999</v>
      </c>
      <c r="H1253" s="11">
        <v>72655</v>
      </c>
      <c r="I1253" s="9">
        <f t="shared" si="53"/>
        <v>1270.6949999999999</v>
      </c>
    </row>
    <row r="1254" spans="1:9">
      <c r="A1254" s="11">
        <v>72686</v>
      </c>
      <c r="B1254" s="12">
        <f t="shared" si="54"/>
        <v>1270.6949999999999</v>
      </c>
      <c r="C1254" s="10"/>
      <c r="E1254" s="11">
        <v>72686</v>
      </c>
      <c r="F1254" s="9">
        <f t="shared" si="52"/>
        <v>1270.6949999999999</v>
      </c>
      <c r="H1254" s="11">
        <v>72686</v>
      </c>
      <c r="I1254" s="9">
        <f t="shared" si="53"/>
        <v>1270.6949999999999</v>
      </c>
    </row>
    <row r="1255" spans="1:9">
      <c r="A1255" s="11">
        <v>72717</v>
      </c>
      <c r="B1255" s="12">
        <f t="shared" si="54"/>
        <v>1270.6949999999999</v>
      </c>
      <c r="C1255" s="10"/>
      <c r="E1255" s="11">
        <v>72717</v>
      </c>
      <c r="F1255" s="9">
        <f t="shared" si="52"/>
        <v>1270.6949999999999</v>
      </c>
      <c r="H1255" s="11">
        <v>72717</v>
      </c>
      <c r="I1255" s="9">
        <f t="shared" si="53"/>
        <v>1270.6949999999999</v>
      </c>
    </row>
    <row r="1256" spans="1:9">
      <c r="A1256" s="11">
        <v>72745</v>
      </c>
      <c r="B1256" s="12">
        <f t="shared" si="54"/>
        <v>1270.6949999999999</v>
      </c>
      <c r="C1256" s="10"/>
      <c r="E1256" s="11">
        <v>72745</v>
      </c>
      <c r="F1256" s="9">
        <f t="shared" si="52"/>
        <v>1270.6949999999999</v>
      </c>
      <c r="H1256" s="11">
        <v>72745</v>
      </c>
      <c r="I1256" s="9">
        <f t="shared" si="53"/>
        <v>1270.6949999999999</v>
      </c>
    </row>
    <row r="1257" spans="1:9">
      <c r="A1257" s="11">
        <v>72776</v>
      </c>
      <c r="B1257" s="12">
        <f t="shared" si="54"/>
        <v>1270.6949999999999</v>
      </c>
      <c r="C1257" s="10"/>
      <c r="E1257" s="11">
        <v>72776</v>
      </c>
      <c r="F1257" s="9">
        <f t="shared" si="52"/>
        <v>1270.6949999999999</v>
      </c>
      <c r="H1257" s="11">
        <v>72776</v>
      </c>
      <c r="I1257" s="9">
        <f t="shared" si="53"/>
        <v>1270.6949999999999</v>
      </c>
    </row>
    <row r="1258" spans="1:9">
      <c r="A1258" s="11">
        <v>72806</v>
      </c>
      <c r="B1258" s="12">
        <f t="shared" si="54"/>
        <v>1270.6949999999999</v>
      </c>
      <c r="C1258" s="10"/>
      <c r="E1258" s="11">
        <v>72806</v>
      </c>
      <c r="F1258" s="9">
        <f t="shared" si="52"/>
        <v>1270.6949999999999</v>
      </c>
      <c r="H1258" s="11">
        <v>72806</v>
      </c>
      <c r="I1258" s="9">
        <f t="shared" si="53"/>
        <v>1270.6949999999999</v>
      </c>
    </row>
    <row r="1259" spans="1:9">
      <c r="A1259" s="11">
        <v>72837</v>
      </c>
      <c r="B1259" s="12">
        <f t="shared" si="54"/>
        <v>1270.6949999999999</v>
      </c>
      <c r="C1259" s="10"/>
      <c r="E1259" s="11">
        <v>72837</v>
      </c>
      <c r="F1259" s="9">
        <f t="shared" ref="F1259:F1322" si="55">B1258</f>
        <v>1270.6949999999999</v>
      </c>
      <c r="H1259" s="11">
        <v>72837</v>
      </c>
      <c r="I1259" s="9">
        <f t="shared" ref="I1259:I1322" si="56">B1257</f>
        <v>1270.6949999999999</v>
      </c>
    </row>
    <row r="1260" spans="1:9">
      <c r="A1260" s="11">
        <v>72867</v>
      </c>
      <c r="B1260" s="12">
        <f t="shared" si="54"/>
        <v>1270.6949999999999</v>
      </c>
      <c r="C1260" s="10"/>
      <c r="E1260" s="11">
        <v>72867</v>
      </c>
      <c r="F1260" s="9">
        <f t="shared" si="55"/>
        <v>1270.6949999999999</v>
      </c>
      <c r="H1260" s="11">
        <v>72867</v>
      </c>
      <c r="I1260" s="9">
        <f t="shared" si="56"/>
        <v>1270.6949999999999</v>
      </c>
    </row>
    <row r="1261" spans="1:9">
      <c r="A1261" s="11">
        <v>72898</v>
      </c>
      <c r="B1261" s="12">
        <f t="shared" si="54"/>
        <v>1270.6949999999999</v>
      </c>
      <c r="C1261" s="10"/>
      <c r="E1261" s="11">
        <v>72898</v>
      </c>
      <c r="F1261" s="9">
        <f t="shared" si="55"/>
        <v>1270.6949999999999</v>
      </c>
      <c r="H1261" s="11">
        <v>72898</v>
      </c>
      <c r="I1261" s="9">
        <f t="shared" si="56"/>
        <v>1270.6949999999999</v>
      </c>
    </row>
    <row r="1262" spans="1:9">
      <c r="A1262" s="11">
        <v>72929</v>
      </c>
      <c r="B1262" s="12">
        <f t="shared" si="54"/>
        <v>1270.6949999999999</v>
      </c>
      <c r="C1262" s="10"/>
      <c r="E1262" s="11">
        <v>72929</v>
      </c>
      <c r="F1262" s="9">
        <f t="shared" si="55"/>
        <v>1270.6949999999999</v>
      </c>
      <c r="H1262" s="11">
        <v>72929</v>
      </c>
      <c r="I1262" s="9">
        <f t="shared" si="56"/>
        <v>1270.6949999999999</v>
      </c>
    </row>
    <row r="1263" spans="1:9">
      <c r="A1263" s="11">
        <v>72959</v>
      </c>
      <c r="B1263" s="12">
        <f t="shared" si="54"/>
        <v>1270.6949999999999</v>
      </c>
      <c r="C1263" s="10"/>
      <c r="E1263" s="11">
        <v>72959</v>
      </c>
      <c r="F1263" s="9">
        <f t="shared" si="55"/>
        <v>1270.6949999999999</v>
      </c>
      <c r="H1263" s="11">
        <v>72959</v>
      </c>
      <c r="I1263" s="9">
        <f t="shared" si="56"/>
        <v>1270.6949999999999</v>
      </c>
    </row>
    <row r="1264" spans="1:9">
      <c r="A1264" s="11">
        <v>72990</v>
      </c>
      <c r="B1264" s="12">
        <f t="shared" si="54"/>
        <v>1270.6949999999999</v>
      </c>
      <c r="C1264" s="10"/>
      <c r="E1264" s="11">
        <v>72990</v>
      </c>
      <c r="F1264" s="9">
        <f t="shared" si="55"/>
        <v>1270.6949999999999</v>
      </c>
      <c r="H1264" s="11">
        <v>72990</v>
      </c>
      <c r="I1264" s="9">
        <f t="shared" si="56"/>
        <v>1270.6949999999999</v>
      </c>
    </row>
    <row r="1265" spans="1:9">
      <c r="A1265" s="11">
        <v>73020</v>
      </c>
      <c r="B1265" s="12">
        <f t="shared" si="54"/>
        <v>1270.6949999999999</v>
      </c>
      <c r="C1265" s="10"/>
      <c r="E1265" s="11">
        <v>73020</v>
      </c>
      <c r="F1265" s="9">
        <f t="shared" si="55"/>
        <v>1270.6949999999999</v>
      </c>
      <c r="H1265" s="11">
        <v>73020</v>
      </c>
      <c r="I1265" s="9">
        <f t="shared" si="56"/>
        <v>1270.6949999999999</v>
      </c>
    </row>
    <row r="1266" spans="1:9">
      <c r="A1266" s="11">
        <v>73051</v>
      </c>
      <c r="B1266" s="12">
        <f t="shared" si="54"/>
        <v>1270.6949999999999</v>
      </c>
      <c r="C1266" s="10"/>
      <c r="E1266" s="11">
        <v>73051</v>
      </c>
      <c r="F1266" s="9">
        <f t="shared" si="55"/>
        <v>1270.6949999999999</v>
      </c>
      <c r="H1266" s="11">
        <v>73051</v>
      </c>
      <c r="I1266" s="9">
        <f t="shared" si="56"/>
        <v>1270.6949999999999</v>
      </c>
    </row>
    <row r="1267" spans="1:9">
      <c r="A1267" s="11">
        <v>73082</v>
      </c>
      <c r="B1267" s="12">
        <f t="shared" si="54"/>
        <v>1270.6949999999999</v>
      </c>
      <c r="C1267" s="10"/>
      <c r="E1267" s="11">
        <v>73082</v>
      </c>
      <c r="F1267" s="9">
        <f t="shared" si="55"/>
        <v>1270.6949999999999</v>
      </c>
      <c r="H1267" s="11">
        <v>73082</v>
      </c>
      <c r="I1267" s="9">
        <f t="shared" si="56"/>
        <v>1270.6949999999999</v>
      </c>
    </row>
    <row r="1268" spans="1:9">
      <c r="A1268" s="11">
        <v>73110</v>
      </c>
      <c r="B1268" s="12">
        <f t="shared" si="54"/>
        <v>1270.6949999999999</v>
      </c>
      <c r="C1268" s="10"/>
      <c r="E1268" s="11">
        <v>73110</v>
      </c>
      <c r="F1268" s="9">
        <f t="shared" si="55"/>
        <v>1270.6949999999999</v>
      </c>
      <c r="H1268" s="11">
        <v>73110</v>
      </c>
      <c r="I1268" s="9">
        <f t="shared" si="56"/>
        <v>1270.6949999999999</v>
      </c>
    </row>
    <row r="1269" spans="1:9">
      <c r="A1269" s="11">
        <v>73141</v>
      </c>
      <c r="B1269" s="12">
        <f t="shared" si="54"/>
        <v>1270.6949999999999</v>
      </c>
      <c r="C1269" s="10"/>
      <c r="E1269" s="11">
        <v>73141</v>
      </c>
      <c r="F1269" s="9">
        <f t="shared" si="55"/>
        <v>1270.6949999999999</v>
      </c>
      <c r="H1269" s="11">
        <v>73141</v>
      </c>
      <c r="I1269" s="9">
        <f t="shared" si="56"/>
        <v>1270.6949999999999</v>
      </c>
    </row>
    <row r="1270" spans="1:9">
      <c r="A1270" s="11">
        <v>73171</v>
      </c>
      <c r="B1270" s="12">
        <f t="shared" si="54"/>
        <v>1270.6949999999999</v>
      </c>
      <c r="C1270" s="10"/>
      <c r="E1270" s="11">
        <v>73171</v>
      </c>
      <c r="F1270" s="9">
        <f t="shared" si="55"/>
        <v>1270.6949999999999</v>
      </c>
      <c r="H1270" s="11">
        <v>73171</v>
      </c>
      <c r="I1270" s="9">
        <f t="shared" si="56"/>
        <v>1270.6949999999999</v>
      </c>
    </row>
    <row r="1271" spans="1:9">
      <c r="A1271" s="11">
        <v>73202</v>
      </c>
      <c r="B1271" s="12">
        <f t="shared" si="54"/>
        <v>1270.6949999999999</v>
      </c>
      <c r="C1271" s="10"/>
      <c r="E1271" s="11">
        <v>73202</v>
      </c>
      <c r="F1271" s="9">
        <f t="shared" si="55"/>
        <v>1270.6949999999999</v>
      </c>
      <c r="H1271" s="11">
        <v>73202</v>
      </c>
      <c r="I1271" s="9">
        <f t="shared" si="56"/>
        <v>1270.6949999999999</v>
      </c>
    </row>
    <row r="1272" spans="1:9">
      <c r="A1272" s="11">
        <v>73232</v>
      </c>
      <c r="B1272" s="12">
        <f t="shared" si="54"/>
        <v>1270.6949999999999</v>
      </c>
      <c r="C1272" s="10"/>
      <c r="E1272" s="11">
        <v>73232</v>
      </c>
      <c r="F1272" s="9">
        <f t="shared" si="55"/>
        <v>1270.6949999999999</v>
      </c>
      <c r="H1272" s="11">
        <v>73232</v>
      </c>
      <c r="I1272" s="9">
        <f t="shared" si="56"/>
        <v>1270.6949999999999</v>
      </c>
    </row>
    <row r="1273" spans="1:9">
      <c r="A1273" s="11">
        <v>73263</v>
      </c>
      <c r="B1273" s="12">
        <f t="shared" si="54"/>
        <v>1270.6949999999999</v>
      </c>
      <c r="C1273" s="10"/>
      <c r="E1273" s="11">
        <v>73263</v>
      </c>
      <c r="F1273" s="9">
        <f t="shared" si="55"/>
        <v>1270.6949999999999</v>
      </c>
      <c r="H1273" s="11">
        <v>73263</v>
      </c>
      <c r="I1273" s="9">
        <f t="shared" si="56"/>
        <v>1270.6949999999999</v>
      </c>
    </row>
    <row r="1274" spans="1:9">
      <c r="A1274" s="11">
        <v>73294</v>
      </c>
      <c r="B1274" s="12">
        <f t="shared" si="54"/>
        <v>1270.6949999999999</v>
      </c>
      <c r="C1274" s="10"/>
      <c r="E1274" s="11">
        <v>73294</v>
      </c>
      <c r="F1274" s="9">
        <f t="shared" si="55"/>
        <v>1270.6949999999999</v>
      </c>
      <c r="H1274" s="11">
        <v>73294</v>
      </c>
      <c r="I1274" s="9">
        <f t="shared" si="56"/>
        <v>1270.6949999999999</v>
      </c>
    </row>
    <row r="1275" spans="1:9">
      <c r="A1275" s="11">
        <v>73324</v>
      </c>
      <c r="B1275" s="12">
        <f t="shared" si="54"/>
        <v>1270.6949999999999</v>
      </c>
      <c r="C1275" s="10"/>
      <c r="E1275" s="11">
        <v>73324</v>
      </c>
      <c r="F1275" s="9">
        <f t="shared" si="55"/>
        <v>1270.6949999999999</v>
      </c>
      <c r="H1275" s="11">
        <v>73324</v>
      </c>
      <c r="I1275" s="9">
        <f t="shared" si="56"/>
        <v>1270.6949999999999</v>
      </c>
    </row>
    <row r="1276" spans="1:9">
      <c r="A1276" s="11">
        <v>73355</v>
      </c>
      <c r="B1276" s="12">
        <f t="shared" si="54"/>
        <v>1270.6949999999999</v>
      </c>
      <c r="C1276" s="10"/>
      <c r="E1276" s="11">
        <v>73355</v>
      </c>
      <c r="F1276" s="9">
        <f t="shared" si="55"/>
        <v>1270.6949999999999</v>
      </c>
      <c r="H1276" s="11">
        <v>73355</v>
      </c>
      <c r="I1276" s="9">
        <f t="shared" si="56"/>
        <v>1270.6949999999999</v>
      </c>
    </row>
    <row r="1277" spans="1:9">
      <c r="A1277" s="11">
        <v>73385</v>
      </c>
      <c r="B1277" s="12">
        <f t="shared" si="54"/>
        <v>1270.6949999999999</v>
      </c>
      <c r="C1277" s="10"/>
      <c r="E1277" s="11">
        <v>73385</v>
      </c>
      <c r="F1277" s="9">
        <f t="shared" si="55"/>
        <v>1270.6949999999999</v>
      </c>
      <c r="H1277" s="11">
        <v>73385</v>
      </c>
      <c r="I1277" s="9">
        <f t="shared" si="56"/>
        <v>1270.6949999999999</v>
      </c>
    </row>
    <row r="1278" spans="1:9">
      <c r="A1278" s="11">
        <v>73416</v>
      </c>
      <c r="B1278" s="12">
        <f t="shared" si="54"/>
        <v>1270.6949999999999</v>
      </c>
      <c r="C1278" s="10"/>
      <c r="E1278" s="11">
        <v>73416</v>
      </c>
      <c r="F1278" s="9">
        <f t="shared" si="55"/>
        <v>1270.6949999999999</v>
      </c>
      <c r="H1278" s="11">
        <v>73416</v>
      </c>
      <c r="I1278" s="9">
        <f t="shared" si="56"/>
        <v>1270.6949999999999</v>
      </c>
    </row>
    <row r="1279" spans="1:9">
      <c r="A1279" s="11">
        <v>73447</v>
      </c>
      <c r="B1279" s="12">
        <f t="shared" si="54"/>
        <v>1270.6949999999999</v>
      </c>
      <c r="C1279" s="10"/>
      <c r="E1279" s="11">
        <v>73447</v>
      </c>
      <c r="F1279" s="9">
        <f t="shared" si="55"/>
        <v>1270.6949999999999</v>
      </c>
      <c r="H1279" s="11">
        <v>73447</v>
      </c>
      <c r="I1279" s="9">
        <f t="shared" si="56"/>
        <v>1270.6949999999999</v>
      </c>
    </row>
    <row r="1280" spans="1:9">
      <c r="A1280" s="11">
        <v>73475</v>
      </c>
      <c r="B1280" s="12">
        <f t="shared" si="54"/>
        <v>1270.6949999999999</v>
      </c>
      <c r="C1280" s="10"/>
      <c r="E1280" s="11">
        <v>73475</v>
      </c>
      <c r="F1280" s="9">
        <f t="shared" si="55"/>
        <v>1270.6949999999999</v>
      </c>
      <c r="H1280" s="11">
        <v>73475</v>
      </c>
      <c r="I1280" s="9">
        <f t="shared" si="56"/>
        <v>1270.6949999999999</v>
      </c>
    </row>
    <row r="1281" spans="1:9">
      <c r="A1281" s="11">
        <v>73506</v>
      </c>
      <c r="B1281" s="12">
        <f t="shared" si="54"/>
        <v>1270.6949999999999</v>
      </c>
      <c r="C1281" s="10"/>
      <c r="E1281" s="11">
        <v>73506</v>
      </c>
      <c r="F1281" s="9">
        <f t="shared" si="55"/>
        <v>1270.6949999999999</v>
      </c>
      <c r="H1281" s="11">
        <v>73506</v>
      </c>
      <c r="I1281" s="9">
        <f t="shared" si="56"/>
        <v>1270.6949999999999</v>
      </c>
    </row>
    <row r="1282" spans="1:9">
      <c r="A1282" s="11">
        <v>73536</v>
      </c>
      <c r="B1282" s="12">
        <f t="shared" si="54"/>
        <v>1270.6949999999999</v>
      </c>
      <c r="C1282" s="10"/>
      <c r="E1282" s="11">
        <v>73536</v>
      </c>
      <c r="F1282" s="9">
        <f t="shared" si="55"/>
        <v>1270.6949999999999</v>
      </c>
      <c r="H1282" s="11">
        <v>73536</v>
      </c>
      <c r="I1282" s="9">
        <f t="shared" si="56"/>
        <v>1270.6949999999999</v>
      </c>
    </row>
    <row r="1283" spans="1:9">
      <c r="A1283" s="11">
        <v>73567</v>
      </c>
      <c r="B1283" s="12">
        <f t="shared" si="54"/>
        <v>1270.6949999999999</v>
      </c>
      <c r="C1283" s="10"/>
      <c r="E1283" s="11">
        <v>73567</v>
      </c>
      <c r="F1283" s="9">
        <f t="shared" si="55"/>
        <v>1270.6949999999999</v>
      </c>
      <c r="H1283" s="11">
        <v>73567</v>
      </c>
      <c r="I1283" s="9">
        <f t="shared" si="56"/>
        <v>1270.6949999999999</v>
      </c>
    </row>
    <row r="1284" spans="1:9">
      <c r="A1284" s="11">
        <v>73597</v>
      </c>
      <c r="B1284" s="12">
        <f t="shared" si="54"/>
        <v>1270.6949999999999</v>
      </c>
      <c r="C1284" s="10"/>
      <c r="E1284" s="11">
        <v>73597</v>
      </c>
      <c r="F1284" s="9">
        <f t="shared" si="55"/>
        <v>1270.6949999999999</v>
      </c>
      <c r="H1284" s="11">
        <v>73597</v>
      </c>
      <c r="I1284" s="9">
        <f t="shared" si="56"/>
        <v>1270.6949999999999</v>
      </c>
    </row>
    <row r="1285" spans="1:9">
      <c r="A1285" s="11">
        <v>73628</v>
      </c>
      <c r="B1285" s="12">
        <f t="shared" si="54"/>
        <v>1270.6949999999999</v>
      </c>
      <c r="C1285" s="10"/>
      <c r="E1285" s="11">
        <v>73628</v>
      </c>
      <c r="F1285" s="9">
        <f t="shared" si="55"/>
        <v>1270.6949999999999</v>
      </c>
      <c r="H1285" s="11">
        <v>73628</v>
      </c>
      <c r="I1285" s="9">
        <f t="shared" si="56"/>
        <v>1270.6949999999999</v>
      </c>
    </row>
    <row r="1286" spans="1:9">
      <c r="A1286" s="11">
        <v>73659</v>
      </c>
      <c r="B1286" s="12">
        <f t="shared" si="54"/>
        <v>1270.6949999999999</v>
      </c>
      <c r="C1286" s="10"/>
      <c r="E1286" s="11">
        <v>73659</v>
      </c>
      <c r="F1286" s="9">
        <f t="shared" si="55"/>
        <v>1270.6949999999999</v>
      </c>
      <c r="H1286" s="11">
        <v>73659</v>
      </c>
      <c r="I1286" s="9">
        <f t="shared" si="56"/>
        <v>1270.6949999999999</v>
      </c>
    </row>
    <row r="1287" spans="1:9">
      <c r="A1287" s="11">
        <v>73689</v>
      </c>
      <c r="B1287" s="12">
        <f t="shared" si="54"/>
        <v>1270.6949999999999</v>
      </c>
      <c r="C1287" s="10"/>
      <c r="E1287" s="11">
        <v>73689</v>
      </c>
      <c r="F1287" s="9">
        <f t="shared" si="55"/>
        <v>1270.6949999999999</v>
      </c>
      <c r="H1287" s="11">
        <v>73689</v>
      </c>
      <c r="I1287" s="9">
        <f t="shared" si="56"/>
        <v>1270.6949999999999</v>
      </c>
    </row>
    <row r="1288" spans="1:9">
      <c r="A1288" s="11">
        <v>73720</v>
      </c>
      <c r="B1288" s="12">
        <f t="shared" si="54"/>
        <v>1270.6949999999999</v>
      </c>
      <c r="C1288" s="10"/>
      <c r="E1288" s="11">
        <v>73720</v>
      </c>
      <c r="F1288" s="9">
        <f t="shared" si="55"/>
        <v>1270.6949999999999</v>
      </c>
      <c r="H1288" s="11">
        <v>73720</v>
      </c>
      <c r="I1288" s="9">
        <f t="shared" si="56"/>
        <v>1270.6949999999999</v>
      </c>
    </row>
    <row r="1289" spans="1:9">
      <c r="A1289" s="11">
        <v>73750</v>
      </c>
      <c r="B1289" s="12">
        <f t="shared" si="54"/>
        <v>1270.6949999999999</v>
      </c>
      <c r="C1289" s="10"/>
      <c r="E1289" s="11">
        <v>73750</v>
      </c>
      <c r="F1289" s="9">
        <f t="shared" si="55"/>
        <v>1270.6949999999999</v>
      </c>
      <c r="H1289" s="11">
        <v>73750</v>
      </c>
      <c r="I1289" s="9">
        <f t="shared" si="56"/>
        <v>1270.6949999999999</v>
      </c>
    </row>
    <row r="1290" spans="1:9">
      <c r="A1290" s="11">
        <v>73781</v>
      </c>
      <c r="B1290" s="12">
        <f t="shared" si="54"/>
        <v>1270.6949999999999</v>
      </c>
      <c r="C1290" s="10"/>
      <c r="E1290" s="11">
        <v>73781</v>
      </c>
      <c r="F1290" s="9">
        <f t="shared" si="55"/>
        <v>1270.6949999999999</v>
      </c>
      <c r="H1290" s="11">
        <v>73781</v>
      </c>
      <c r="I1290" s="9">
        <f t="shared" si="56"/>
        <v>1270.6949999999999</v>
      </c>
    </row>
    <row r="1291" spans="1:9">
      <c r="A1291" s="11">
        <v>73812</v>
      </c>
      <c r="B1291" s="12">
        <f t="shared" si="54"/>
        <v>1270.6949999999999</v>
      </c>
      <c r="C1291" s="10"/>
      <c r="E1291" s="11">
        <v>73812</v>
      </c>
      <c r="F1291" s="9">
        <f t="shared" si="55"/>
        <v>1270.6949999999999</v>
      </c>
      <c r="H1291" s="11">
        <v>73812</v>
      </c>
      <c r="I1291" s="9">
        <f t="shared" si="56"/>
        <v>1270.6949999999999</v>
      </c>
    </row>
    <row r="1292" spans="1:9">
      <c r="A1292" s="11">
        <v>73840</v>
      </c>
      <c r="B1292" s="12">
        <f t="shared" si="54"/>
        <v>1270.6949999999999</v>
      </c>
      <c r="C1292" s="10"/>
      <c r="E1292" s="11">
        <v>73840</v>
      </c>
      <c r="F1292" s="9">
        <f t="shared" si="55"/>
        <v>1270.6949999999999</v>
      </c>
      <c r="H1292" s="11">
        <v>73840</v>
      </c>
      <c r="I1292" s="9">
        <f t="shared" si="56"/>
        <v>1270.6949999999999</v>
      </c>
    </row>
    <row r="1293" spans="1:9">
      <c r="A1293" s="11">
        <v>73871</v>
      </c>
      <c r="B1293" s="12">
        <f t="shared" si="54"/>
        <v>1270.6949999999999</v>
      </c>
      <c r="C1293" s="10"/>
      <c r="E1293" s="11">
        <v>73871</v>
      </c>
      <c r="F1293" s="9">
        <f t="shared" si="55"/>
        <v>1270.6949999999999</v>
      </c>
      <c r="H1293" s="11">
        <v>73871</v>
      </c>
      <c r="I1293" s="9">
        <f t="shared" si="56"/>
        <v>1270.6949999999999</v>
      </c>
    </row>
    <row r="1294" spans="1:9">
      <c r="A1294" s="11">
        <v>73901</v>
      </c>
      <c r="B1294" s="12">
        <f t="shared" si="54"/>
        <v>1270.6949999999999</v>
      </c>
      <c r="C1294" s="10"/>
      <c r="E1294" s="11">
        <v>73901</v>
      </c>
      <c r="F1294" s="9">
        <f t="shared" si="55"/>
        <v>1270.6949999999999</v>
      </c>
      <c r="H1294" s="11">
        <v>73901</v>
      </c>
      <c r="I1294" s="9">
        <f t="shared" si="56"/>
        <v>1270.6949999999999</v>
      </c>
    </row>
    <row r="1295" spans="1:9">
      <c r="A1295" s="11">
        <v>73932</v>
      </c>
      <c r="B1295" s="12">
        <f t="shared" si="54"/>
        <v>1270.6949999999999</v>
      </c>
      <c r="C1295" s="10"/>
      <c r="E1295" s="11">
        <v>73932</v>
      </c>
      <c r="F1295" s="9">
        <f t="shared" si="55"/>
        <v>1270.6949999999999</v>
      </c>
      <c r="H1295" s="11">
        <v>73932</v>
      </c>
      <c r="I1295" s="9">
        <f t="shared" si="56"/>
        <v>1270.6949999999999</v>
      </c>
    </row>
    <row r="1296" spans="1:9">
      <c r="A1296" s="11">
        <v>73962</v>
      </c>
      <c r="B1296" s="12">
        <f t="shared" si="54"/>
        <v>1270.6949999999999</v>
      </c>
      <c r="C1296" s="10"/>
      <c r="E1296" s="11">
        <v>73962</v>
      </c>
      <c r="F1296" s="9">
        <f t="shared" si="55"/>
        <v>1270.6949999999999</v>
      </c>
      <c r="H1296" s="11">
        <v>73962</v>
      </c>
      <c r="I1296" s="9">
        <f t="shared" si="56"/>
        <v>1270.6949999999999</v>
      </c>
    </row>
    <row r="1297" spans="1:9">
      <c r="A1297" s="11">
        <v>73993</v>
      </c>
      <c r="B1297" s="12">
        <f t="shared" si="54"/>
        <v>1270.6949999999999</v>
      </c>
      <c r="C1297" s="10"/>
      <c r="E1297" s="11">
        <v>73993</v>
      </c>
      <c r="F1297" s="9">
        <f t="shared" si="55"/>
        <v>1270.6949999999999</v>
      </c>
      <c r="H1297" s="11">
        <v>73993</v>
      </c>
      <c r="I1297" s="9">
        <f t="shared" si="56"/>
        <v>1270.6949999999999</v>
      </c>
    </row>
    <row r="1298" spans="1:9">
      <c r="A1298" s="11">
        <v>74024</v>
      </c>
      <c r="B1298" s="12">
        <f t="shared" si="54"/>
        <v>1270.6949999999999</v>
      </c>
      <c r="C1298" s="10"/>
      <c r="E1298" s="11">
        <v>74024</v>
      </c>
      <c r="F1298" s="9">
        <f t="shared" si="55"/>
        <v>1270.6949999999999</v>
      </c>
      <c r="H1298" s="11">
        <v>74024</v>
      </c>
      <c r="I1298" s="9">
        <f t="shared" si="56"/>
        <v>1270.6949999999999</v>
      </c>
    </row>
    <row r="1299" spans="1:9">
      <c r="A1299" s="11">
        <v>74054</v>
      </c>
      <c r="B1299" s="12">
        <f t="shared" si="54"/>
        <v>1270.6949999999999</v>
      </c>
      <c r="C1299" s="10"/>
      <c r="E1299" s="11">
        <v>74054</v>
      </c>
      <c r="F1299" s="9">
        <f t="shared" si="55"/>
        <v>1270.6949999999999</v>
      </c>
      <c r="H1299" s="11">
        <v>74054</v>
      </c>
      <c r="I1299" s="9">
        <f t="shared" si="56"/>
        <v>1270.6949999999999</v>
      </c>
    </row>
    <row r="1300" spans="1:9">
      <c r="A1300" s="11">
        <v>74085</v>
      </c>
      <c r="B1300" s="12">
        <f t="shared" si="54"/>
        <v>1270.6949999999999</v>
      </c>
      <c r="C1300" s="10"/>
      <c r="E1300" s="11">
        <v>74085</v>
      </c>
      <c r="F1300" s="9">
        <f t="shared" si="55"/>
        <v>1270.6949999999999</v>
      </c>
      <c r="H1300" s="11">
        <v>74085</v>
      </c>
      <c r="I1300" s="9">
        <f t="shared" si="56"/>
        <v>1270.6949999999999</v>
      </c>
    </row>
    <row r="1301" spans="1:9">
      <c r="A1301" s="11">
        <v>74115</v>
      </c>
      <c r="B1301" s="12">
        <f t="shared" si="54"/>
        <v>1270.6949999999999</v>
      </c>
      <c r="C1301" s="10"/>
      <c r="E1301" s="11">
        <v>74115</v>
      </c>
      <c r="F1301" s="9">
        <f t="shared" si="55"/>
        <v>1270.6949999999999</v>
      </c>
      <c r="H1301" s="11">
        <v>74115</v>
      </c>
      <c r="I1301" s="9">
        <f t="shared" si="56"/>
        <v>1270.6949999999999</v>
      </c>
    </row>
    <row r="1302" spans="1:9">
      <c r="A1302" s="11">
        <v>74146</v>
      </c>
      <c r="B1302" s="12">
        <f t="shared" si="54"/>
        <v>1270.6949999999999</v>
      </c>
      <c r="C1302" s="10"/>
      <c r="E1302" s="11">
        <v>74146</v>
      </c>
      <c r="F1302" s="9">
        <f t="shared" si="55"/>
        <v>1270.6949999999999</v>
      </c>
      <c r="H1302" s="11">
        <v>74146</v>
      </c>
      <c r="I1302" s="9">
        <f t="shared" si="56"/>
        <v>1270.6949999999999</v>
      </c>
    </row>
    <row r="1303" spans="1:9">
      <c r="A1303" s="11">
        <v>74177</v>
      </c>
      <c r="B1303" s="12">
        <f t="shared" si="54"/>
        <v>1270.6949999999999</v>
      </c>
      <c r="C1303" s="10"/>
      <c r="E1303" s="11">
        <v>74177</v>
      </c>
      <c r="F1303" s="9">
        <f t="shared" si="55"/>
        <v>1270.6949999999999</v>
      </c>
      <c r="H1303" s="11">
        <v>74177</v>
      </c>
      <c r="I1303" s="9">
        <f t="shared" si="56"/>
        <v>1270.6949999999999</v>
      </c>
    </row>
    <row r="1304" spans="1:9">
      <c r="A1304" s="11">
        <v>74205</v>
      </c>
      <c r="B1304" s="12">
        <f t="shared" si="54"/>
        <v>1270.6949999999999</v>
      </c>
      <c r="C1304" s="10"/>
      <c r="E1304" s="11">
        <v>74205</v>
      </c>
      <c r="F1304" s="9">
        <f t="shared" si="55"/>
        <v>1270.6949999999999</v>
      </c>
      <c r="H1304" s="11">
        <v>74205</v>
      </c>
      <c r="I1304" s="9">
        <f t="shared" si="56"/>
        <v>1270.6949999999999</v>
      </c>
    </row>
    <row r="1305" spans="1:9">
      <c r="A1305" s="11">
        <v>74236</v>
      </c>
      <c r="B1305" s="12">
        <f t="shared" si="54"/>
        <v>1270.6949999999999</v>
      </c>
      <c r="C1305" s="10"/>
      <c r="E1305" s="11">
        <v>74236</v>
      </c>
      <c r="F1305" s="9">
        <f t="shared" si="55"/>
        <v>1270.6949999999999</v>
      </c>
      <c r="H1305" s="11">
        <v>74236</v>
      </c>
      <c r="I1305" s="9">
        <f t="shared" si="56"/>
        <v>1270.6949999999999</v>
      </c>
    </row>
    <row r="1306" spans="1:9">
      <c r="A1306" s="11">
        <v>74266</v>
      </c>
      <c r="B1306" s="12">
        <f t="shared" si="54"/>
        <v>1270.6949999999999</v>
      </c>
      <c r="C1306" s="10"/>
      <c r="E1306" s="11">
        <v>74266</v>
      </c>
      <c r="F1306" s="9">
        <f t="shared" si="55"/>
        <v>1270.6949999999999</v>
      </c>
      <c r="H1306" s="11">
        <v>74266</v>
      </c>
      <c r="I1306" s="9">
        <f t="shared" si="56"/>
        <v>1270.6949999999999</v>
      </c>
    </row>
    <row r="1307" spans="1:9">
      <c r="A1307" s="11">
        <v>74297</v>
      </c>
      <c r="B1307" s="12">
        <f t="shared" si="54"/>
        <v>1270.6949999999999</v>
      </c>
      <c r="C1307" s="10"/>
      <c r="E1307" s="11">
        <v>74297</v>
      </c>
      <c r="F1307" s="9">
        <f t="shared" si="55"/>
        <v>1270.6949999999999</v>
      </c>
      <c r="H1307" s="11">
        <v>74297</v>
      </c>
      <c r="I1307" s="9">
        <f t="shared" si="56"/>
        <v>1270.6949999999999</v>
      </c>
    </row>
    <row r="1308" spans="1:9">
      <c r="A1308" s="11">
        <v>74327</v>
      </c>
      <c r="B1308" s="12">
        <f t="shared" si="54"/>
        <v>1270.6949999999999</v>
      </c>
      <c r="C1308" s="10"/>
      <c r="E1308" s="11">
        <v>74327</v>
      </c>
      <c r="F1308" s="9">
        <f t="shared" si="55"/>
        <v>1270.6949999999999</v>
      </c>
      <c r="H1308" s="11">
        <v>74327</v>
      </c>
      <c r="I1308" s="9">
        <f t="shared" si="56"/>
        <v>1270.6949999999999</v>
      </c>
    </row>
    <row r="1309" spans="1:9">
      <c r="A1309" s="11">
        <v>74358</v>
      </c>
      <c r="B1309" s="12">
        <f t="shared" si="54"/>
        <v>1270.6949999999999</v>
      </c>
      <c r="C1309" s="10"/>
      <c r="E1309" s="11">
        <v>74358</v>
      </c>
      <c r="F1309" s="9">
        <f t="shared" si="55"/>
        <v>1270.6949999999999</v>
      </c>
      <c r="H1309" s="11">
        <v>74358</v>
      </c>
      <c r="I1309" s="9">
        <f t="shared" si="56"/>
        <v>1270.6949999999999</v>
      </c>
    </row>
    <row r="1310" spans="1:9">
      <c r="A1310" s="11">
        <v>74389</v>
      </c>
      <c r="B1310" s="12">
        <f t="shared" si="54"/>
        <v>1270.6949999999999</v>
      </c>
      <c r="C1310" s="10"/>
      <c r="E1310" s="11">
        <v>74389</v>
      </c>
      <c r="F1310" s="9">
        <f t="shared" si="55"/>
        <v>1270.6949999999999</v>
      </c>
      <c r="H1310" s="11">
        <v>74389</v>
      </c>
      <c r="I1310" s="9">
        <f t="shared" si="56"/>
        <v>1270.6949999999999</v>
      </c>
    </row>
    <row r="1311" spans="1:9">
      <c r="A1311" s="11">
        <v>74419</v>
      </c>
      <c r="B1311" s="12">
        <f t="shared" si="54"/>
        <v>1270.6949999999999</v>
      </c>
      <c r="C1311" s="10"/>
      <c r="E1311" s="11">
        <v>74419</v>
      </c>
      <c r="F1311" s="9">
        <f t="shared" si="55"/>
        <v>1270.6949999999999</v>
      </c>
      <c r="H1311" s="11">
        <v>74419</v>
      </c>
      <c r="I1311" s="9">
        <f t="shared" si="56"/>
        <v>1270.6949999999999</v>
      </c>
    </row>
    <row r="1312" spans="1:9">
      <c r="A1312" s="11">
        <v>74450</v>
      </c>
      <c r="B1312" s="12">
        <f t="shared" si="54"/>
        <v>1270.6949999999999</v>
      </c>
      <c r="C1312" s="10"/>
      <c r="E1312" s="11">
        <v>74450</v>
      </c>
      <c r="F1312" s="9">
        <f t="shared" si="55"/>
        <v>1270.6949999999999</v>
      </c>
      <c r="H1312" s="11">
        <v>74450</v>
      </c>
      <c r="I1312" s="9">
        <f t="shared" si="56"/>
        <v>1270.6949999999999</v>
      </c>
    </row>
    <row r="1313" spans="1:9">
      <c r="A1313" s="11">
        <v>74480</v>
      </c>
      <c r="B1313" s="12">
        <f t="shared" ref="B1313:B1376" si="57">B1312</f>
        <v>1270.6949999999999</v>
      </c>
      <c r="C1313" s="10"/>
      <c r="E1313" s="11">
        <v>74480</v>
      </c>
      <c r="F1313" s="9">
        <f t="shared" si="55"/>
        <v>1270.6949999999999</v>
      </c>
      <c r="H1313" s="11">
        <v>74480</v>
      </c>
      <c r="I1313" s="9">
        <f t="shared" si="56"/>
        <v>1270.6949999999999</v>
      </c>
    </row>
    <row r="1314" spans="1:9">
      <c r="A1314" s="11">
        <v>74511</v>
      </c>
      <c r="B1314" s="12">
        <f t="shared" si="57"/>
        <v>1270.6949999999999</v>
      </c>
      <c r="C1314" s="10"/>
      <c r="E1314" s="11">
        <v>74511</v>
      </c>
      <c r="F1314" s="9">
        <f t="shared" si="55"/>
        <v>1270.6949999999999</v>
      </c>
      <c r="H1314" s="11">
        <v>74511</v>
      </c>
      <c r="I1314" s="9">
        <f t="shared" si="56"/>
        <v>1270.6949999999999</v>
      </c>
    </row>
    <row r="1315" spans="1:9">
      <c r="A1315" s="11">
        <v>74542</v>
      </c>
      <c r="B1315" s="12">
        <f t="shared" si="57"/>
        <v>1270.6949999999999</v>
      </c>
      <c r="C1315" s="10"/>
      <c r="E1315" s="11">
        <v>74542</v>
      </c>
      <c r="F1315" s="9">
        <f t="shared" si="55"/>
        <v>1270.6949999999999</v>
      </c>
      <c r="H1315" s="11">
        <v>74542</v>
      </c>
      <c r="I1315" s="9">
        <f t="shared" si="56"/>
        <v>1270.6949999999999</v>
      </c>
    </row>
    <row r="1316" spans="1:9">
      <c r="A1316" s="11">
        <v>74571</v>
      </c>
      <c r="B1316" s="12">
        <f t="shared" si="57"/>
        <v>1270.6949999999999</v>
      </c>
      <c r="C1316" s="10"/>
      <c r="E1316" s="11">
        <v>74571</v>
      </c>
      <c r="F1316" s="9">
        <f t="shared" si="55"/>
        <v>1270.6949999999999</v>
      </c>
      <c r="H1316" s="11">
        <v>74571</v>
      </c>
      <c r="I1316" s="9">
        <f t="shared" si="56"/>
        <v>1270.6949999999999</v>
      </c>
    </row>
    <row r="1317" spans="1:9">
      <c r="A1317" s="11">
        <v>74602</v>
      </c>
      <c r="B1317" s="12">
        <f t="shared" si="57"/>
        <v>1270.6949999999999</v>
      </c>
      <c r="C1317" s="10"/>
      <c r="E1317" s="11">
        <v>74602</v>
      </c>
      <c r="F1317" s="9">
        <f t="shared" si="55"/>
        <v>1270.6949999999999</v>
      </c>
      <c r="H1317" s="11">
        <v>74602</v>
      </c>
      <c r="I1317" s="9">
        <f t="shared" si="56"/>
        <v>1270.6949999999999</v>
      </c>
    </row>
    <row r="1318" spans="1:9">
      <c r="A1318" s="11">
        <v>74632</v>
      </c>
      <c r="B1318" s="12">
        <f t="shared" si="57"/>
        <v>1270.6949999999999</v>
      </c>
      <c r="C1318" s="10"/>
      <c r="E1318" s="11">
        <v>74632</v>
      </c>
      <c r="F1318" s="9">
        <f t="shared" si="55"/>
        <v>1270.6949999999999</v>
      </c>
      <c r="H1318" s="11">
        <v>74632</v>
      </c>
      <c r="I1318" s="9">
        <f t="shared" si="56"/>
        <v>1270.6949999999999</v>
      </c>
    </row>
    <row r="1319" spans="1:9">
      <c r="A1319" s="11">
        <v>74663</v>
      </c>
      <c r="B1319" s="12">
        <f t="shared" si="57"/>
        <v>1270.6949999999999</v>
      </c>
      <c r="C1319" s="10"/>
      <c r="E1319" s="11">
        <v>74663</v>
      </c>
      <c r="F1319" s="9">
        <f t="shared" si="55"/>
        <v>1270.6949999999999</v>
      </c>
      <c r="H1319" s="11">
        <v>74663</v>
      </c>
      <c r="I1319" s="9">
        <f t="shared" si="56"/>
        <v>1270.6949999999999</v>
      </c>
    </row>
    <row r="1320" spans="1:9">
      <c r="A1320" s="11">
        <v>74693</v>
      </c>
      <c r="B1320" s="12">
        <f t="shared" si="57"/>
        <v>1270.6949999999999</v>
      </c>
      <c r="C1320" s="10"/>
      <c r="E1320" s="11">
        <v>74693</v>
      </c>
      <c r="F1320" s="9">
        <f t="shared" si="55"/>
        <v>1270.6949999999999</v>
      </c>
      <c r="H1320" s="11">
        <v>74693</v>
      </c>
      <c r="I1320" s="9">
        <f t="shared" si="56"/>
        <v>1270.6949999999999</v>
      </c>
    </row>
    <row r="1321" spans="1:9">
      <c r="A1321" s="11">
        <v>74724</v>
      </c>
      <c r="B1321" s="12">
        <f t="shared" si="57"/>
        <v>1270.6949999999999</v>
      </c>
      <c r="C1321" s="10"/>
      <c r="E1321" s="11">
        <v>74724</v>
      </c>
      <c r="F1321" s="9">
        <f t="shared" si="55"/>
        <v>1270.6949999999999</v>
      </c>
      <c r="H1321" s="11">
        <v>74724</v>
      </c>
      <c r="I1321" s="9">
        <f t="shared" si="56"/>
        <v>1270.6949999999999</v>
      </c>
    </row>
    <row r="1322" spans="1:9">
      <c r="A1322" s="11">
        <v>74755</v>
      </c>
      <c r="B1322" s="12">
        <f t="shared" si="57"/>
        <v>1270.6949999999999</v>
      </c>
      <c r="C1322" s="10"/>
      <c r="E1322" s="11">
        <v>74755</v>
      </c>
      <c r="F1322" s="9">
        <f t="shared" si="55"/>
        <v>1270.6949999999999</v>
      </c>
      <c r="H1322" s="11">
        <v>74755</v>
      </c>
      <c r="I1322" s="9">
        <f t="shared" si="56"/>
        <v>1270.6949999999999</v>
      </c>
    </row>
    <row r="1323" spans="1:9">
      <c r="A1323" s="11">
        <v>74785</v>
      </c>
      <c r="B1323" s="12">
        <f t="shared" si="57"/>
        <v>1270.6949999999999</v>
      </c>
      <c r="C1323" s="10"/>
      <c r="E1323" s="11">
        <v>74785</v>
      </c>
      <c r="F1323" s="9">
        <f t="shared" ref="F1323:F1386" si="58">B1322</f>
        <v>1270.6949999999999</v>
      </c>
      <c r="H1323" s="11">
        <v>74785</v>
      </c>
      <c r="I1323" s="9">
        <f t="shared" ref="I1323:I1386" si="59">B1321</f>
        <v>1270.6949999999999</v>
      </c>
    </row>
    <row r="1324" spans="1:9">
      <c r="A1324" s="11">
        <v>74816</v>
      </c>
      <c r="B1324" s="12">
        <f t="shared" si="57"/>
        <v>1270.6949999999999</v>
      </c>
      <c r="C1324" s="10"/>
      <c r="E1324" s="11">
        <v>74816</v>
      </c>
      <c r="F1324" s="9">
        <f t="shared" si="58"/>
        <v>1270.6949999999999</v>
      </c>
      <c r="H1324" s="11">
        <v>74816</v>
      </c>
      <c r="I1324" s="9">
        <f t="shared" si="59"/>
        <v>1270.6949999999999</v>
      </c>
    </row>
    <row r="1325" spans="1:9">
      <c r="A1325" s="11">
        <v>74846</v>
      </c>
      <c r="B1325" s="12">
        <f t="shared" si="57"/>
        <v>1270.6949999999999</v>
      </c>
      <c r="C1325" s="10"/>
      <c r="E1325" s="11">
        <v>74846</v>
      </c>
      <c r="F1325" s="9">
        <f t="shared" si="58"/>
        <v>1270.6949999999999</v>
      </c>
      <c r="H1325" s="11">
        <v>74846</v>
      </c>
      <c r="I1325" s="9">
        <f t="shared" si="59"/>
        <v>1270.6949999999999</v>
      </c>
    </row>
    <row r="1326" spans="1:9">
      <c r="A1326" s="11">
        <v>74877</v>
      </c>
      <c r="B1326" s="12">
        <f t="shared" si="57"/>
        <v>1270.6949999999999</v>
      </c>
      <c r="C1326" s="10"/>
      <c r="E1326" s="11">
        <v>74877</v>
      </c>
      <c r="F1326" s="9">
        <f t="shared" si="58"/>
        <v>1270.6949999999999</v>
      </c>
      <c r="H1326" s="11">
        <v>74877</v>
      </c>
      <c r="I1326" s="9">
        <f t="shared" si="59"/>
        <v>1270.6949999999999</v>
      </c>
    </row>
    <row r="1327" spans="1:9">
      <c r="A1327" s="11">
        <v>74908</v>
      </c>
      <c r="B1327" s="12">
        <f t="shared" si="57"/>
        <v>1270.6949999999999</v>
      </c>
      <c r="C1327" s="10"/>
      <c r="E1327" s="11">
        <v>74908</v>
      </c>
      <c r="F1327" s="9">
        <f t="shared" si="58"/>
        <v>1270.6949999999999</v>
      </c>
      <c r="H1327" s="11">
        <v>74908</v>
      </c>
      <c r="I1327" s="9">
        <f t="shared" si="59"/>
        <v>1270.6949999999999</v>
      </c>
    </row>
    <row r="1328" spans="1:9">
      <c r="A1328" s="11">
        <v>74936</v>
      </c>
      <c r="B1328" s="12">
        <f t="shared" si="57"/>
        <v>1270.6949999999999</v>
      </c>
      <c r="C1328" s="10"/>
      <c r="E1328" s="11">
        <v>74936</v>
      </c>
      <c r="F1328" s="9">
        <f t="shared" si="58"/>
        <v>1270.6949999999999</v>
      </c>
      <c r="H1328" s="11">
        <v>74936</v>
      </c>
      <c r="I1328" s="9">
        <f t="shared" si="59"/>
        <v>1270.6949999999999</v>
      </c>
    </row>
    <row r="1329" spans="1:9">
      <c r="A1329" s="11">
        <v>74967</v>
      </c>
      <c r="B1329" s="12">
        <f t="shared" si="57"/>
        <v>1270.6949999999999</v>
      </c>
      <c r="C1329" s="10"/>
      <c r="E1329" s="11">
        <v>74967</v>
      </c>
      <c r="F1329" s="9">
        <f t="shared" si="58"/>
        <v>1270.6949999999999</v>
      </c>
      <c r="H1329" s="11">
        <v>74967</v>
      </c>
      <c r="I1329" s="9">
        <f t="shared" si="59"/>
        <v>1270.6949999999999</v>
      </c>
    </row>
    <row r="1330" spans="1:9">
      <c r="A1330" s="11">
        <v>74997</v>
      </c>
      <c r="B1330" s="12">
        <f t="shared" si="57"/>
        <v>1270.6949999999999</v>
      </c>
      <c r="C1330" s="10"/>
      <c r="E1330" s="11">
        <v>74997</v>
      </c>
      <c r="F1330" s="9">
        <f t="shared" si="58"/>
        <v>1270.6949999999999</v>
      </c>
      <c r="H1330" s="11">
        <v>74997</v>
      </c>
      <c r="I1330" s="9">
        <f t="shared" si="59"/>
        <v>1270.6949999999999</v>
      </c>
    </row>
    <row r="1331" spans="1:9">
      <c r="A1331" s="11">
        <v>75028</v>
      </c>
      <c r="B1331" s="12">
        <f t="shared" si="57"/>
        <v>1270.6949999999999</v>
      </c>
      <c r="C1331" s="10"/>
      <c r="E1331" s="11">
        <v>75028</v>
      </c>
      <c r="F1331" s="9">
        <f t="shared" si="58"/>
        <v>1270.6949999999999</v>
      </c>
      <c r="H1331" s="11">
        <v>75028</v>
      </c>
      <c r="I1331" s="9">
        <f t="shared" si="59"/>
        <v>1270.6949999999999</v>
      </c>
    </row>
    <row r="1332" spans="1:9">
      <c r="A1332" s="11">
        <v>75058</v>
      </c>
      <c r="B1332" s="12">
        <f t="shared" si="57"/>
        <v>1270.6949999999999</v>
      </c>
      <c r="C1332" s="10"/>
      <c r="E1332" s="11">
        <v>75058</v>
      </c>
      <c r="F1332" s="9">
        <f t="shared" si="58"/>
        <v>1270.6949999999999</v>
      </c>
      <c r="H1332" s="11">
        <v>75058</v>
      </c>
      <c r="I1332" s="9">
        <f t="shared" si="59"/>
        <v>1270.6949999999999</v>
      </c>
    </row>
    <row r="1333" spans="1:9">
      <c r="A1333" s="11">
        <v>75089</v>
      </c>
      <c r="B1333" s="12">
        <f t="shared" si="57"/>
        <v>1270.6949999999999</v>
      </c>
      <c r="C1333" s="10"/>
      <c r="E1333" s="11">
        <v>75089</v>
      </c>
      <c r="F1333" s="9">
        <f t="shared" si="58"/>
        <v>1270.6949999999999</v>
      </c>
      <c r="H1333" s="11">
        <v>75089</v>
      </c>
      <c r="I1333" s="9">
        <f t="shared" si="59"/>
        <v>1270.6949999999999</v>
      </c>
    </row>
    <row r="1334" spans="1:9">
      <c r="A1334" s="11">
        <v>75120</v>
      </c>
      <c r="B1334" s="12">
        <f t="shared" si="57"/>
        <v>1270.6949999999999</v>
      </c>
      <c r="C1334" s="10"/>
      <c r="E1334" s="11">
        <v>75120</v>
      </c>
      <c r="F1334" s="9">
        <f t="shared" si="58"/>
        <v>1270.6949999999999</v>
      </c>
      <c r="H1334" s="11">
        <v>75120</v>
      </c>
      <c r="I1334" s="9">
        <f t="shared" si="59"/>
        <v>1270.6949999999999</v>
      </c>
    </row>
    <row r="1335" spans="1:9">
      <c r="A1335" s="11">
        <v>75150</v>
      </c>
      <c r="B1335" s="12">
        <f t="shared" si="57"/>
        <v>1270.6949999999999</v>
      </c>
      <c r="C1335" s="10"/>
      <c r="E1335" s="11">
        <v>75150</v>
      </c>
      <c r="F1335" s="9">
        <f t="shared" si="58"/>
        <v>1270.6949999999999</v>
      </c>
      <c r="H1335" s="11">
        <v>75150</v>
      </c>
      <c r="I1335" s="9">
        <f t="shared" si="59"/>
        <v>1270.6949999999999</v>
      </c>
    </row>
    <row r="1336" spans="1:9">
      <c r="A1336" s="11">
        <v>75181</v>
      </c>
      <c r="B1336" s="12">
        <f t="shared" si="57"/>
        <v>1270.6949999999999</v>
      </c>
      <c r="C1336" s="10"/>
      <c r="E1336" s="11">
        <v>75181</v>
      </c>
      <c r="F1336" s="9">
        <f t="shared" si="58"/>
        <v>1270.6949999999999</v>
      </c>
      <c r="H1336" s="11">
        <v>75181</v>
      </c>
      <c r="I1336" s="9">
        <f t="shared" si="59"/>
        <v>1270.6949999999999</v>
      </c>
    </row>
    <row r="1337" spans="1:9">
      <c r="A1337" s="11">
        <v>75211</v>
      </c>
      <c r="B1337" s="12">
        <f t="shared" si="57"/>
        <v>1270.6949999999999</v>
      </c>
      <c r="C1337" s="10"/>
      <c r="E1337" s="11">
        <v>75211</v>
      </c>
      <c r="F1337" s="9">
        <f t="shared" si="58"/>
        <v>1270.6949999999999</v>
      </c>
      <c r="H1337" s="11">
        <v>75211</v>
      </c>
      <c r="I1337" s="9">
        <f t="shared" si="59"/>
        <v>1270.6949999999999</v>
      </c>
    </row>
    <row r="1338" spans="1:9">
      <c r="A1338" s="11">
        <v>75242</v>
      </c>
      <c r="B1338" s="12">
        <f t="shared" si="57"/>
        <v>1270.6949999999999</v>
      </c>
      <c r="C1338" s="10"/>
      <c r="E1338" s="11">
        <v>75242</v>
      </c>
      <c r="F1338" s="9">
        <f t="shared" si="58"/>
        <v>1270.6949999999999</v>
      </c>
      <c r="H1338" s="11">
        <v>75242</v>
      </c>
      <c r="I1338" s="9">
        <f t="shared" si="59"/>
        <v>1270.6949999999999</v>
      </c>
    </row>
    <row r="1339" spans="1:9">
      <c r="A1339" s="11">
        <v>75273</v>
      </c>
      <c r="B1339" s="12">
        <f t="shared" si="57"/>
        <v>1270.6949999999999</v>
      </c>
      <c r="C1339" s="10"/>
      <c r="E1339" s="11">
        <v>75273</v>
      </c>
      <c r="F1339" s="9">
        <f t="shared" si="58"/>
        <v>1270.6949999999999</v>
      </c>
      <c r="H1339" s="11">
        <v>75273</v>
      </c>
      <c r="I1339" s="9">
        <f t="shared" si="59"/>
        <v>1270.6949999999999</v>
      </c>
    </row>
    <row r="1340" spans="1:9">
      <c r="A1340" s="11">
        <v>75301</v>
      </c>
      <c r="B1340" s="12">
        <f t="shared" si="57"/>
        <v>1270.6949999999999</v>
      </c>
      <c r="C1340" s="10"/>
      <c r="E1340" s="11">
        <v>75301</v>
      </c>
      <c r="F1340" s="9">
        <f t="shared" si="58"/>
        <v>1270.6949999999999</v>
      </c>
      <c r="H1340" s="11">
        <v>75301</v>
      </c>
      <c r="I1340" s="9">
        <f t="shared" si="59"/>
        <v>1270.6949999999999</v>
      </c>
    </row>
    <row r="1341" spans="1:9">
      <c r="A1341" s="11">
        <v>75332</v>
      </c>
      <c r="B1341" s="12">
        <f t="shared" si="57"/>
        <v>1270.6949999999999</v>
      </c>
      <c r="C1341" s="10"/>
      <c r="E1341" s="11">
        <v>75332</v>
      </c>
      <c r="F1341" s="9">
        <f t="shared" si="58"/>
        <v>1270.6949999999999</v>
      </c>
      <c r="H1341" s="11">
        <v>75332</v>
      </c>
      <c r="I1341" s="9">
        <f t="shared" si="59"/>
        <v>1270.6949999999999</v>
      </c>
    </row>
    <row r="1342" spans="1:9">
      <c r="A1342" s="11">
        <v>75362</v>
      </c>
      <c r="B1342" s="12">
        <f t="shared" si="57"/>
        <v>1270.6949999999999</v>
      </c>
      <c r="C1342" s="10"/>
      <c r="E1342" s="11">
        <v>75362</v>
      </c>
      <c r="F1342" s="9">
        <f t="shared" si="58"/>
        <v>1270.6949999999999</v>
      </c>
      <c r="H1342" s="11">
        <v>75362</v>
      </c>
      <c r="I1342" s="9">
        <f t="shared" si="59"/>
        <v>1270.6949999999999</v>
      </c>
    </row>
    <row r="1343" spans="1:9">
      <c r="A1343" s="11">
        <v>75393</v>
      </c>
      <c r="B1343" s="12">
        <f t="shared" si="57"/>
        <v>1270.6949999999999</v>
      </c>
      <c r="C1343" s="10"/>
      <c r="E1343" s="11">
        <v>75393</v>
      </c>
      <c r="F1343" s="9">
        <f t="shared" si="58"/>
        <v>1270.6949999999999</v>
      </c>
      <c r="H1343" s="11">
        <v>75393</v>
      </c>
      <c r="I1343" s="9">
        <f t="shared" si="59"/>
        <v>1270.6949999999999</v>
      </c>
    </row>
    <row r="1344" spans="1:9">
      <c r="A1344" s="11">
        <v>75423</v>
      </c>
      <c r="B1344" s="12">
        <f t="shared" si="57"/>
        <v>1270.6949999999999</v>
      </c>
      <c r="C1344" s="10"/>
      <c r="E1344" s="11">
        <v>75423</v>
      </c>
      <c r="F1344" s="9">
        <f t="shared" si="58"/>
        <v>1270.6949999999999</v>
      </c>
      <c r="H1344" s="11">
        <v>75423</v>
      </c>
      <c r="I1344" s="9">
        <f t="shared" si="59"/>
        <v>1270.6949999999999</v>
      </c>
    </row>
    <row r="1345" spans="1:9">
      <c r="A1345" s="11">
        <v>75454</v>
      </c>
      <c r="B1345" s="12">
        <f t="shared" si="57"/>
        <v>1270.6949999999999</v>
      </c>
      <c r="C1345" s="10"/>
      <c r="E1345" s="11">
        <v>75454</v>
      </c>
      <c r="F1345" s="9">
        <f t="shared" si="58"/>
        <v>1270.6949999999999</v>
      </c>
      <c r="H1345" s="11">
        <v>75454</v>
      </c>
      <c r="I1345" s="9">
        <f t="shared" si="59"/>
        <v>1270.6949999999999</v>
      </c>
    </row>
    <row r="1346" spans="1:9">
      <c r="A1346" s="11">
        <v>75485</v>
      </c>
      <c r="B1346" s="12">
        <f t="shared" si="57"/>
        <v>1270.6949999999999</v>
      </c>
      <c r="C1346" s="10"/>
      <c r="E1346" s="11">
        <v>75485</v>
      </c>
      <c r="F1346" s="9">
        <f t="shared" si="58"/>
        <v>1270.6949999999999</v>
      </c>
      <c r="H1346" s="11">
        <v>75485</v>
      </c>
      <c r="I1346" s="9">
        <f t="shared" si="59"/>
        <v>1270.6949999999999</v>
      </c>
    </row>
    <row r="1347" spans="1:9">
      <c r="A1347" s="11">
        <v>75515</v>
      </c>
      <c r="B1347" s="12">
        <f t="shared" si="57"/>
        <v>1270.6949999999999</v>
      </c>
      <c r="C1347" s="10"/>
      <c r="E1347" s="11">
        <v>75515</v>
      </c>
      <c r="F1347" s="9">
        <f t="shared" si="58"/>
        <v>1270.6949999999999</v>
      </c>
      <c r="H1347" s="11">
        <v>75515</v>
      </c>
      <c r="I1347" s="9">
        <f t="shared" si="59"/>
        <v>1270.6949999999999</v>
      </c>
    </row>
    <row r="1348" spans="1:9">
      <c r="A1348" s="11">
        <v>75546</v>
      </c>
      <c r="B1348" s="12">
        <f t="shared" si="57"/>
        <v>1270.6949999999999</v>
      </c>
      <c r="C1348" s="10"/>
      <c r="E1348" s="11">
        <v>75546</v>
      </c>
      <c r="F1348" s="9">
        <f t="shared" si="58"/>
        <v>1270.6949999999999</v>
      </c>
      <c r="H1348" s="11">
        <v>75546</v>
      </c>
      <c r="I1348" s="9">
        <f t="shared" si="59"/>
        <v>1270.6949999999999</v>
      </c>
    </row>
    <row r="1349" spans="1:9">
      <c r="A1349" s="11">
        <v>75576</v>
      </c>
      <c r="B1349" s="12">
        <f t="shared" si="57"/>
        <v>1270.6949999999999</v>
      </c>
      <c r="C1349" s="10"/>
      <c r="E1349" s="11">
        <v>75576</v>
      </c>
      <c r="F1349" s="9">
        <f t="shared" si="58"/>
        <v>1270.6949999999999</v>
      </c>
      <c r="H1349" s="11">
        <v>75576</v>
      </c>
      <c r="I1349" s="9">
        <f t="shared" si="59"/>
        <v>1270.6949999999999</v>
      </c>
    </row>
    <row r="1350" spans="1:9">
      <c r="A1350" s="11">
        <v>75607</v>
      </c>
      <c r="B1350" s="12">
        <f t="shared" si="57"/>
        <v>1270.6949999999999</v>
      </c>
      <c r="C1350" s="10"/>
      <c r="E1350" s="11">
        <v>75607</v>
      </c>
      <c r="F1350" s="9">
        <f t="shared" si="58"/>
        <v>1270.6949999999999</v>
      </c>
      <c r="H1350" s="11">
        <v>75607</v>
      </c>
      <c r="I1350" s="9">
        <f t="shared" si="59"/>
        <v>1270.6949999999999</v>
      </c>
    </row>
    <row r="1351" spans="1:9">
      <c r="A1351" s="11">
        <v>75638</v>
      </c>
      <c r="B1351" s="12">
        <f t="shared" si="57"/>
        <v>1270.6949999999999</v>
      </c>
      <c r="C1351" s="10"/>
      <c r="E1351" s="11">
        <v>75638</v>
      </c>
      <c r="F1351" s="9">
        <f t="shared" si="58"/>
        <v>1270.6949999999999</v>
      </c>
      <c r="H1351" s="11">
        <v>75638</v>
      </c>
      <c r="I1351" s="9">
        <f t="shared" si="59"/>
        <v>1270.6949999999999</v>
      </c>
    </row>
    <row r="1352" spans="1:9">
      <c r="A1352" s="11">
        <v>75666</v>
      </c>
      <c r="B1352" s="12">
        <f t="shared" si="57"/>
        <v>1270.6949999999999</v>
      </c>
      <c r="C1352" s="10"/>
      <c r="E1352" s="11">
        <v>75666</v>
      </c>
      <c r="F1352" s="9">
        <f t="shared" si="58"/>
        <v>1270.6949999999999</v>
      </c>
      <c r="H1352" s="11">
        <v>75666</v>
      </c>
      <c r="I1352" s="9">
        <f t="shared" si="59"/>
        <v>1270.6949999999999</v>
      </c>
    </row>
    <row r="1353" spans="1:9">
      <c r="A1353" s="11">
        <v>75697</v>
      </c>
      <c r="B1353" s="12">
        <f t="shared" si="57"/>
        <v>1270.6949999999999</v>
      </c>
      <c r="C1353" s="10"/>
      <c r="E1353" s="11">
        <v>75697</v>
      </c>
      <c r="F1353" s="9">
        <f t="shared" si="58"/>
        <v>1270.6949999999999</v>
      </c>
      <c r="H1353" s="11">
        <v>75697</v>
      </c>
      <c r="I1353" s="9">
        <f t="shared" si="59"/>
        <v>1270.6949999999999</v>
      </c>
    </row>
    <row r="1354" spans="1:9">
      <c r="A1354" s="11">
        <v>75727</v>
      </c>
      <c r="B1354" s="12">
        <f t="shared" si="57"/>
        <v>1270.6949999999999</v>
      </c>
      <c r="C1354" s="10"/>
      <c r="E1354" s="11">
        <v>75727</v>
      </c>
      <c r="F1354" s="9">
        <f t="shared" si="58"/>
        <v>1270.6949999999999</v>
      </c>
      <c r="H1354" s="11">
        <v>75727</v>
      </c>
      <c r="I1354" s="9">
        <f t="shared" si="59"/>
        <v>1270.6949999999999</v>
      </c>
    </row>
    <row r="1355" spans="1:9">
      <c r="A1355" s="11">
        <v>75758</v>
      </c>
      <c r="B1355" s="12">
        <f t="shared" si="57"/>
        <v>1270.6949999999999</v>
      </c>
      <c r="C1355" s="10"/>
      <c r="E1355" s="11">
        <v>75758</v>
      </c>
      <c r="F1355" s="9">
        <f t="shared" si="58"/>
        <v>1270.6949999999999</v>
      </c>
      <c r="H1355" s="11">
        <v>75758</v>
      </c>
      <c r="I1355" s="9">
        <f t="shared" si="59"/>
        <v>1270.6949999999999</v>
      </c>
    </row>
    <row r="1356" spans="1:9">
      <c r="A1356" s="11">
        <v>75788</v>
      </c>
      <c r="B1356" s="12">
        <f t="shared" si="57"/>
        <v>1270.6949999999999</v>
      </c>
      <c r="C1356" s="10"/>
      <c r="E1356" s="11">
        <v>75788</v>
      </c>
      <c r="F1356" s="9">
        <f t="shared" si="58"/>
        <v>1270.6949999999999</v>
      </c>
      <c r="H1356" s="11">
        <v>75788</v>
      </c>
      <c r="I1356" s="9">
        <f t="shared" si="59"/>
        <v>1270.6949999999999</v>
      </c>
    </row>
    <row r="1357" spans="1:9">
      <c r="A1357" s="11">
        <v>75819</v>
      </c>
      <c r="B1357" s="12">
        <f t="shared" si="57"/>
        <v>1270.6949999999999</v>
      </c>
      <c r="C1357" s="10"/>
      <c r="E1357" s="11">
        <v>75819</v>
      </c>
      <c r="F1357" s="9">
        <f t="shared" si="58"/>
        <v>1270.6949999999999</v>
      </c>
      <c r="H1357" s="11">
        <v>75819</v>
      </c>
      <c r="I1357" s="9">
        <f t="shared" si="59"/>
        <v>1270.6949999999999</v>
      </c>
    </row>
    <row r="1358" spans="1:9">
      <c r="A1358" s="11">
        <v>75850</v>
      </c>
      <c r="B1358" s="12">
        <f t="shared" si="57"/>
        <v>1270.6949999999999</v>
      </c>
      <c r="C1358" s="10"/>
      <c r="E1358" s="11">
        <v>75850</v>
      </c>
      <c r="F1358" s="9">
        <f t="shared" si="58"/>
        <v>1270.6949999999999</v>
      </c>
      <c r="H1358" s="11">
        <v>75850</v>
      </c>
      <c r="I1358" s="9">
        <f t="shared" si="59"/>
        <v>1270.6949999999999</v>
      </c>
    </row>
    <row r="1359" spans="1:9">
      <c r="A1359" s="11">
        <v>75880</v>
      </c>
      <c r="B1359" s="12">
        <f t="shared" si="57"/>
        <v>1270.6949999999999</v>
      </c>
      <c r="C1359" s="10"/>
      <c r="E1359" s="11">
        <v>75880</v>
      </c>
      <c r="F1359" s="9">
        <f t="shared" si="58"/>
        <v>1270.6949999999999</v>
      </c>
      <c r="H1359" s="11">
        <v>75880</v>
      </c>
      <c r="I1359" s="9">
        <f t="shared" si="59"/>
        <v>1270.6949999999999</v>
      </c>
    </row>
    <row r="1360" spans="1:9">
      <c r="A1360" s="11">
        <v>75911</v>
      </c>
      <c r="B1360" s="12">
        <f t="shared" si="57"/>
        <v>1270.6949999999999</v>
      </c>
      <c r="C1360" s="10"/>
      <c r="E1360" s="11">
        <v>75911</v>
      </c>
      <c r="F1360" s="9">
        <f t="shared" si="58"/>
        <v>1270.6949999999999</v>
      </c>
      <c r="H1360" s="11">
        <v>75911</v>
      </c>
      <c r="I1360" s="9">
        <f t="shared" si="59"/>
        <v>1270.6949999999999</v>
      </c>
    </row>
    <row r="1361" spans="1:9">
      <c r="A1361" s="11">
        <v>75941</v>
      </c>
      <c r="B1361" s="12">
        <f t="shared" si="57"/>
        <v>1270.6949999999999</v>
      </c>
      <c r="C1361" s="10"/>
      <c r="E1361" s="11">
        <v>75941</v>
      </c>
      <c r="F1361" s="9">
        <f t="shared" si="58"/>
        <v>1270.6949999999999</v>
      </c>
      <c r="H1361" s="11">
        <v>75941</v>
      </c>
      <c r="I1361" s="9">
        <f t="shared" si="59"/>
        <v>1270.6949999999999</v>
      </c>
    </row>
    <row r="1362" spans="1:9">
      <c r="A1362" s="11">
        <v>75972</v>
      </c>
      <c r="B1362" s="12">
        <f t="shared" si="57"/>
        <v>1270.6949999999999</v>
      </c>
      <c r="C1362" s="10"/>
      <c r="E1362" s="11">
        <v>75972</v>
      </c>
      <c r="F1362" s="9">
        <f t="shared" si="58"/>
        <v>1270.6949999999999</v>
      </c>
      <c r="H1362" s="11">
        <v>75972</v>
      </c>
      <c r="I1362" s="9">
        <f t="shared" si="59"/>
        <v>1270.6949999999999</v>
      </c>
    </row>
    <row r="1363" spans="1:9">
      <c r="A1363" s="11">
        <v>76003</v>
      </c>
      <c r="B1363" s="12">
        <f t="shared" si="57"/>
        <v>1270.6949999999999</v>
      </c>
      <c r="C1363" s="10"/>
      <c r="E1363" s="11">
        <v>76003</v>
      </c>
      <c r="F1363" s="9">
        <f t="shared" si="58"/>
        <v>1270.6949999999999</v>
      </c>
      <c r="H1363" s="11">
        <v>76003</v>
      </c>
      <c r="I1363" s="9">
        <f t="shared" si="59"/>
        <v>1270.6949999999999</v>
      </c>
    </row>
    <row r="1364" spans="1:9">
      <c r="A1364" s="11">
        <v>76032</v>
      </c>
      <c r="B1364" s="12">
        <f t="shared" si="57"/>
        <v>1270.6949999999999</v>
      </c>
      <c r="C1364" s="10"/>
      <c r="E1364" s="11">
        <v>76032</v>
      </c>
      <c r="F1364" s="9">
        <f t="shared" si="58"/>
        <v>1270.6949999999999</v>
      </c>
      <c r="H1364" s="11">
        <v>76032</v>
      </c>
      <c r="I1364" s="9">
        <f t="shared" si="59"/>
        <v>1270.6949999999999</v>
      </c>
    </row>
    <row r="1365" spans="1:9">
      <c r="A1365" s="11">
        <v>76063</v>
      </c>
      <c r="B1365" s="12">
        <f t="shared" si="57"/>
        <v>1270.6949999999999</v>
      </c>
      <c r="C1365" s="10"/>
      <c r="E1365" s="11">
        <v>76063</v>
      </c>
      <c r="F1365" s="9">
        <f t="shared" si="58"/>
        <v>1270.6949999999999</v>
      </c>
      <c r="H1365" s="11">
        <v>76063</v>
      </c>
      <c r="I1365" s="9">
        <f t="shared" si="59"/>
        <v>1270.6949999999999</v>
      </c>
    </row>
    <row r="1366" spans="1:9">
      <c r="A1366" s="11">
        <v>76093</v>
      </c>
      <c r="B1366" s="12">
        <f t="shared" si="57"/>
        <v>1270.6949999999999</v>
      </c>
      <c r="C1366" s="10"/>
      <c r="E1366" s="11">
        <v>76093</v>
      </c>
      <c r="F1366" s="9">
        <f t="shared" si="58"/>
        <v>1270.6949999999999</v>
      </c>
      <c r="H1366" s="11">
        <v>76093</v>
      </c>
      <c r="I1366" s="9">
        <f t="shared" si="59"/>
        <v>1270.6949999999999</v>
      </c>
    </row>
    <row r="1367" spans="1:9">
      <c r="A1367" s="11">
        <v>76124</v>
      </c>
      <c r="B1367" s="12">
        <f t="shared" si="57"/>
        <v>1270.6949999999999</v>
      </c>
      <c r="C1367" s="10"/>
      <c r="E1367" s="11">
        <v>76124</v>
      </c>
      <c r="F1367" s="9">
        <f t="shared" si="58"/>
        <v>1270.6949999999999</v>
      </c>
      <c r="H1367" s="11">
        <v>76124</v>
      </c>
      <c r="I1367" s="9">
        <f t="shared" si="59"/>
        <v>1270.6949999999999</v>
      </c>
    </row>
    <row r="1368" spans="1:9">
      <c r="A1368" s="11">
        <v>76154</v>
      </c>
      <c r="B1368" s="12">
        <f t="shared" si="57"/>
        <v>1270.6949999999999</v>
      </c>
      <c r="C1368" s="10"/>
      <c r="E1368" s="11">
        <v>76154</v>
      </c>
      <c r="F1368" s="9">
        <f t="shared" si="58"/>
        <v>1270.6949999999999</v>
      </c>
      <c r="H1368" s="11">
        <v>76154</v>
      </c>
      <c r="I1368" s="9">
        <f t="shared" si="59"/>
        <v>1270.6949999999999</v>
      </c>
    </row>
    <row r="1369" spans="1:9">
      <c r="A1369" s="11">
        <v>76185</v>
      </c>
      <c r="B1369" s="12">
        <f t="shared" si="57"/>
        <v>1270.6949999999999</v>
      </c>
      <c r="C1369" s="10"/>
      <c r="E1369" s="11">
        <v>76185</v>
      </c>
      <c r="F1369" s="9">
        <f t="shared" si="58"/>
        <v>1270.6949999999999</v>
      </c>
      <c r="H1369" s="11">
        <v>76185</v>
      </c>
      <c r="I1369" s="9">
        <f t="shared" si="59"/>
        <v>1270.6949999999999</v>
      </c>
    </row>
    <row r="1370" spans="1:9">
      <c r="A1370" s="11">
        <v>76216</v>
      </c>
      <c r="B1370" s="12">
        <f t="shared" si="57"/>
        <v>1270.6949999999999</v>
      </c>
      <c r="C1370" s="10"/>
      <c r="E1370" s="11">
        <v>76216</v>
      </c>
      <c r="F1370" s="9">
        <f t="shared" si="58"/>
        <v>1270.6949999999999</v>
      </c>
      <c r="H1370" s="11">
        <v>76216</v>
      </c>
      <c r="I1370" s="9">
        <f t="shared" si="59"/>
        <v>1270.6949999999999</v>
      </c>
    </row>
    <row r="1371" spans="1:9">
      <c r="A1371" s="11">
        <v>76246</v>
      </c>
      <c r="B1371" s="12">
        <f t="shared" si="57"/>
        <v>1270.6949999999999</v>
      </c>
      <c r="C1371" s="10"/>
      <c r="E1371" s="11">
        <v>76246</v>
      </c>
      <c r="F1371" s="9">
        <f t="shared" si="58"/>
        <v>1270.6949999999999</v>
      </c>
      <c r="H1371" s="11">
        <v>76246</v>
      </c>
      <c r="I1371" s="9">
        <f t="shared" si="59"/>
        <v>1270.6949999999999</v>
      </c>
    </row>
    <row r="1372" spans="1:9">
      <c r="A1372" s="11">
        <v>76277</v>
      </c>
      <c r="B1372" s="12">
        <f t="shared" si="57"/>
        <v>1270.6949999999999</v>
      </c>
      <c r="C1372" s="10"/>
      <c r="E1372" s="11">
        <v>76277</v>
      </c>
      <c r="F1372" s="9">
        <f t="shared" si="58"/>
        <v>1270.6949999999999</v>
      </c>
      <c r="H1372" s="11">
        <v>76277</v>
      </c>
      <c r="I1372" s="9">
        <f t="shared" si="59"/>
        <v>1270.6949999999999</v>
      </c>
    </row>
    <row r="1373" spans="1:9">
      <c r="A1373" s="11">
        <v>76307</v>
      </c>
      <c r="B1373" s="12">
        <f t="shared" si="57"/>
        <v>1270.6949999999999</v>
      </c>
      <c r="C1373" s="10"/>
      <c r="E1373" s="11">
        <v>76307</v>
      </c>
      <c r="F1373" s="9">
        <f t="shared" si="58"/>
        <v>1270.6949999999999</v>
      </c>
      <c r="H1373" s="11">
        <v>76307</v>
      </c>
      <c r="I1373" s="9">
        <f t="shared" si="59"/>
        <v>1270.6949999999999</v>
      </c>
    </row>
    <row r="1374" spans="1:9">
      <c r="A1374" s="11">
        <v>76338</v>
      </c>
      <c r="B1374" s="12">
        <f t="shared" si="57"/>
        <v>1270.6949999999999</v>
      </c>
      <c r="C1374" s="10"/>
      <c r="E1374" s="11">
        <v>76338</v>
      </c>
      <c r="F1374" s="9">
        <f t="shared" si="58"/>
        <v>1270.6949999999999</v>
      </c>
      <c r="H1374" s="11">
        <v>76338</v>
      </c>
      <c r="I1374" s="9">
        <f t="shared" si="59"/>
        <v>1270.6949999999999</v>
      </c>
    </row>
    <row r="1375" spans="1:9">
      <c r="A1375" s="11">
        <v>76369</v>
      </c>
      <c r="B1375" s="12">
        <f t="shared" si="57"/>
        <v>1270.6949999999999</v>
      </c>
      <c r="C1375" s="10"/>
      <c r="E1375" s="11">
        <v>76369</v>
      </c>
      <c r="F1375" s="9">
        <f t="shared" si="58"/>
        <v>1270.6949999999999</v>
      </c>
      <c r="H1375" s="11">
        <v>76369</v>
      </c>
      <c r="I1375" s="9">
        <f t="shared" si="59"/>
        <v>1270.6949999999999</v>
      </c>
    </row>
    <row r="1376" spans="1:9">
      <c r="A1376" s="11">
        <v>76397</v>
      </c>
      <c r="B1376" s="12">
        <f t="shared" si="57"/>
        <v>1270.6949999999999</v>
      </c>
      <c r="C1376" s="10"/>
      <c r="E1376" s="11">
        <v>76397</v>
      </c>
      <c r="F1376" s="9">
        <f t="shared" si="58"/>
        <v>1270.6949999999999</v>
      </c>
      <c r="H1376" s="11">
        <v>76397</v>
      </c>
      <c r="I1376" s="9">
        <f t="shared" si="59"/>
        <v>1270.6949999999999</v>
      </c>
    </row>
    <row r="1377" spans="1:9">
      <c r="A1377" s="11">
        <v>76428</v>
      </c>
      <c r="B1377" s="12">
        <f t="shared" ref="B1377:B1440" si="60">B1376</f>
        <v>1270.6949999999999</v>
      </c>
      <c r="C1377" s="10"/>
      <c r="E1377" s="11">
        <v>76428</v>
      </c>
      <c r="F1377" s="9">
        <f t="shared" si="58"/>
        <v>1270.6949999999999</v>
      </c>
      <c r="H1377" s="11">
        <v>76428</v>
      </c>
      <c r="I1377" s="9">
        <f t="shared" si="59"/>
        <v>1270.6949999999999</v>
      </c>
    </row>
    <row r="1378" spans="1:9">
      <c r="A1378" s="11">
        <v>76458</v>
      </c>
      <c r="B1378" s="12">
        <f t="shared" si="60"/>
        <v>1270.6949999999999</v>
      </c>
      <c r="C1378" s="10"/>
      <c r="E1378" s="11">
        <v>76458</v>
      </c>
      <c r="F1378" s="9">
        <f t="shared" si="58"/>
        <v>1270.6949999999999</v>
      </c>
      <c r="H1378" s="11">
        <v>76458</v>
      </c>
      <c r="I1378" s="9">
        <f t="shared" si="59"/>
        <v>1270.6949999999999</v>
      </c>
    </row>
    <row r="1379" spans="1:9">
      <c r="A1379" s="11">
        <v>76489</v>
      </c>
      <c r="B1379" s="12">
        <f t="shared" si="60"/>
        <v>1270.6949999999999</v>
      </c>
      <c r="C1379" s="10"/>
      <c r="E1379" s="11">
        <v>76489</v>
      </c>
      <c r="F1379" s="9">
        <f t="shared" si="58"/>
        <v>1270.6949999999999</v>
      </c>
      <c r="H1379" s="11">
        <v>76489</v>
      </c>
      <c r="I1379" s="9">
        <f t="shared" si="59"/>
        <v>1270.6949999999999</v>
      </c>
    </row>
    <row r="1380" spans="1:9">
      <c r="A1380" s="11">
        <v>76519</v>
      </c>
      <c r="B1380" s="12">
        <f t="shared" si="60"/>
        <v>1270.6949999999999</v>
      </c>
      <c r="C1380" s="10"/>
      <c r="E1380" s="11">
        <v>76519</v>
      </c>
      <c r="F1380" s="9">
        <f t="shared" si="58"/>
        <v>1270.6949999999999</v>
      </c>
      <c r="H1380" s="11">
        <v>76519</v>
      </c>
      <c r="I1380" s="9">
        <f t="shared" si="59"/>
        <v>1270.6949999999999</v>
      </c>
    </row>
    <row r="1381" spans="1:9">
      <c r="A1381" s="11">
        <v>76550</v>
      </c>
      <c r="B1381" s="12">
        <f t="shared" si="60"/>
        <v>1270.6949999999999</v>
      </c>
      <c r="C1381" s="10"/>
      <c r="E1381" s="11">
        <v>76550</v>
      </c>
      <c r="F1381" s="9">
        <f t="shared" si="58"/>
        <v>1270.6949999999999</v>
      </c>
      <c r="H1381" s="11">
        <v>76550</v>
      </c>
      <c r="I1381" s="9">
        <f t="shared" si="59"/>
        <v>1270.6949999999999</v>
      </c>
    </row>
    <row r="1382" spans="1:9">
      <c r="A1382" s="11">
        <v>76581</v>
      </c>
      <c r="B1382" s="12">
        <f t="shared" si="60"/>
        <v>1270.6949999999999</v>
      </c>
      <c r="C1382" s="10"/>
      <c r="E1382" s="11">
        <v>76581</v>
      </c>
      <c r="F1382" s="9">
        <f t="shared" si="58"/>
        <v>1270.6949999999999</v>
      </c>
      <c r="H1382" s="11">
        <v>76581</v>
      </c>
      <c r="I1382" s="9">
        <f t="shared" si="59"/>
        <v>1270.6949999999999</v>
      </c>
    </row>
    <row r="1383" spans="1:9">
      <c r="A1383" s="11">
        <v>76611</v>
      </c>
      <c r="B1383" s="12">
        <f t="shared" si="60"/>
        <v>1270.6949999999999</v>
      </c>
      <c r="C1383" s="10"/>
      <c r="E1383" s="11">
        <v>76611</v>
      </c>
      <c r="F1383" s="9">
        <f t="shared" si="58"/>
        <v>1270.6949999999999</v>
      </c>
      <c r="H1383" s="11">
        <v>76611</v>
      </c>
      <c r="I1383" s="9">
        <f t="shared" si="59"/>
        <v>1270.6949999999999</v>
      </c>
    </row>
    <row r="1384" spans="1:9">
      <c r="A1384" s="11">
        <v>76642</v>
      </c>
      <c r="B1384" s="12">
        <f t="shared" si="60"/>
        <v>1270.6949999999999</v>
      </c>
      <c r="C1384" s="10"/>
      <c r="E1384" s="11">
        <v>76642</v>
      </c>
      <c r="F1384" s="9">
        <f t="shared" si="58"/>
        <v>1270.6949999999999</v>
      </c>
      <c r="H1384" s="11">
        <v>76642</v>
      </c>
      <c r="I1384" s="9">
        <f t="shared" si="59"/>
        <v>1270.6949999999999</v>
      </c>
    </row>
    <row r="1385" spans="1:9">
      <c r="A1385" s="11">
        <v>76672</v>
      </c>
      <c r="B1385" s="12">
        <f t="shared" si="60"/>
        <v>1270.6949999999999</v>
      </c>
      <c r="C1385" s="10"/>
      <c r="E1385" s="11">
        <v>76672</v>
      </c>
      <c r="F1385" s="9">
        <f t="shared" si="58"/>
        <v>1270.6949999999999</v>
      </c>
      <c r="H1385" s="11">
        <v>76672</v>
      </c>
      <c r="I1385" s="9">
        <f t="shared" si="59"/>
        <v>1270.6949999999999</v>
      </c>
    </row>
    <row r="1386" spans="1:9">
      <c r="A1386" s="11">
        <v>76703</v>
      </c>
      <c r="B1386" s="12">
        <f t="shared" si="60"/>
        <v>1270.6949999999999</v>
      </c>
      <c r="C1386" s="10"/>
      <c r="E1386" s="11">
        <v>76703</v>
      </c>
      <c r="F1386" s="9">
        <f t="shared" si="58"/>
        <v>1270.6949999999999</v>
      </c>
      <c r="H1386" s="11">
        <v>76703</v>
      </c>
      <c r="I1386" s="9">
        <f t="shared" si="59"/>
        <v>1270.6949999999999</v>
      </c>
    </row>
    <row r="1387" spans="1:9">
      <c r="A1387" s="11">
        <v>76734</v>
      </c>
      <c r="B1387" s="12">
        <f t="shared" si="60"/>
        <v>1270.6949999999999</v>
      </c>
      <c r="C1387" s="10"/>
      <c r="E1387" s="11">
        <v>76734</v>
      </c>
      <c r="F1387" s="9">
        <f t="shared" ref="F1387:F1450" si="61">B1386</f>
        <v>1270.6949999999999</v>
      </c>
      <c r="H1387" s="11">
        <v>76734</v>
      </c>
      <c r="I1387" s="9">
        <f t="shared" ref="I1387:I1450" si="62">B1385</f>
        <v>1270.6949999999999</v>
      </c>
    </row>
    <row r="1388" spans="1:9">
      <c r="A1388" s="11">
        <v>76762</v>
      </c>
      <c r="B1388" s="12">
        <f t="shared" si="60"/>
        <v>1270.6949999999999</v>
      </c>
      <c r="C1388" s="10"/>
      <c r="E1388" s="11">
        <v>76762</v>
      </c>
      <c r="F1388" s="9">
        <f t="shared" si="61"/>
        <v>1270.6949999999999</v>
      </c>
      <c r="H1388" s="11">
        <v>76762</v>
      </c>
      <c r="I1388" s="9">
        <f t="shared" si="62"/>
        <v>1270.6949999999999</v>
      </c>
    </row>
    <row r="1389" spans="1:9">
      <c r="A1389" s="11">
        <v>76793</v>
      </c>
      <c r="B1389" s="12">
        <f t="shared" si="60"/>
        <v>1270.6949999999999</v>
      </c>
      <c r="C1389" s="10"/>
      <c r="E1389" s="11">
        <v>76793</v>
      </c>
      <c r="F1389" s="9">
        <f t="shared" si="61"/>
        <v>1270.6949999999999</v>
      </c>
      <c r="H1389" s="11">
        <v>76793</v>
      </c>
      <c r="I1389" s="9">
        <f t="shared" si="62"/>
        <v>1270.6949999999999</v>
      </c>
    </row>
    <row r="1390" spans="1:9">
      <c r="A1390" s="11">
        <v>76823</v>
      </c>
      <c r="B1390" s="12">
        <f t="shared" si="60"/>
        <v>1270.6949999999999</v>
      </c>
      <c r="C1390" s="10"/>
      <c r="E1390" s="11">
        <v>76823</v>
      </c>
      <c r="F1390" s="9">
        <f t="shared" si="61"/>
        <v>1270.6949999999999</v>
      </c>
      <c r="H1390" s="11">
        <v>76823</v>
      </c>
      <c r="I1390" s="9">
        <f t="shared" si="62"/>
        <v>1270.6949999999999</v>
      </c>
    </row>
    <row r="1391" spans="1:9">
      <c r="A1391" s="11">
        <v>76854</v>
      </c>
      <c r="B1391" s="12">
        <f t="shared" si="60"/>
        <v>1270.6949999999999</v>
      </c>
      <c r="C1391" s="10"/>
      <c r="E1391" s="11">
        <v>76854</v>
      </c>
      <c r="F1391" s="9">
        <f t="shared" si="61"/>
        <v>1270.6949999999999</v>
      </c>
      <c r="H1391" s="11">
        <v>76854</v>
      </c>
      <c r="I1391" s="9">
        <f t="shared" si="62"/>
        <v>1270.6949999999999</v>
      </c>
    </row>
    <row r="1392" spans="1:9">
      <c r="A1392" s="11">
        <v>76884</v>
      </c>
      <c r="B1392" s="12">
        <f t="shared" si="60"/>
        <v>1270.6949999999999</v>
      </c>
      <c r="C1392" s="10"/>
      <c r="E1392" s="11">
        <v>76884</v>
      </c>
      <c r="F1392" s="9">
        <f t="shared" si="61"/>
        <v>1270.6949999999999</v>
      </c>
      <c r="H1392" s="11">
        <v>76884</v>
      </c>
      <c r="I1392" s="9">
        <f t="shared" si="62"/>
        <v>1270.6949999999999</v>
      </c>
    </row>
    <row r="1393" spans="1:9">
      <c r="A1393" s="11">
        <v>76915</v>
      </c>
      <c r="B1393" s="12">
        <f t="shared" si="60"/>
        <v>1270.6949999999999</v>
      </c>
      <c r="C1393" s="10"/>
      <c r="E1393" s="11">
        <v>76915</v>
      </c>
      <c r="F1393" s="9">
        <f t="shared" si="61"/>
        <v>1270.6949999999999</v>
      </c>
      <c r="H1393" s="11">
        <v>76915</v>
      </c>
      <c r="I1393" s="9">
        <f t="shared" si="62"/>
        <v>1270.6949999999999</v>
      </c>
    </row>
    <row r="1394" spans="1:9">
      <c r="A1394" s="11">
        <v>76946</v>
      </c>
      <c r="B1394" s="12">
        <f t="shared" si="60"/>
        <v>1270.6949999999999</v>
      </c>
      <c r="C1394" s="10"/>
      <c r="E1394" s="11">
        <v>76946</v>
      </c>
      <c r="F1394" s="9">
        <f t="shared" si="61"/>
        <v>1270.6949999999999</v>
      </c>
      <c r="H1394" s="11">
        <v>76946</v>
      </c>
      <c r="I1394" s="9">
        <f t="shared" si="62"/>
        <v>1270.6949999999999</v>
      </c>
    </row>
    <row r="1395" spans="1:9">
      <c r="A1395" s="11">
        <v>76976</v>
      </c>
      <c r="B1395" s="12">
        <f t="shared" si="60"/>
        <v>1270.6949999999999</v>
      </c>
      <c r="C1395" s="10"/>
      <c r="E1395" s="11">
        <v>76976</v>
      </c>
      <c r="F1395" s="9">
        <f t="shared" si="61"/>
        <v>1270.6949999999999</v>
      </c>
      <c r="H1395" s="11">
        <v>76976</v>
      </c>
      <c r="I1395" s="9">
        <f t="shared" si="62"/>
        <v>1270.6949999999999</v>
      </c>
    </row>
    <row r="1396" spans="1:9">
      <c r="A1396" s="11">
        <v>77007</v>
      </c>
      <c r="B1396" s="12">
        <f t="shared" si="60"/>
        <v>1270.6949999999999</v>
      </c>
      <c r="C1396" s="10"/>
      <c r="E1396" s="11">
        <v>77007</v>
      </c>
      <c r="F1396" s="9">
        <f t="shared" si="61"/>
        <v>1270.6949999999999</v>
      </c>
      <c r="H1396" s="11">
        <v>77007</v>
      </c>
      <c r="I1396" s="9">
        <f t="shared" si="62"/>
        <v>1270.6949999999999</v>
      </c>
    </row>
    <row r="1397" spans="1:9">
      <c r="A1397" s="11">
        <v>77037</v>
      </c>
      <c r="B1397" s="12">
        <f t="shared" si="60"/>
        <v>1270.6949999999999</v>
      </c>
      <c r="C1397" s="10"/>
      <c r="E1397" s="11">
        <v>77037</v>
      </c>
      <c r="F1397" s="9">
        <f t="shared" si="61"/>
        <v>1270.6949999999999</v>
      </c>
      <c r="H1397" s="11">
        <v>77037</v>
      </c>
      <c r="I1397" s="9">
        <f t="shared" si="62"/>
        <v>1270.6949999999999</v>
      </c>
    </row>
    <row r="1398" spans="1:9">
      <c r="A1398" s="11">
        <v>77068</v>
      </c>
      <c r="B1398" s="12">
        <f t="shared" si="60"/>
        <v>1270.6949999999999</v>
      </c>
      <c r="C1398" s="10"/>
      <c r="E1398" s="11">
        <v>77068</v>
      </c>
      <c r="F1398" s="9">
        <f t="shared" si="61"/>
        <v>1270.6949999999999</v>
      </c>
      <c r="H1398" s="11">
        <v>77068</v>
      </c>
      <c r="I1398" s="9">
        <f t="shared" si="62"/>
        <v>1270.6949999999999</v>
      </c>
    </row>
    <row r="1399" spans="1:9">
      <c r="A1399" s="11">
        <v>77099</v>
      </c>
      <c r="B1399" s="12">
        <f t="shared" si="60"/>
        <v>1270.6949999999999</v>
      </c>
      <c r="C1399" s="10"/>
      <c r="E1399" s="11">
        <v>77099</v>
      </c>
      <c r="F1399" s="9">
        <f t="shared" si="61"/>
        <v>1270.6949999999999</v>
      </c>
      <c r="H1399" s="11">
        <v>77099</v>
      </c>
      <c r="I1399" s="9">
        <f t="shared" si="62"/>
        <v>1270.6949999999999</v>
      </c>
    </row>
    <row r="1400" spans="1:9">
      <c r="A1400" s="11">
        <v>77127</v>
      </c>
      <c r="B1400" s="12">
        <f t="shared" si="60"/>
        <v>1270.6949999999999</v>
      </c>
      <c r="C1400" s="10"/>
      <c r="E1400" s="11">
        <v>77127</v>
      </c>
      <c r="F1400" s="9">
        <f t="shared" si="61"/>
        <v>1270.6949999999999</v>
      </c>
      <c r="H1400" s="11">
        <v>77127</v>
      </c>
      <c r="I1400" s="9">
        <f t="shared" si="62"/>
        <v>1270.6949999999999</v>
      </c>
    </row>
    <row r="1401" spans="1:9">
      <c r="A1401" s="11">
        <v>77158</v>
      </c>
      <c r="B1401" s="12">
        <f t="shared" si="60"/>
        <v>1270.6949999999999</v>
      </c>
      <c r="C1401" s="10"/>
      <c r="E1401" s="11">
        <v>77158</v>
      </c>
      <c r="F1401" s="9">
        <f t="shared" si="61"/>
        <v>1270.6949999999999</v>
      </c>
      <c r="H1401" s="11">
        <v>77158</v>
      </c>
      <c r="I1401" s="9">
        <f t="shared" si="62"/>
        <v>1270.6949999999999</v>
      </c>
    </row>
    <row r="1402" spans="1:9">
      <c r="A1402" s="11">
        <v>77188</v>
      </c>
      <c r="B1402" s="12">
        <f t="shared" si="60"/>
        <v>1270.6949999999999</v>
      </c>
      <c r="C1402" s="10"/>
      <c r="E1402" s="11">
        <v>77188</v>
      </c>
      <c r="F1402" s="9">
        <f t="shared" si="61"/>
        <v>1270.6949999999999</v>
      </c>
      <c r="H1402" s="11">
        <v>77188</v>
      </c>
      <c r="I1402" s="9">
        <f t="shared" si="62"/>
        <v>1270.6949999999999</v>
      </c>
    </row>
    <row r="1403" spans="1:9">
      <c r="A1403" s="11">
        <v>77219</v>
      </c>
      <c r="B1403" s="12">
        <f t="shared" si="60"/>
        <v>1270.6949999999999</v>
      </c>
      <c r="C1403" s="10"/>
      <c r="E1403" s="11">
        <v>77219</v>
      </c>
      <c r="F1403" s="9">
        <f t="shared" si="61"/>
        <v>1270.6949999999999</v>
      </c>
      <c r="H1403" s="11">
        <v>77219</v>
      </c>
      <c r="I1403" s="9">
        <f t="shared" si="62"/>
        <v>1270.6949999999999</v>
      </c>
    </row>
    <row r="1404" spans="1:9">
      <c r="A1404" s="11">
        <v>77249</v>
      </c>
      <c r="B1404" s="12">
        <f t="shared" si="60"/>
        <v>1270.6949999999999</v>
      </c>
      <c r="C1404" s="10"/>
      <c r="E1404" s="11">
        <v>77249</v>
      </c>
      <c r="F1404" s="9">
        <f t="shared" si="61"/>
        <v>1270.6949999999999</v>
      </c>
      <c r="H1404" s="11">
        <v>77249</v>
      </c>
      <c r="I1404" s="9">
        <f t="shared" si="62"/>
        <v>1270.6949999999999</v>
      </c>
    </row>
    <row r="1405" spans="1:9">
      <c r="A1405" s="11">
        <v>77280</v>
      </c>
      <c r="B1405" s="12">
        <f t="shared" si="60"/>
        <v>1270.6949999999999</v>
      </c>
      <c r="C1405" s="10"/>
      <c r="E1405" s="11">
        <v>77280</v>
      </c>
      <c r="F1405" s="9">
        <f t="shared" si="61"/>
        <v>1270.6949999999999</v>
      </c>
      <c r="H1405" s="11">
        <v>77280</v>
      </c>
      <c r="I1405" s="9">
        <f t="shared" si="62"/>
        <v>1270.6949999999999</v>
      </c>
    </row>
    <row r="1406" spans="1:9">
      <c r="A1406" s="11">
        <v>77311</v>
      </c>
      <c r="B1406" s="12">
        <f t="shared" si="60"/>
        <v>1270.6949999999999</v>
      </c>
      <c r="C1406" s="10"/>
      <c r="E1406" s="11">
        <v>77311</v>
      </c>
      <c r="F1406" s="9">
        <f t="shared" si="61"/>
        <v>1270.6949999999999</v>
      </c>
      <c r="H1406" s="11">
        <v>77311</v>
      </c>
      <c r="I1406" s="9">
        <f t="shared" si="62"/>
        <v>1270.6949999999999</v>
      </c>
    </row>
    <row r="1407" spans="1:9">
      <c r="A1407" s="11">
        <v>77341</v>
      </c>
      <c r="B1407" s="12">
        <f t="shared" si="60"/>
        <v>1270.6949999999999</v>
      </c>
      <c r="C1407" s="10"/>
      <c r="E1407" s="11">
        <v>77341</v>
      </c>
      <c r="F1407" s="9">
        <f t="shared" si="61"/>
        <v>1270.6949999999999</v>
      </c>
      <c r="H1407" s="11">
        <v>77341</v>
      </c>
      <c r="I1407" s="9">
        <f t="shared" si="62"/>
        <v>1270.6949999999999</v>
      </c>
    </row>
    <row r="1408" spans="1:9">
      <c r="A1408" s="11">
        <v>77372</v>
      </c>
      <c r="B1408" s="12">
        <f t="shared" si="60"/>
        <v>1270.6949999999999</v>
      </c>
      <c r="C1408" s="10"/>
      <c r="E1408" s="11">
        <v>77372</v>
      </c>
      <c r="F1408" s="9">
        <f t="shared" si="61"/>
        <v>1270.6949999999999</v>
      </c>
      <c r="H1408" s="11">
        <v>77372</v>
      </c>
      <c r="I1408" s="9">
        <f t="shared" si="62"/>
        <v>1270.6949999999999</v>
      </c>
    </row>
    <row r="1409" spans="1:9">
      <c r="A1409" s="11">
        <v>77402</v>
      </c>
      <c r="B1409" s="12">
        <f t="shared" si="60"/>
        <v>1270.6949999999999</v>
      </c>
      <c r="C1409" s="10"/>
      <c r="E1409" s="11">
        <v>77402</v>
      </c>
      <c r="F1409" s="9">
        <f t="shared" si="61"/>
        <v>1270.6949999999999</v>
      </c>
      <c r="H1409" s="11">
        <v>77402</v>
      </c>
      <c r="I1409" s="9">
        <f t="shared" si="62"/>
        <v>1270.6949999999999</v>
      </c>
    </row>
    <row r="1410" spans="1:9">
      <c r="A1410" s="11">
        <v>77433</v>
      </c>
      <c r="B1410" s="12">
        <f t="shared" si="60"/>
        <v>1270.6949999999999</v>
      </c>
      <c r="C1410" s="10"/>
      <c r="E1410" s="11">
        <v>77433</v>
      </c>
      <c r="F1410" s="9">
        <f t="shared" si="61"/>
        <v>1270.6949999999999</v>
      </c>
      <c r="H1410" s="11">
        <v>77433</v>
      </c>
      <c r="I1410" s="9">
        <f t="shared" si="62"/>
        <v>1270.6949999999999</v>
      </c>
    </row>
    <row r="1411" spans="1:9">
      <c r="A1411" s="11">
        <v>77464</v>
      </c>
      <c r="B1411" s="12">
        <f t="shared" si="60"/>
        <v>1270.6949999999999</v>
      </c>
      <c r="C1411" s="10"/>
      <c r="E1411" s="11">
        <v>77464</v>
      </c>
      <c r="F1411" s="9">
        <f t="shared" si="61"/>
        <v>1270.6949999999999</v>
      </c>
      <c r="H1411" s="11">
        <v>77464</v>
      </c>
      <c r="I1411" s="9">
        <f t="shared" si="62"/>
        <v>1270.6949999999999</v>
      </c>
    </row>
    <row r="1412" spans="1:9">
      <c r="A1412" s="11">
        <v>77493</v>
      </c>
      <c r="B1412" s="12">
        <f t="shared" si="60"/>
        <v>1270.6949999999999</v>
      </c>
      <c r="C1412" s="10"/>
      <c r="E1412" s="11">
        <v>77493</v>
      </c>
      <c r="F1412" s="9">
        <f t="shared" si="61"/>
        <v>1270.6949999999999</v>
      </c>
      <c r="H1412" s="11">
        <v>77493</v>
      </c>
      <c r="I1412" s="9">
        <f t="shared" si="62"/>
        <v>1270.6949999999999</v>
      </c>
    </row>
    <row r="1413" spans="1:9">
      <c r="A1413" s="11">
        <v>77524</v>
      </c>
      <c r="B1413" s="12">
        <f t="shared" si="60"/>
        <v>1270.6949999999999</v>
      </c>
      <c r="C1413" s="10"/>
      <c r="E1413" s="11">
        <v>77524</v>
      </c>
      <c r="F1413" s="9">
        <f t="shared" si="61"/>
        <v>1270.6949999999999</v>
      </c>
      <c r="H1413" s="11">
        <v>77524</v>
      </c>
      <c r="I1413" s="9">
        <f t="shared" si="62"/>
        <v>1270.6949999999999</v>
      </c>
    </row>
    <row r="1414" spans="1:9">
      <c r="A1414" s="11">
        <v>77554</v>
      </c>
      <c r="B1414" s="12">
        <f t="shared" si="60"/>
        <v>1270.6949999999999</v>
      </c>
      <c r="C1414" s="10"/>
      <c r="E1414" s="11">
        <v>77554</v>
      </c>
      <c r="F1414" s="9">
        <f t="shared" si="61"/>
        <v>1270.6949999999999</v>
      </c>
      <c r="H1414" s="11">
        <v>77554</v>
      </c>
      <c r="I1414" s="9">
        <f t="shared" si="62"/>
        <v>1270.6949999999999</v>
      </c>
    </row>
    <row r="1415" spans="1:9">
      <c r="A1415" s="11">
        <v>77585</v>
      </c>
      <c r="B1415" s="12">
        <f t="shared" si="60"/>
        <v>1270.6949999999999</v>
      </c>
      <c r="C1415" s="10"/>
      <c r="E1415" s="11">
        <v>77585</v>
      </c>
      <c r="F1415" s="9">
        <f t="shared" si="61"/>
        <v>1270.6949999999999</v>
      </c>
      <c r="H1415" s="11">
        <v>77585</v>
      </c>
      <c r="I1415" s="9">
        <f t="shared" si="62"/>
        <v>1270.6949999999999</v>
      </c>
    </row>
    <row r="1416" spans="1:9">
      <c r="A1416" s="11">
        <v>77615</v>
      </c>
      <c r="B1416" s="12">
        <f t="shared" si="60"/>
        <v>1270.6949999999999</v>
      </c>
      <c r="C1416" s="10"/>
      <c r="E1416" s="11">
        <v>77615</v>
      </c>
      <c r="F1416" s="9">
        <f t="shared" si="61"/>
        <v>1270.6949999999999</v>
      </c>
      <c r="H1416" s="11">
        <v>77615</v>
      </c>
      <c r="I1416" s="9">
        <f t="shared" si="62"/>
        <v>1270.6949999999999</v>
      </c>
    </row>
    <row r="1417" spans="1:9">
      <c r="A1417" s="11">
        <v>77646</v>
      </c>
      <c r="B1417" s="12">
        <f t="shared" si="60"/>
        <v>1270.6949999999999</v>
      </c>
      <c r="C1417" s="10"/>
      <c r="E1417" s="11">
        <v>77646</v>
      </c>
      <c r="F1417" s="9">
        <f t="shared" si="61"/>
        <v>1270.6949999999999</v>
      </c>
      <c r="H1417" s="11">
        <v>77646</v>
      </c>
      <c r="I1417" s="9">
        <f t="shared" si="62"/>
        <v>1270.6949999999999</v>
      </c>
    </row>
    <row r="1418" spans="1:9">
      <c r="A1418" s="11">
        <v>77677</v>
      </c>
      <c r="B1418" s="12">
        <f t="shared" si="60"/>
        <v>1270.6949999999999</v>
      </c>
      <c r="C1418" s="10"/>
      <c r="E1418" s="11">
        <v>77677</v>
      </c>
      <c r="F1418" s="9">
        <f t="shared" si="61"/>
        <v>1270.6949999999999</v>
      </c>
      <c r="H1418" s="11">
        <v>77677</v>
      </c>
      <c r="I1418" s="9">
        <f t="shared" si="62"/>
        <v>1270.6949999999999</v>
      </c>
    </row>
    <row r="1419" spans="1:9">
      <c r="A1419" s="11">
        <v>77707</v>
      </c>
      <c r="B1419" s="12">
        <f t="shared" si="60"/>
        <v>1270.6949999999999</v>
      </c>
      <c r="C1419" s="10"/>
      <c r="E1419" s="11">
        <v>77707</v>
      </c>
      <c r="F1419" s="9">
        <f t="shared" si="61"/>
        <v>1270.6949999999999</v>
      </c>
      <c r="H1419" s="11">
        <v>77707</v>
      </c>
      <c r="I1419" s="9">
        <f t="shared" si="62"/>
        <v>1270.6949999999999</v>
      </c>
    </row>
    <row r="1420" spans="1:9">
      <c r="A1420" s="11">
        <v>77738</v>
      </c>
      <c r="B1420" s="12">
        <f t="shared" si="60"/>
        <v>1270.6949999999999</v>
      </c>
      <c r="C1420" s="10"/>
      <c r="E1420" s="11">
        <v>77738</v>
      </c>
      <c r="F1420" s="9">
        <f t="shared" si="61"/>
        <v>1270.6949999999999</v>
      </c>
      <c r="H1420" s="11">
        <v>77738</v>
      </c>
      <c r="I1420" s="9">
        <f t="shared" si="62"/>
        <v>1270.6949999999999</v>
      </c>
    </row>
    <row r="1421" spans="1:9">
      <c r="A1421" s="11">
        <v>77768</v>
      </c>
      <c r="B1421" s="12">
        <f t="shared" si="60"/>
        <v>1270.6949999999999</v>
      </c>
      <c r="C1421" s="10"/>
      <c r="E1421" s="11">
        <v>77768</v>
      </c>
      <c r="F1421" s="9">
        <f t="shared" si="61"/>
        <v>1270.6949999999999</v>
      </c>
      <c r="H1421" s="11">
        <v>77768</v>
      </c>
      <c r="I1421" s="9">
        <f t="shared" si="62"/>
        <v>1270.6949999999999</v>
      </c>
    </row>
    <row r="1422" spans="1:9">
      <c r="A1422" s="11">
        <v>77799</v>
      </c>
      <c r="B1422" s="12">
        <f t="shared" si="60"/>
        <v>1270.6949999999999</v>
      </c>
      <c r="C1422" s="10"/>
      <c r="E1422" s="11">
        <v>77799</v>
      </c>
      <c r="F1422" s="9">
        <f t="shared" si="61"/>
        <v>1270.6949999999999</v>
      </c>
      <c r="H1422" s="11">
        <v>77799</v>
      </c>
      <c r="I1422" s="9">
        <f t="shared" si="62"/>
        <v>1270.6949999999999</v>
      </c>
    </row>
    <row r="1423" spans="1:9">
      <c r="A1423" s="11">
        <v>77830</v>
      </c>
      <c r="B1423" s="12">
        <f t="shared" si="60"/>
        <v>1270.6949999999999</v>
      </c>
      <c r="C1423" s="10"/>
      <c r="E1423" s="11">
        <v>77830</v>
      </c>
      <c r="F1423" s="9">
        <f t="shared" si="61"/>
        <v>1270.6949999999999</v>
      </c>
      <c r="H1423" s="11">
        <v>77830</v>
      </c>
      <c r="I1423" s="9">
        <f t="shared" si="62"/>
        <v>1270.6949999999999</v>
      </c>
    </row>
    <row r="1424" spans="1:9">
      <c r="A1424" s="11">
        <v>77858</v>
      </c>
      <c r="B1424" s="12">
        <f t="shared" si="60"/>
        <v>1270.6949999999999</v>
      </c>
      <c r="C1424" s="10"/>
      <c r="E1424" s="11">
        <v>77858</v>
      </c>
      <c r="F1424" s="9">
        <f t="shared" si="61"/>
        <v>1270.6949999999999</v>
      </c>
      <c r="H1424" s="11">
        <v>77858</v>
      </c>
      <c r="I1424" s="9">
        <f t="shared" si="62"/>
        <v>1270.6949999999999</v>
      </c>
    </row>
    <row r="1425" spans="1:9">
      <c r="A1425" s="11">
        <v>77889</v>
      </c>
      <c r="B1425" s="12">
        <f t="shared" si="60"/>
        <v>1270.6949999999999</v>
      </c>
      <c r="C1425" s="10"/>
      <c r="E1425" s="11">
        <v>77889</v>
      </c>
      <c r="F1425" s="9">
        <f t="shared" si="61"/>
        <v>1270.6949999999999</v>
      </c>
      <c r="H1425" s="11">
        <v>77889</v>
      </c>
      <c r="I1425" s="9">
        <f t="shared" si="62"/>
        <v>1270.6949999999999</v>
      </c>
    </row>
    <row r="1426" spans="1:9">
      <c r="A1426" s="11">
        <v>77919</v>
      </c>
      <c r="B1426" s="12">
        <f t="shared" si="60"/>
        <v>1270.6949999999999</v>
      </c>
      <c r="C1426" s="10"/>
      <c r="E1426" s="11">
        <v>77919</v>
      </c>
      <c r="F1426" s="9">
        <f t="shared" si="61"/>
        <v>1270.6949999999999</v>
      </c>
      <c r="H1426" s="11">
        <v>77919</v>
      </c>
      <c r="I1426" s="9">
        <f t="shared" si="62"/>
        <v>1270.6949999999999</v>
      </c>
    </row>
    <row r="1427" spans="1:9">
      <c r="A1427" s="11">
        <v>77950</v>
      </c>
      <c r="B1427" s="12">
        <f t="shared" si="60"/>
        <v>1270.6949999999999</v>
      </c>
      <c r="C1427" s="10"/>
      <c r="E1427" s="11">
        <v>77950</v>
      </c>
      <c r="F1427" s="9">
        <f t="shared" si="61"/>
        <v>1270.6949999999999</v>
      </c>
      <c r="H1427" s="11">
        <v>77950</v>
      </c>
      <c r="I1427" s="9">
        <f t="shared" si="62"/>
        <v>1270.6949999999999</v>
      </c>
    </row>
    <row r="1428" spans="1:9">
      <c r="A1428" s="11">
        <v>77980</v>
      </c>
      <c r="B1428" s="12">
        <f t="shared" si="60"/>
        <v>1270.6949999999999</v>
      </c>
      <c r="C1428" s="10"/>
      <c r="E1428" s="11">
        <v>77980</v>
      </c>
      <c r="F1428" s="9">
        <f t="shared" si="61"/>
        <v>1270.6949999999999</v>
      </c>
      <c r="H1428" s="11">
        <v>77980</v>
      </c>
      <c r="I1428" s="9">
        <f t="shared" si="62"/>
        <v>1270.6949999999999</v>
      </c>
    </row>
    <row r="1429" spans="1:9">
      <c r="A1429" s="11">
        <v>78011</v>
      </c>
      <c r="B1429" s="12">
        <f t="shared" si="60"/>
        <v>1270.6949999999999</v>
      </c>
      <c r="C1429" s="10"/>
      <c r="E1429" s="11">
        <v>78011</v>
      </c>
      <c r="F1429" s="9">
        <f t="shared" si="61"/>
        <v>1270.6949999999999</v>
      </c>
      <c r="H1429" s="11">
        <v>78011</v>
      </c>
      <c r="I1429" s="9">
        <f t="shared" si="62"/>
        <v>1270.6949999999999</v>
      </c>
    </row>
    <row r="1430" spans="1:9">
      <c r="A1430" s="11">
        <v>78042</v>
      </c>
      <c r="B1430" s="12">
        <f t="shared" si="60"/>
        <v>1270.6949999999999</v>
      </c>
      <c r="C1430" s="10"/>
      <c r="E1430" s="11">
        <v>78042</v>
      </c>
      <c r="F1430" s="9">
        <f t="shared" si="61"/>
        <v>1270.6949999999999</v>
      </c>
      <c r="H1430" s="11">
        <v>78042</v>
      </c>
      <c r="I1430" s="9">
        <f t="shared" si="62"/>
        <v>1270.6949999999999</v>
      </c>
    </row>
    <row r="1431" spans="1:9">
      <c r="A1431" s="11">
        <v>78072</v>
      </c>
      <c r="B1431" s="12">
        <f t="shared" si="60"/>
        <v>1270.6949999999999</v>
      </c>
      <c r="C1431" s="10"/>
      <c r="E1431" s="11">
        <v>78072</v>
      </c>
      <c r="F1431" s="9">
        <f t="shared" si="61"/>
        <v>1270.6949999999999</v>
      </c>
      <c r="H1431" s="11">
        <v>78072</v>
      </c>
      <c r="I1431" s="9">
        <f t="shared" si="62"/>
        <v>1270.6949999999999</v>
      </c>
    </row>
    <row r="1432" spans="1:9">
      <c r="A1432" s="11">
        <v>78103</v>
      </c>
      <c r="B1432" s="12">
        <f t="shared" si="60"/>
        <v>1270.6949999999999</v>
      </c>
      <c r="C1432" s="10"/>
      <c r="E1432" s="11">
        <v>78103</v>
      </c>
      <c r="F1432" s="9">
        <f t="shared" si="61"/>
        <v>1270.6949999999999</v>
      </c>
      <c r="H1432" s="11">
        <v>78103</v>
      </c>
      <c r="I1432" s="9">
        <f t="shared" si="62"/>
        <v>1270.6949999999999</v>
      </c>
    </row>
    <row r="1433" spans="1:9">
      <c r="A1433" s="11">
        <v>78133</v>
      </c>
      <c r="B1433" s="12">
        <f t="shared" si="60"/>
        <v>1270.6949999999999</v>
      </c>
      <c r="C1433" s="10"/>
      <c r="E1433" s="11">
        <v>78133</v>
      </c>
      <c r="F1433" s="9">
        <f t="shared" si="61"/>
        <v>1270.6949999999999</v>
      </c>
      <c r="H1433" s="11">
        <v>78133</v>
      </c>
      <c r="I1433" s="9">
        <f t="shared" si="62"/>
        <v>1270.6949999999999</v>
      </c>
    </row>
    <row r="1434" spans="1:9">
      <c r="A1434" s="11">
        <v>78164</v>
      </c>
      <c r="B1434" s="12">
        <f t="shared" si="60"/>
        <v>1270.6949999999999</v>
      </c>
      <c r="C1434" s="10"/>
      <c r="E1434" s="11">
        <v>78164</v>
      </c>
      <c r="F1434" s="9">
        <f t="shared" si="61"/>
        <v>1270.6949999999999</v>
      </c>
      <c r="H1434" s="11">
        <v>78164</v>
      </c>
      <c r="I1434" s="9">
        <f t="shared" si="62"/>
        <v>1270.6949999999999</v>
      </c>
    </row>
    <row r="1435" spans="1:9">
      <c r="A1435" s="11">
        <v>78195</v>
      </c>
      <c r="B1435" s="12">
        <f t="shared" si="60"/>
        <v>1270.6949999999999</v>
      </c>
      <c r="C1435" s="10"/>
      <c r="E1435" s="11">
        <v>78195</v>
      </c>
      <c r="F1435" s="9">
        <f t="shared" si="61"/>
        <v>1270.6949999999999</v>
      </c>
      <c r="H1435" s="11">
        <v>78195</v>
      </c>
      <c r="I1435" s="9">
        <f t="shared" si="62"/>
        <v>1270.6949999999999</v>
      </c>
    </row>
    <row r="1436" spans="1:9">
      <c r="A1436" s="11">
        <v>78223</v>
      </c>
      <c r="B1436" s="12">
        <f t="shared" si="60"/>
        <v>1270.6949999999999</v>
      </c>
      <c r="C1436" s="10"/>
      <c r="E1436" s="11">
        <v>78223</v>
      </c>
      <c r="F1436" s="9">
        <f t="shared" si="61"/>
        <v>1270.6949999999999</v>
      </c>
      <c r="H1436" s="11">
        <v>78223</v>
      </c>
      <c r="I1436" s="9">
        <f t="shared" si="62"/>
        <v>1270.6949999999999</v>
      </c>
    </row>
    <row r="1437" spans="1:9">
      <c r="A1437" s="11">
        <v>78254</v>
      </c>
      <c r="B1437" s="12">
        <f t="shared" si="60"/>
        <v>1270.6949999999999</v>
      </c>
      <c r="C1437" s="10"/>
      <c r="E1437" s="11">
        <v>78254</v>
      </c>
      <c r="F1437" s="9">
        <f t="shared" si="61"/>
        <v>1270.6949999999999</v>
      </c>
      <c r="H1437" s="11">
        <v>78254</v>
      </c>
      <c r="I1437" s="9">
        <f t="shared" si="62"/>
        <v>1270.6949999999999</v>
      </c>
    </row>
    <row r="1438" spans="1:9">
      <c r="A1438" s="11">
        <v>78284</v>
      </c>
      <c r="B1438" s="12">
        <f t="shared" si="60"/>
        <v>1270.6949999999999</v>
      </c>
      <c r="C1438" s="10"/>
      <c r="E1438" s="11">
        <v>78284</v>
      </c>
      <c r="F1438" s="9">
        <f t="shared" si="61"/>
        <v>1270.6949999999999</v>
      </c>
      <c r="H1438" s="11">
        <v>78284</v>
      </c>
      <c r="I1438" s="9">
        <f t="shared" si="62"/>
        <v>1270.6949999999999</v>
      </c>
    </row>
    <row r="1439" spans="1:9">
      <c r="A1439" s="11">
        <v>78315</v>
      </c>
      <c r="B1439" s="12">
        <f t="shared" si="60"/>
        <v>1270.6949999999999</v>
      </c>
      <c r="C1439" s="10"/>
      <c r="E1439" s="11">
        <v>78315</v>
      </c>
      <c r="F1439" s="9">
        <f t="shared" si="61"/>
        <v>1270.6949999999999</v>
      </c>
      <c r="H1439" s="11">
        <v>78315</v>
      </c>
      <c r="I1439" s="9">
        <f t="shared" si="62"/>
        <v>1270.6949999999999</v>
      </c>
    </row>
    <row r="1440" spans="1:9">
      <c r="A1440" s="11">
        <v>78345</v>
      </c>
      <c r="B1440" s="12">
        <f t="shared" si="60"/>
        <v>1270.6949999999999</v>
      </c>
      <c r="C1440" s="10"/>
      <c r="E1440" s="11">
        <v>78345</v>
      </c>
      <c r="F1440" s="9">
        <f t="shared" si="61"/>
        <v>1270.6949999999999</v>
      </c>
      <c r="H1440" s="11">
        <v>78345</v>
      </c>
      <c r="I1440" s="9">
        <f t="shared" si="62"/>
        <v>1270.6949999999999</v>
      </c>
    </row>
    <row r="1441" spans="1:9">
      <c r="A1441" s="11">
        <v>78376</v>
      </c>
      <c r="B1441" s="12">
        <f t="shared" ref="B1441:B1504" si="63">B1440</f>
        <v>1270.6949999999999</v>
      </c>
      <c r="C1441" s="10"/>
      <c r="E1441" s="11">
        <v>78376</v>
      </c>
      <c r="F1441" s="9">
        <f t="shared" si="61"/>
        <v>1270.6949999999999</v>
      </c>
      <c r="H1441" s="11">
        <v>78376</v>
      </c>
      <c r="I1441" s="9">
        <f t="shared" si="62"/>
        <v>1270.6949999999999</v>
      </c>
    </row>
    <row r="1442" spans="1:9">
      <c r="A1442" s="11">
        <v>78407</v>
      </c>
      <c r="B1442" s="12">
        <f t="shared" si="63"/>
        <v>1270.6949999999999</v>
      </c>
      <c r="C1442" s="10"/>
      <c r="E1442" s="11">
        <v>78407</v>
      </c>
      <c r="F1442" s="9">
        <f t="shared" si="61"/>
        <v>1270.6949999999999</v>
      </c>
      <c r="H1442" s="11">
        <v>78407</v>
      </c>
      <c r="I1442" s="9">
        <f t="shared" si="62"/>
        <v>1270.6949999999999</v>
      </c>
    </row>
    <row r="1443" spans="1:9">
      <c r="A1443" s="11">
        <v>78437</v>
      </c>
      <c r="B1443" s="12">
        <f t="shared" si="63"/>
        <v>1270.6949999999999</v>
      </c>
      <c r="C1443" s="10"/>
      <c r="E1443" s="11">
        <v>78437</v>
      </c>
      <c r="F1443" s="9">
        <f t="shared" si="61"/>
        <v>1270.6949999999999</v>
      </c>
      <c r="H1443" s="11">
        <v>78437</v>
      </c>
      <c r="I1443" s="9">
        <f t="shared" si="62"/>
        <v>1270.6949999999999</v>
      </c>
    </row>
    <row r="1444" spans="1:9">
      <c r="A1444" s="11">
        <v>78468</v>
      </c>
      <c r="B1444" s="12">
        <f t="shared" si="63"/>
        <v>1270.6949999999999</v>
      </c>
      <c r="C1444" s="10"/>
      <c r="E1444" s="11">
        <v>78468</v>
      </c>
      <c r="F1444" s="9">
        <f t="shared" si="61"/>
        <v>1270.6949999999999</v>
      </c>
      <c r="H1444" s="11">
        <v>78468</v>
      </c>
      <c r="I1444" s="9">
        <f t="shared" si="62"/>
        <v>1270.6949999999999</v>
      </c>
    </row>
    <row r="1445" spans="1:9">
      <c r="A1445" s="11">
        <v>78498</v>
      </c>
      <c r="B1445" s="12">
        <f t="shared" si="63"/>
        <v>1270.6949999999999</v>
      </c>
      <c r="C1445" s="10"/>
      <c r="E1445" s="11">
        <v>78498</v>
      </c>
      <c r="F1445" s="9">
        <f t="shared" si="61"/>
        <v>1270.6949999999999</v>
      </c>
      <c r="H1445" s="11">
        <v>78498</v>
      </c>
      <c r="I1445" s="9">
        <f t="shared" si="62"/>
        <v>1270.6949999999999</v>
      </c>
    </row>
    <row r="1446" spans="1:9">
      <c r="A1446" s="11">
        <v>78529</v>
      </c>
      <c r="B1446" s="12">
        <f t="shared" si="63"/>
        <v>1270.6949999999999</v>
      </c>
      <c r="C1446" s="10"/>
      <c r="E1446" s="11">
        <v>78529</v>
      </c>
      <c r="F1446" s="9">
        <f t="shared" si="61"/>
        <v>1270.6949999999999</v>
      </c>
      <c r="H1446" s="11">
        <v>78529</v>
      </c>
      <c r="I1446" s="9">
        <f t="shared" si="62"/>
        <v>1270.6949999999999</v>
      </c>
    </row>
    <row r="1447" spans="1:9">
      <c r="A1447" s="11">
        <v>78560</v>
      </c>
      <c r="B1447" s="12">
        <f t="shared" si="63"/>
        <v>1270.6949999999999</v>
      </c>
      <c r="C1447" s="10"/>
      <c r="E1447" s="11">
        <v>78560</v>
      </c>
      <c r="F1447" s="9">
        <f t="shared" si="61"/>
        <v>1270.6949999999999</v>
      </c>
      <c r="H1447" s="11">
        <v>78560</v>
      </c>
      <c r="I1447" s="9">
        <f t="shared" si="62"/>
        <v>1270.6949999999999</v>
      </c>
    </row>
    <row r="1448" spans="1:9">
      <c r="A1448" s="11">
        <v>78588</v>
      </c>
      <c r="B1448" s="12">
        <f t="shared" si="63"/>
        <v>1270.6949999999999</v>
      </c>
      <c r="C1448" s="10"/>
      <c r="E1448" s="11">
        <v>78588</v>
      </c>
      <c r="F1448" s="9">
        <f t="shared" si="61"/>
        <v>1270.6949999999999</v>
      </c>
      <c r="H1448" s="11">
        <v>78588</v>
      </c>
      <c r="I1448" s="9">
        <f t="shared" si="62"/>
        <v>1270.6949999999999</v>
      </c>
    </row>
    <row r="1449" spans="1:9">
      <c r="A1449" s="11">
        <v>78619</v>
      </c>
      <c r="B1449" s="12">
        <f t="shared" si="63"/>
        <v>1270.6949999999999</v>
      </c>
      <c r="C1449" s="10"/>
      <c r="E1449" s="11">
        <v>78619</v>
      </c>
      <c r="F1449" s="9">
        <f t="shared" si="61"/>
        <v>1270.6949999999999</v>
      </c>
      <c r="H1449" s="11">
        <v>78619</v>
      </c>
      <c r="I1449" s="9">
        <f t="shared" si="62"/>
        <v>1270.6949999999999</v>
      </c>
    </row>
    <row r="1450" spans="1:9">
      <c r="A1450" s="11">
        <v>78649</v>
      </c>
      <c r="B1450" s="12">
        <f t="shared" si="63"/>
        <v>1270.6949999999999</v>
      </c>
      <c r="C1450" s="10"/>
      <c r="E1450" s="11">
        <v>78649</v>
      </c>
      <c r="F1450" s="9">
        <f t="shared" si="61"/>
        <v>1270.6949999999999</v>
      </c>
      <c r="H1450" s="11">
        <v>78649</v>
      </c>
      <c r="I1450" s="9">
        <f t="shared" si="62"/>
        <v>1270.6949999999999</v>
      </c>
    </row>
    <row r="1451" spans="1:9">
      <c r="A1451" s="11">
        <v>78680</v>
      </c>
      <c r="B1451" s="12">
        <f t="shared" si="63"/>
        <v>1270.6949999999999</v>
      </c>
      <c r="C1451" s="10"/>
      <c r="E1451" s="11">
        <v>78680</v>
      </c>
      <c r="F1451" s="9">
        <f t="shared" ref="F1451:F1514" si="64">B1450</f>
        <v>1270.6949999999999</v>
      </c>
      <c r="H1451" s="11">
        <v>78680</v>
      </c>
      <c r="I1451" s="9">
        <f t="shared" ref="I1451:I1514" si="65">B1449</f>
        <v>1270.6949999999999</v>
      </c>
    </row>
    <row r="1452" spans="1:9">
      <c r="A1452" s="11">
        <v>78710</v>
      </c>
      <c r="B1452" s="12">
        <f t="shared" si="63"/>
        <v>1270.6949999999999</v>
      </c>
      <c r="C1452" s="10"/>
      <c r="E1452" s="11">
        <v>78710</v>
      </c>
      <c r="F1452" s="9">
        <f t="shared" si="64"/>
        <v>1270.6949999999999</v>
      </c>
      <c r="H1452" s="11">
        <v>78710</v>
      </c>
      <c r="I1452" s="9">
        <f t="shared" si="65"/>
        <v>1270.6949999999999</v>
      </c>
    </row>
    <row r="1453" spans="1:9">
      <c r="A1453" s="11">
        <v>78741</v>
      </c>
      <c r="B1453" s="12">
        <f t="shared" si="63"/>
        <v>1270.6949999999999</v>
      </c>
      <c r="C1453" s="10"/>
      <c r="E1453" s="11">
        <v>78741</v>
      </c>
      <c r="F1453" s="9">
        <f t="shared" si="64"/>
        <v>1270.6949999999999</v>
      </c>
      <c r="H1453" s="11">
        <v>78741</v>
      </c>
      <c r="I1453" s="9">
        <f t="shared" si="65"/>
        <v>1270.6949999999999</v>
      </c>
    </row>
    <row r="1454" spans="1:9">
      <c r="A1454" s="11">
        <v>78772</v>
      </c>
      <c r="B1454" s="12">
        <f t="shared" si="63"/>
        <v>1270.6949999999999</v>
      </c>
      <c r="C1454" s="10"/>
      <c r="E1454" s="11">
        <v>78772</v>
      </c>
      <c r="F1454" s="9">
        <f t="shared" si="64"/>
        <v>1270.6949999999999</v>
      </c>
      <c r="H1454" s="11">
        <v>78772</v>
      </c>
      <c r="I1454" s="9">
        <f t="shared" si="65"/>
        <v>1270.6949999999999</v>
      </c>
    </row>
    <row r="1455" spans="1:9">
      <c r="A1455" s="11">
        <v>78802</v>
      </c>
      <c r="B1455" s="12">
        <f t="shared" si="63"/>
        <v>1270.6949999999999</v>
      </c>
      <c r="C1455" s="10"/>
      <c r="E1455" s="11">
        <v>78802</v>
      </c>
      <c r="F1455" s="9">
        <f t="shared" si="64"/>
        <v>1270.6949999999999</v>
      </c>
      <c r="H1455" s="11">
        <v>78802</v>
      </c>
      <c r="I1455" s="9">
        <f t="shared" si="65"/>
        <v>1270.6949999999999</v>
      </c>
    </row>
    <row r="1456" spans="1:9">
      <c r="A1456" s="11">
        <v>78833</v>
      </c>
      <c r="B1456" s="12">
        <f t="shared" si="63"/>
        <v>1270.6949999999999</v>
      </c>
      <c r="C1456" s="10"/>
      <c r="E1456" s="11">
        <v>78833</v>
      </c>
      <c r="F1456" s="9">
        <f t="shared" si="64"/>
        <v>1270.6949999999999</v>
      </c>
      <c r="H1456" s="11">
        <v>78833</v>
      </c>
      <c r="I1456" s="9">
        <f t="shared" si="65"/>
        <v>1270.6949999999999</v>
      </c>
    </row>
    <row r="1457" spans="1:9">
      <c r="A1457" s="11">
        <v>78863</v>
      </c>
      <c r="B1457" s="12">
        <f t="shared" si="63"/>
        <v>1270.6949999999999</v>
      </c>
      <c r="C1457" s="10"/>
      <c r="E1457" s="11">
        <v>78863</v>
      </c>
      <c r="F1457" s="9">
        <f t="shared" si="64"/>
        <v>1270.6949999999999</v>
      </c>
      <c r="H1457" s="11">
        <v>78863</v>
      </c>
      <c r="I1457" s="9">
        <f t="shared" si="65"/>
        <v>1270.6949999999999</v>
      </c>
    </row>
    <row r="1458" spans="1:9">
      <c r="A1458" s="11">
        <v>78894</v>
      </c>
      <c r="B1458" s="12">
        <f t="shared" si="63"/>
        <v>1270.6949999999999</v>
      </c>
      <c r="C1458" s="10"/>
      <c r="E1458" s="11">
        <v>78894</v>
      </c>
      <c r="F1458" s="9">
        <f t="shared" si="64"/>
        <v>1270.6949999999999</v>
      </c>
      <c r="H1458" s="11">
        <v>78894</v>
      </c>
      <c r="I1458" s="9">
        <f t="shared" si="65"/>
        <v>1270.6949999999999</v>
      </c>
    </row>
    <row r="1459" spans="1:9">
      <c r="A1459" s="11">
        <v>78925</v>
      </c>
      <c r="B1459" s="12">
        <f t="shared" si="63"/>
        <v>1270.6949999999999</v>
      </c>
      <c r="C1459" s="10"/>
      <c r="E1459" s="11">
        <v>78925</v>
      </c>
      <c r="F1459" s="9">
        <f t="shared" si="64"/>
        <v>1270.6949999999999</v>
      </c>
      <c r="H1459" s="11">
        <v>78925</v>
      </c>
      <c r="I1459" s="9">
        <f t="shared" si="65"/>
        <v>1270.6949999999999</v>
      </c>
    </row>
    <row r="1460" spans="1:9">
      <c r="A1460" s="11">
        <v>78954</v>
      </c>
      <c r="B1460" s="12">
        <f t="shared" si="63"/>
        <v>1270.6949999999999</v>
      </c>
      <c r="C1460" s="10"/>
      <c r="E1460" s="11">
        <v>78954</v>
      </c>
      <c r="F1460" s="9">
        <f t="shared" si="64"/>
        <v>1270.6949999999999</v>
      </c>
      <c r="H1460" s="11">
        <v>78954</v>
      </c>
      <c r="I1460" s="9">
        <f t="shared" si="65"/>
        <v>1270.6949999999999</v>
      </c>
    </row>
    <row r="1461" spans="1:9">
      <c r="A1461" s="11">
        <v>78985</v>
      </c>
      <c r="B1461" s="12">
        <f t="shared" si="63"/>
        <v>1270.6949999999999</v>
      </c>
      <c r="C1461" s="10"/>
      <c r="E1461" s="11">
        <v>78985</v>
      </c>
      <c r="F1461" s="9">
        <f t="shared" si="64"/>
        <v>1270.6949999999999</v>
      </c>
      <c r="H1461" s="11">
        <v>78985</v>
      </c>
      <c r="I1461" s="9">
        <f t="shared" si="65"/>
        <v>1270.6949999999999</v>
      </c>
    </row>
    <row r="1462" spans="1:9">
      <c r="A1462" s="11">
        <v>79015</v>
      </c>
      <c r="B1462" s="12">
        <f t="shared" si="63"/>
        <v>1270.6949999999999</v>
      </c>
      <c r="C1462" s="10"/>
      <c r="E1462" s="11">
        <v>79015</v>
      </c>
      <c r="F1462" s="9">
        <f t="shared" si="64"/>
        <v>1270.6949999999999</v>
      </c>
      <c r="H1462" s="11">
        <v>79015</v>
      </c>
      <c r="I1462" s="9">
        <f t="shared" si="65"/>
        <v>1270.6949999999999</v>
      </c>
    </row>
    <row r="1463" spans="1:9">
      <c r="A1463" s="11">
        <v>79046</v>
      </c>
      <c r="B1463" s="12">
        <f t="shared" si="63"/>
        <v>1270.6949999999999</v>
      </c>
      <c r="C1463" s="10"/>
      <c r="E1463" s="11">
        <v>79046</v>
      </c>
      <c r="F1463" s="9">
        <f t="shared" si="64"/>
        <v>1270.6949999999999</v>
      </c>
      <c r="H1463" s="11">
        <v>79046</v>
      </c>
      <c r="I1463" s="9">
        <f t="shared" si="65"/>
        <v>1270.6949999999999</v>
      </c>
    </row>
    <row r="1464" spans="1:9">
      <c r="A1464" s="11">
        <v>79076</v>
      </c>
      <c r="B1464" s="12">
        <f t="shared" si="63"/>
        <v>1270.6949999999999</v>
      </c>
      <c r="C1464" s="10"/>
      <c r="E1464" s="11">
        <v>79076</v>
      </c>
      <c r="F1464" s="9">
        <f t="shared" si="64"/>
        <v>1270.6949999999999</v>
      </c>
      <c r="H1464" s="11">
        <v>79076</v>
      </c>
      <c r="I1464" s="9">
        <f t="shared" si="65"/>
        <v>1270.6949999999999</v>
      </c>
    </row>
    <row r="1465" spans="1:9">
      <c r="A1465" s="11">
        <v>79107</v>
      </c>
      <c r="B1465" s="12">
        <f t="shared" si="63"/>
        <v>1270.6949999999999</v>
      </c>
      <c r="C1465" s="10"/>
      <c r="E1465" s="11">
        <v>79107</v>
      </c>
      <c r="F1465" s="9">
        <f t="shared" si="64"/>
        <v>1270.6949999999999</v>
      </c>
      <c r="H1465" s="11">
        <v>79107</v>
      </c>
      <c r="I1465" s="9">
        <f t="shared" si="65"/>
        <v>1270.6949999999999</v>
      </c>
    </row>
    <row r="1466" spans="1:9">
      <c r="A1466" s="11">
        <v>79138</v>
      </c>
      <c r="B1466" s="12">
        <f t="shared" si="63"/>
        <v>1270.6949999999999</v>
      </c>
      <c r="C1466" s="10"/>
      <c r="E1466" s="11">
        <v>79138</v>
      </c>
      <c r="F1466" s="9">
        <f t="shared" si="64"/>
        <v>1270.6949999999999</v>
      </c>
      <c r="H1466" s="11">
        <v>79138</v>
      </c>
      <c r="I1466" s="9">
        <f t="shared" si="65"/>
        <v>1270.6949999999999</v>
      </c>
    </row>
    <row r="1467" spans="1:9">
      <c r="A1467" s="11">
        <v>79168</v>
      </c>
      <c r="B1467" s="12">
        <f t="shared" si="63"/>
        <v>1270.6949999999999</v>
      </c>
      <c r="C1467" s="10"/>
      <c r="E1467" s="11">
        <v>79168</v>
      </c>
      <c r="F1467" s="9">
        <f t="shared" si="64"/>
        <v>1270.6949999999999</v>
      </c>
      <c r="H1467" s="11">
        <v>79168</v>
      </c>
      <c r="I1467" s="9">
        <f t="shared" si="65"/>
        <v>1270.6949999999999</v>
      </c>
    </row>
    <row r="1468" spans="1:9">
      <c r="A1468" s="11">
        <v>79199</v>
      </c>
      <c r="B1468" s="12">
        <f t="shared" si="63"/>
        <v>1270.6949999999999</v>
      </c>
      <c r="C1468" s="10"/>
      <c r="E1468" s="11">
        <v>79199</v>
      </c>
      <c r="F1468" s="9">
        <f t="shared" si="64"/>
        <v>1270.6949999999999</v>
      </c>
      <c r="H1468" s="11">
        <v>79199</v>
      </c>
      <c r="I1468" s="9">
        <f t="shared" si="65"/>
        <v>1270.6949999999999</v>
      </c>
    </row>
    <row r="1469" spans="1:9">
      <c r="A1469" s="11">
        <v>79229</v>
      </c>
      <c r="B1469" s="12">
        <f t="shared" si="63"/>
        <v>1270.6949999999999</v>
      </c>
      <c r="C1469" s="10"/>
      <c r="E1469" s="11">
        <v>79229</v>
      </c>
      <c r="F1469" s="9">
        <f t="shared" si="64"/>
        <v>1270.6949999999999</v>
      </c>
      <c r="H1469" s="11">
        <v>79229</v>
      </c>
      <c r="I1469" s="9">
        <f t="shared" si="65"/>
        <v>1270.6949999999999</v>
      </c>
    </row>
    <row r="1470" spans="1:9">
      <c r="A1470" s="11">
        <v>79260</v>
      </c>
      <c r="B1470" s="12">
        <f t="shared" si="63"/>
        <v>1270.6949999999999</v>
      </c>
      <c r="C1470" s="10"/>
      <c r="E1470" s="11">
        <v>79260</v>
      </c>
      <c r="F1470" s="9">
        <f t="shared" si="64"/>
        <v>1270.6949999999999</v>
      </c>
      <c r="H1470" s="11">
        <v>79260</v>
      </c>
      <c r="I1470" s="9">
        <f t="shared" si="65"/>
        <v>1270.6949999999999</v>
      </c>
    </row>
    <row r="1471" spans="1:9">
      <c r="A1471" s="11">
        <v>79291</v>
      </c>
      <c r="B1471" s="12">
        <f t="shared" si="63"/>
        <v>1270.6949999999999</v>
      </c>
      <c r="C1471" s="10"/>
      <c r="E1471" s="11">
        <v>79291</v>
      </c>
      <c r="F1471" s="9">
        <f t="shared" si="64"/>
        <v>1270.6949999999999</v>
      </c>
      <c r="H1471" s="11">
        <v>79291</v>
      </c>
      <c r="I1471" s="9">
        <f t="shared" si="65"/>
        <v>1270.6949999999999</v>
      </c>
    </row>
    <row r="1472" spans="1:9">
      <c r="A1472" s="11">
        <v>79319</v>
      </c>
      <c r="B1472" s="12">
        <f t="shared" si="63"/>
        <v>1270.6949999999999</v>
      </c>
      <c r="C1472" s="10"/>
      <c r="E1472" s="11">
        <v>79319</v>
      </c>
      <c r="F1472" s="9">
        <f t="shared" si="64"/>
        <v>1270.6949999999999</v>
      </c>
      <c r="H1472" s="11">
        <v>79319</v>
      </c>
      <c r="I1472" s="9">
        <f t="shared" si="65"/>
        <v>1270.6949999999999</v>
      </c>
    </row>
    <row r="1473" spans="1:9">
      <c r="A1473" s="11">
        <v>79350</v>
      </c>
      <c r="B1473" s="12">
        <f t="shared" si="63"/>
        <v>1270.6949999999999</v>
      </c>
      <c r="C1473" s="10"/>
      <c r="E1473" s="11">
        <v>79350</v>
      </c>
      <c r="F1473" s="9">
        <f t="shared" si="64"/>
        <v>1270.6949999999999</v>
      </c>
      <c r="H1473" s="11">
        <v>79350</v>
      </c>
      <c r="I1473" s="9">
        <f t="shared" si="65"/>
        <v>1270.6949999999999</v>
      </c>
    </row>
    <row r="1474" spans="1:9">
      <c r="A1474" s="11">
        <v>79380</v>
      </c>
      <c r="B1474" s="12">
        <f t="shared" si="63"/>
        <v>1270.6949999999999</v>
      </c>
      <c r="C1474" s="10"/>
      <c r="E1474" s="11">
        <v>79380</v>
      </c>
      <c r="F1474" s="9">
        <f t="shared" si="64"/>
        <v>1270.6949999999999</v>
      </c>
      <c r="H1474" s="11">
        <v>79380</v>
      </c>
      <c r="I1474" s="9">
        <f t="shared" si="65"/>
        <v>1270.6949999999999</v>
      </c>
    </row>
    <row r="1475" spans="1:9">
      <c r="A1475" s="11">
        <v>79411</v>
      </c>
      <c r="B1475" s="12">
        <f t="shared" si="63"/>
        <v>1270.6949999999999</v>
      </c>
      <c r="C1475" s="10"/>
      <c r="E1475" s="11">
        <v>79411</v>
      </c>
      <c r="F1475" s="9">
        <f t="shared" si="64"/>
        <v>1270.6949999999999</v>
      </c>
      <c r="H1475" s="11">
        <v>79411</v>
      </c>
      <c r="I1475" s="9">
        <f t="shared" si="65"/>
        <v>1270.6949999999999</v>
      </c>
    </row>
    <row r="1476" spans="1:9">
      <c r="A1476" s="11">
        <v>79441</v>
      </c>
      <c r="B1476" s="12">
        <f t="shared" si="63"/>
        <v>1270.6949999999999</v>
      </c>
      <c r="C1476" s="10"/>
      <c r="E1476" s="11">
        <v>79441</v>
      </c>
      <c r="F1476" s="9">
        <f t="shared" si="64"/>
        <v>1270.6949999999999</v>
      </c>
      <c r="H1476" s="11">
        <v>79441</v>
      </c>
      <c r="I1476" s="9">
        <f t="shared" si="65"/>
        <v>1270.6949999999999</v>
      </c>
    </row>
    <row r="1477" spans="1:9">
      <c r="A1477" s="11">
        <v>79472</v>
      </c>
      <c r="B1477" s="12">
        <f t="shared" si="63"/>
        <v>1270.6949999999999</v>
      </c>
      <c r="C1477" s="10"/>
      <c r="E1477" s="11">
        <v>79472</v>
      </c>
      <c r="F1477" s="9">
        <f t="shared" si="64"/>
        <v>1270.6949999999999</v>
      </c>
      <c r="H1477" s="11">
        <v>79472</v>
      </c>
      <c r="I1477" s="9">
        <f t="shared" si="65"/>
        <v>1270.6949999999999</v>
      </c>
    </row>
    <row r="1478" spans="1:9">
      <c r="A1478" s="11">
        <v>79503</v>
      </c>
      <c r="B1478" s="12">
        <f t="shared" si="63"/>
        <v>1270.6949999999999</v>
      </c>
      <c r="C1478" s="10"/>
      <c r="E1478" s="11">
        <v>79503</v>
      </c>
      <c r="F1478" s="9">
        <f t="shared" si="64"/>
        <v>1270.6949999999999</v>
      </c>
      <c r="H1478" s="11">
        <v>79503</v>
      </c>
      <c r="I1478" s="9">
        <f t="shared" si="65"/>
        <v>1270.6949999999999</v>
      </c>
    </row>
    <row r="1479" spans="1:9">
      <c r="A1479" s="11">
        <v>79533</v>
      </c>
      <c r="B1479" s="12">
        <f t="shared" si="63"/>
        <v>1270.6949999999999</v>
      </c>
      <c r="C1479" s="10"/>
      <c r="E1479" s="11">
        <v>79533</v>
      </c>
      <c r="F1479" s="9">
        <f t="shared" si="64"/>
        <v>1270.6949999999999</v>
      </c>
      <c r="H1479" s="11">
        <v>79533</v>
      </c>
      <c r="I1479" s="9">
        <f t="shared" si="65"/>
        <v>1270.6949999999999</v>
      </c>
    </row>
    <row r="1480" spans="1:9">
      <c r="A1480" s="11">
        <v>79564</v>
      </c>
      <c r="B1480" s="12">
        <f t="shared" si="63"/>
        <v>1270.6949999999999</v>
      </c>
      <c r="C1480" s="10"/>
      <c r="E1480" s="11">
        <v>79564</v>
      </c>
      <c r="F1480" s="9">
        <f t="shared" si="64"/>
        <v>1270.6949999999999</v>
      </c>
      <c r="H1480" s="11">
        <v>79564</v>
      </c>
      <c r="I1480" s="9">
        <f t="shared" si="65"/>
        <v>1270.6949999999999</v>
      </c>
    </row>
    <row r="1481" spans="1:9">
      <c r="A1481" s="11">
        <v>79594</v>
      </c>
      <c r="B1481" s="12">
        <f t="shared" si="63"/>
        <v>1270.6949999999999</v>
      </c>
      <c r="C1481" s="10"/>
      <c r="E1481" s="11">
        <v>79594</v>
      </c>
      <c r="F1481" s="9">
        <f t="shared" si="64"/>
        <v>1270.6949999999999</v>
      </c>
      <c r="H1481" s="11">
        <v>79594</v>
      </c>
      <c r="I1481" s="9">
        <f t="shared" si="65"/>
        <v>1270.6949999999999</v>
      </c>
    </row>
    <row r="1482" spans="1:9">
      <c r="A1482" s="11">
        <v>79625</v>
      </c>
      <c r="B1482" s="12">
        <f t="shared" si="63"/>
        <v>1270.6949999999999</v>
      </c>
      <c r="C1482" s="10"/>
      <c r="E1482" s="11">
        <v>79625</v>
      </c>
      <c r="F1482" s="9">
        <f t="shared" si="64"/>
        <v>1270.6949999999999</v>
      </c>
      <c r="H1482" s="11">
        <v>79625</v>
      </c>
      <c r="I1482" s="9">
        <f t="shared" si="65"/>
        <v>1270.6949999999999</v>
      </c>
    </row>
    <row r="1483" spans="1:9">
      <c r="A1483" s="11">
        <v>79656</v>
      </c>
      <c r="B1483" s="12">
        <f t="shared" si="63"/>
        <v>1270.6949999999999</v>
      </c>
      <c r="C1483" s="10"/>
      <c r="E1483" s="11">
        <v>79656</v>
      </c>
      <c r="F1483" s="9">
        <f t="shared" si="64"/>
        <v>1270.6949999999999</v>
      </c>
      <c r="H1483" s="11">
        <v>79656</v>
      </c>
      <c r="I1483" s="9">
        <f t="shared" si="65"/>
        <v>1270.6949999999999</v>
      </c>
    </row>
    <row r="1484" spans="1:9">
      <c r="A1484" s="11">
        <v>79684</v>
      </c>
      <c r="B1484" s="12">
        <f t="shared" si="63"/>
        <v>1270.6949999999999</v>
      </c>
      <c r="C1484" s="10"/>
      <c r="E1484" s="11">
        <v>79684</v>
      </c>
      <c r="F1484" s="9">
        <f t="shared" si="64"/>
        <v>1270.6949999999999</v>
      </c>
      <c r="H1484" s="11">
        <v>79684</v>
      </c>
      <c r="I1484" s="9">
        <f t="shared" si="65"/>
        <v>1270.6949999999999</v>
      </c>
    </row>
    <row r="1485" spans="1:9">
      <c r="A1485" s="11">
        <v>79715</v>
      </c>
      <c r="B1485" s="12">
        <f t="shared" si="63"/>
        <v>1270.6949999999999</v>
      </c>
      <c r="C1485" s="10"/>
      <c r="E1485" s="11">
        <v>79715</v>
      </c>
      <c r="F1485" s="9">
        <f t="shared" si="64"/>
        <v>1270.6949999999999</v>
      </c>
      <c r="H1485" s="11">
        <v>79715</v>
      </c>
      <c r="I1485" s="9">
        <f t="shared" si="65"/>
        <v>1270.6949999999999</v>
      </c>
    </row>
    <row r="1486" spans="1:9">
      <c r="A1486" s="11">
        <v>79745</v>
      </c>
      <c r="B1486" s="12">
        <f t="shared" si="63"/>
        <v>1270.6949999999999</v>
      </c>
      <c r="C1486" s="10"/>
      <c r="E1486" s="11">
        <v>79745</v>
      </c>
      <c r="F1486" s="9">
        <f t="shared" si="64"/>
        <v>1270.6949999999999</v>
      </c>
      <c r="H1486" s="11">
        <v>79745</v>
      </c>
      <c r="I1486" s="9">
        <f t="shared" si="65"/>
        <v>1270.6949999999999</v>
      </c>
    </row>
    <row r="1487" spans="1:9">
      <c r="A1487" s="11">
        <v>79776</v>
      </c>
      <c r="B1487" s="12">
        <f t="shared" si="63"/>
        <v>1270.6949999999999</v>
      </c>
      <c r="C1487" s="10"/>
      <c r="E1487" s="11">
        <v>79776</v>
      </c>
      <c r="F1487" s="9">
        <f t="shared" si="64"/>
        <v>1270.6949999999999</v>
      </c>
      <c r="H1487" s="11">
        <v>79776</v>
      </c>
      <c r="I1487" s="9">
        <f t="shared" si="65"/>
        <v>1270.6949999999999</v>
      </c>
    </row>
    <row r="1488" spans="1:9">
      <c r="A1488" s="11">
        <v>79806</v>
      </c>
      <c r="B1488" s="12">
        <f t="shared" si="63"/>
        <v>1270.6949999999999</v>
      </c>
      <c r="C1488" s="10"/>
      <c r="E1488" s="11">
        <v>79806</v>
      </c>
      <c r="F1488" s="9">
        <f t="shared" si="64"/>
        <v>1270.6949999999999</v>
      </c>
      <c r="H1488" s="11">
        <v>79806</v>
      </c>
      <c r="I1488" s="9">
        <f t="shared" si="65"/>
        <v>1270.6949999999999</v>
      </c>
    </row>
    <row r="1489" spans="1:9">
      <c r="A1489" s="11">
        <v>79837</v>
      </c>
      <c r="B1489" s="12">
        <f t="shared" si="63"/>
        <v>1270.6949999999999</v>
      </c>
      <c r="C1489" s="10"/>
      <c r="E1489" s="11">
        <v>79837</v>
      </c>
      <c r="F1489" s="9">
        <f t="shared" si="64"/>
        <v>1270.6949999999999</v>
      </c>
      <c r="H1489" s="11">
        <v>79837</v>
      </c>
      <c r="I1489" s="9">
        <f t="shared" si="65"/>
        <v>1270.6949999999999</v>
      </c>
    </row>
    <row r="1490" spans="1:9">
      <c r="A1490" s="11">
        <v>79868</v>
      </c>
      <c r="B1490" s="12">
        <f t="shared" si="63"/>
        <v>1270.6949999999999</v>
      </c>
      <c r="C1490" s="10"/>
      <c r="E1490" s="11">
        <v>79868</v>
      </c>
      <c r="F1490" s="9">
        <f t="shared" si="64"/>
        <v>1270.6949999999999</v>
      </c>
      <c r="H1490" s="11">
        <v>79868</v>
      </c>
      <c r="I1490" s="9">
        <f t="shared" si="65"/>
        <v>1270.6949999999999</v>
      </c>
    </row>
    <row r="1491" spans="1:9">
      <c r="A1491" s="11">
        <v>79898</v>
      </c>
      <c r="B1491" s="12">
        <f t="shared" si="63"/>
        <v>1270.6949999999999</v>
      </c>
      <c r="C1491" s="10"/>
      <c r="E1491" s="11">
        <v>79898</v>
      </c>
      <c r="F1491" s="9">
        <f t="shared" si="64"/>
        <v>1270.6949999999999</v>
      </c>
      <c r="H1491" s="11">
        <v>79898</v>
      </c>
      <c r="I1491" s="9">
        <f t="shared" si="65"/>
        <v>1270.6949999999999</v>
      </c>
    </row>
    <row r="1492" spans="1:9">
      <c r="A1492" s="11">
        <v>79929</v>
      </c>
      <c r="B1492" s="12">
        <f t="shared" si="63"/>
        <v>1270.6949999999999</v>
      </c>
      <c r="C1492" s="10"/>
      <c r="E1492" s="11">
        <v>79929</v>
      </c>
      <c r="F1492" s="9">
        <f t="shared" si="64"/>
        <v>1270.6949999999999</v>
      </c>
      <c r="H1492" s="11">
        <v>79929</v>
      </c>
      <c r="I1492" s="9">
        <f t="shared" si="65"/>
        <v>1270.6949999999999</v>
      </c>
    </row>
    <row r="1493" spans="1:9">
      <c r="A1493" s="11">
        <v>79959</v>
      </c>
      <c r="B1493" s="12">
        <f t="shared" si="63"/>
        <v>1270.6949999999999</v>
      </c>
      <c r="C1493" s="10"/>
      <c r="E1493" s="11">
        <v>79959</v>
      </c>
      <c r="F1493" s="9">
        <f t="shared" si="64"/>
        <v>1270.6949999999999</v>
      </c>
      <c r="H1493" s="11">
        <v>79959</v>
      </c>
      <c r="I1493" s="9">
        <f t="shared" si="65"/>
        <v>1270.6949999999999</v>
      </c>
    </row>
    <row r="1494" spans="1:9">
      <c r="A1494" s="11">
        <v>79990</v>
      </c>
      <c r="B1494" s="12">
        <f t="shared" si="63"/>
        <v>1270.6949999999999</v>
      </c>
      <c r="C1494" s="10"/>
      <c r="E1494" s="11">
        <v>79990</v>
      </c>
      <c r="F1494" s="9">
        <f t="shared" si="64"/>
        <v>1270.6949999999999</v>
      </c>
      <c r="H1494" s="11">
        <v>79990</v>
      </c>
      <c r="I1494" s="9">
        <f t="shared" si="65"/>
        <v>1270.6949999999999</v>
      </c>
    </row>
    <row r="1495" spans="1:9">
      <c r="A1495" s="11">
        <v>80021</v>
      </c>
      <c r="B1495" s="12">
        <f t="shared" si="63"/>
        <v>1270.6949999999999</v>
      </c>
      <c r="C1495" s="10"/>
      <c r="E1495" s="11">
        <v>80021</v>
      </c>
      <c r="F1495" s="9">
        <f t="shared" si="64"/>
        <v>1270.6949999999999</v>
      </c>
      <c r="H1495" s="11">
        <v>80021</v>
      </c>
      <c r="I1495" s="9">
        <f t="shared" si="65"/>
        <v>1270.6949999999999</v>
      </c>
    </row>
    <row r="1496" spans="1:9">
      <c r="A1496" s="11">
        <v>80049</v>
      </c>
      <c r="B1496" s="12">
        <f t="shared" si="63"/>
        <v>1270.6949999999999</v>
      </c>
      <c r="C1496" s="10"/>
      <c r="E1496" s="11">
        <v>80049</v>
      </c>
      <c r="F1496" s="9">
        <f t="shared" si="64"/>
        <v>1270.6949999999999</v>
      </c>
      <c r="H1496" s="11">
        <v>80049</v>
      </c>
      <c r="I1496" s="9">
        <f t="shared" si="65"/>
        <v>1270.6949999999999</v>
      </c>
    </row>
    <row r="1497" spans="1:9">
      <c r="A1497" s="11">
        <v>80080</v>
      </c>
      <c r="B1497" s="12">
        <f t="shared" si="63"/>
        <v>1270.6949999999999</v>
      </c>
      <c r="C1497" s="10"/>
      <c r="E1497" s="11">
        <v>80080</v>
      </c>
      <c r="F1497" s="9">
        <f t="shared" si="64"/>
        <v>1270.6949999999999</v>
      </c>
      <c r="H1497" s="11">
        <v>80080</v>
      </c>
      <c r="I1497" s="9">
        <f t="shared" si="65"/>
        <v>1270.6949999999999</v>
      </c>
    </row>
    <row r="1498" spans="1:9">
      <c r="A1498" s="11">
        <v>80110</v>
      </c>
      <c r="B1498" s="12">
        <f t="shared" si="63"/>
        <v>1270.6949999999999</v>
      </c>
      <c r="C1498" s="10"/>
      <c r="E1498" s="11">
        <v>80110</v>
      </c>
      <c r="F1498" s="9">
        <f t="shared" si="64"/>
        <v>1270.6949999999999</v>
      </c>
      <c r="H1498" s="11">
        <v>80110</v>
      </c>
      <c r="I1498" s="9">
        <f t="shared" si="65"/>
        <v>1270.6949999999999</v>
      </c>
    </row>
    <row r="1499" spans="1:9">
      <c r="A1499" s="11">
        <v>80141</v>
      </c>
      <c r="B1499" s="12">
        <f t="shared" si="63"/>
        <v>1270.6949999999999</v>
      </c>
      <c r="C1499" s="10"/>
      <c r="E1499" s="11">
        <v>80141</v>
      </c>
      <c r="F1499" s="9">
        <f t="shared" si="64"/>
        <v>1270.6949999999999</v>
      </c>
      <c r="H1499" s="11">
        <v>80141</v>
      </c>
      <c r="I1499" s="9">
        <f t="shared" si="65"/>
        <v>1270.6949999999999</v>
      </c>
    </row>
    <row r="1500" spans="1:9">
      <c r="A1500" s="11">
        <v>80171</v>
      </c>
      <c r="B1500" s="12">
        <f t="shared" si="63"/>
        <v>1270.6949999999999</v>
      </c>
      <c r="C1500" s="10"/>
      <c r="E1500" s="11">
        <v>80171</v>
      </c>
      <c r="F1500" s="9">
        <f t="shared" si="64"/>
        <v>1270.6949999999999</v>
      </c>
      <c r="H1500" s="11">
        <v>80171</v>
      </c>
      <c r="I1500" s="9">
        <f t="shared" si="65"/>
        <v>1270.6949999999999</v>
      </c>
    </row>
    <row r="1501" spans="1:9">
      <c r="A1501" s="11">
        <v>80202</v>
      </c>
      <c r="B1501" s="12">
        <f t="shared" si="63"/>
        <v>1270.6949999999999</v>
      </c>
      <c r="C1501" s="10"/>
      <c r="E1501" s="11">
        <v>80202</v>
      </c>
      <c r="F1501" s="9">
        <f t="shared" si="64"/>
        <v>1270.6949999999999</v>
      </c>
      <c r="H1501" s="11">
        <v>80202</v>
      </c>
      <c r="I1501" s="9">
        <f t="shared" si="65"/>
        <v>1270.6949999999999</v>
      </c>
    </row>
    <row r="1502" spans="1:9">
      <c r="A1502" s="11">
        <v>80233</v>
      </c>
      <c r="B1502" s="12">
        <f t="shared" si="63"/>
        <v>1270.6949999999999</v>
      </c>
      <c r="C1502" s="10"/>
      <c r="E1502" s="11">
        <v>80233</v>
      </c>
      <c r="F1502" s="9">
        <f t="shared" si="64"/>
        <v>1270.6949999999999</v>
      </c>
      <c r="H1502" s="11">
        <v>80233</v>
      </c>
      <c r="I1502" s="9">
        <f t="shared" si="65"/>
        <v>1270.6949999999999</v>
      </c>
    </row>
    <row r="1503" spans="1:9">
      <c r="A1503" s="11">
        <v>80263</v>
      </c>
      <c r="B1503" s="12">
        <f t="shared" si="63"/>
        <v>1270.6949999999999</v>
      </c>
      <c r="C1503" s="10"/>
      <c r="E1503" s="11">
        <v>80263</v>
      </c>
      <c r="F1503" s="9">
        <f t="shared" si="64"/>
        <v>1270.6949999999999</v>
      </c>
      <c r="H1503" s="11">
        <v>80263</v>
      </c>
      <c r="I1503" s="9">
        <f t="shared" si="65"/>
        <v>1270.6949999999999</v>
      </c>
    </row>
    <row r="1504" spans="1:9">
      <c r="A1504" s="11">
        <v>80294</v>
      </c>
      <c r="B1504" s="12">
        <f t="shared" si="63"/>
        <v>1270.6949999999999</v>
      </c>
      <c r="C1504" s="10"/>
      <c r="E1504" s="11">
        <v>80294</v>
      </c>
      <c r="F1504" s="9">
        <f t="shared" si="64"/>
        <v>1270.6949999999999</v>
      </c>
      <c r="H1504" s="11">
        <v>80294</v>
      </c>
      <c r="I1504" s="9">
        <f t="shared" si="65"/>
        <v>1270.6949999999999</v>
      </c>
    </row>
    <row r="1505" spans="1:9">
      <c r="A1505" s="11">
        <v>80324</v>
      </c>
      <c r="B1505" s="12">
        <f t="shared" ref="B1505:B1568" si="66">B1504</f>
        <v>1270.6949999999999</v>
      </c>
      <c r="C1505" s="10"/>
      <c r="E1505" s="11">
        <v>80324</v>
      </c>
      <c r="F1505" s="9">
        <f t="shared" si="64"/>
        <v>1270.6949999999999</v>
      </c>
      <c r="H1505" s="11">
        <v>80324</v>
      </c>
      <c r="I1505" s="9">
        <f t="shared" si="65"/>
        <v>1270.6949999999999</v>
      </c>
    </row>
    <row r="1506" spans="1:9">
      <c r="A1506" s="11">
        <v>80355</v>
      </c>
      <c r="B1506" s="12">
        <f t="shared" si="66"/>
        <v>1270.6949999999999</v>
      </c>
      <c r="C1506" s="10"/>
      <c r="E1506" s="11">
        <v>80355</v>
      </c>
      <c r="F1506" s="9">
        <f t="shared" si="64"/>
        <v>1270.6949999999999</v>
      </c>
      <c r="H1506" s="11">
        <v>80355</v>
      </c>
      <c r="I1506" s="9">
        <f t="shared" si="65"/>
        <v>1270.6949999999999</v>
      </c>
    </row>
    <row r="1507" spans="1:9">
      <c r="A1507" s="11">
        <v>80386</v>
      </c>
      <c r="B1507" s="12">
        <f t="shared" si="66"/>
        <v>1270.6949999999999</v>
      </c>
      <c r="C1507" s="10"/>
      <c r="E1507" s="11">
        <v>80386</v>
      </c>
      <c r="F1507" s="9">
        <f t="shared" si="64"/>
        <v>1270.6949999999999</v>
      </c>
      <c r="H1507" s="11">
        <v>80386</v>
      </c>
      <c r="I1507" s="9">
        <f t="shared" si="65"/>
        <v>1270.6949999999999</v>
      </c>
    </row>
    <row r="1508" spans="1:9">
      <c r="A1508" s="11">
        <v>80415</v>
      </c>
      <c r="B1508" s="12">
        <f t="shared" si="66"/>
        <v>1270.6949999999999</v>
      </c>
      <c r="C1508" s="10"/>
      <c r="E1508" s="11">
        <v>80415</v>
      </c>
      <c r="F1508" s="9">
        <f t="shared" si="64"/>
        <v>1270.6949999999999</v>
      </c>
      <c r="H1508" s="11">
        <v>80415</v>
      </c>
      <c r="I1508" s="9">
        <f t="shared" si="65"/>
        <v>1270.6949999999999</v>
      </c>
    </row>
    <row r="1509" spans="1:9">
      <c r="A1509" s="11">
        <v>80446</v>
      </c>
      <c r="B1509" s="12">
        <f t="shared" si="66"/>
        <v>1270.6949999999999</v>
      </c>
      <c r="C1509" s="10"/>
      <c r="E1509" s="11">
        <v>80446</v>
      </c>
      <c r="F1509" s="9">
        <f t="shared" si="64"/>
        <v>1270.6949999999999</v>
      </c>
      <c r="H1509" s="11">
        <v>80446</v>
      </c>
      <c r="I1509" s="9">
        <f t="shared" si="65"/>
        <v>1270.6949999999999</v>
      </c>
    </row>
    <row r="1510" spans="1:9">
      <c r="A1510" s="11">
        <v>80476</v>
      </c>
      <c r="B1510" s="12">
        <f t="shared" si="66"/>
        <v>1270.6949999999999</v>
      </c>
      <c r="C1510" s="10"/>
      <c r="E1510" s="11">
        <v>80476</v>
      </c>
      <c r="F1510" s="9">
        <f t="shared" si="64"/>
        <v>1270.6949999999999</v>
      </c>
      <c r="H1510" s="11">
        <v>80476</v>
      </c>
      <c r="I1510" s="9">
        <f t="shared" si="65"/>
        <v>1270.6949999999999</v>
      </c>
    </row>
    <row r="1511" spans="1:9">
      <c r="A1511" s="11">
        <v>80507</v>
      </c>
      <c r="B1511" s="12">
        <f t="shared" si="66"/>
        <v>1270.6949999999999</v>
      </c>
      <c r="C1511" s="10"/>
      <c r="E1511" s="11">
        <v>80507</v>
      </c>
      <c r="F1511" s="9">
        <f t="shared" si="64"/>
        <v>1270.6949999999999</v>
      </c>
      <c r="H1511" s="11">
        <v>80507</v>
      </c>
      <c r="I1511" s="9">
        <f t="shared" si="65"/>
        <v>1270.6949999999999</v>
      </c>
    </row>
    <row r="1512" spans="1:9">
      <c r="A1512" s="11">
        <v>80537</v>
      </c>
      <c r="B1512" s="12">
        <f t="shared" si="66"/>
        <v>1270.6949999999999</v>
      </c>
      <c r="C1512" s="10"/>
      <c r="E1512" s="11">
        <v>80537</v>
      </c>
      <c r="F1512" s="9">
        <f t="shared" si="64"/>
        <v>1270.6949999999999</v>
      </c>
      <c r="H1512" s="11">
        <v>80537</v>
      </c>
      <c r="I1512" s="9">
        <f t="shared" si="65"/>
        <v>1270.6949999999999</v>
      </c>
    </row>
    <row r="1513" spans="1:9">
      <c r="A1513" s="11">
        <v>80568</v>
      </c>
      <c r="B1513" s="12">
        <f t="shared" si="66"/>
        <v>1270.6949999999999</v>
      </c>
      <c r="C1513" s="10"/>
      <c r="E1513" s="11">
        <v>80568</v>
      </c>
      <c r="F1513" s="9">
        <f t="shared" si="64"/>
        <v>1270.6949999999999</v>
      </c>
      <c r="H1513" s="11">
        <v>80568</v>
      </c>
      <c r="I1513" s="9">
        <f t="shared" si="65"/>
        <v>1270.6949999999999</v>
      </c>
    </row>
    <row r="1514" spans="1:9">
      <c r="A1514" s="11">
        <v>80599</v>
      </c>
      <c r="B1514" s="12">
        <f t="shared" si="66"/>
        <v>1270.6949999999999</v>
      </c>
      <c r="C1514" s="10"/>
      <c r="E1514" s="11">
        <v>80599</v>
      </c>
      <c r="F1514" s="9">
        <f t="shared" si="64"/>
        <v>1270.6949999999999</v>
      </c>
      <c r="H1514" s="11">
        <v>80599</v>
      </c>
      <c r="I1514" s="9">
        <f t="shared" si="65"/>
        <v>1270.6949999999999</v>
      </c>
    </row>
    <row r="1515" spans="1:9">
      <c r="A1515" s="11">
        <v>80629</v>
      </c>
      <c r="B1515" s="12">
        <f t="shared" si="66"/>
        <v>1270.6949999999999</v>
      </c>
      <c r="C1515" s="10"/>
      <c r="E1515" s="11">
        <v>80629</v>
      </c>
      <c r="F1515" s="9">
        <f t="shared" ref="F1515:F1578" si="67">B1514</f>
        <v>1270.6949999999999</v>
      </c>
      <c r="H1515" s="11">
        <v>80629</v>
      </c>
      <c r="I1515" s="9">
        <f t="shared" ref="I1515:I1578" si="68">B1513</f>
        <v>1270.6949999999999</v>
      </c>
    </row>
    <row r="1516" spans="1:9">
      <c r="A1516" s="11">
        <v>80660</v>
      </c>
      <c r="B1516" s="12">
        <f t="shared" si="66"/>
        <v>1270.6949999999999</v>
      </c>
      <c r="C1516" s="10"/>
      <c r="E1516" s="11">
        <v>80660</v>
      </c>
      <c r="F1516" s="9">
        <f t="shared" si="67"/>
        <v>1270.6949999999999</v>
      </c>
      <c r="H1516" s="11">
        <v>80660</v>
      </c>
      <c r="I1516" s="9">
        <f t="shared" si="68"/>
        <v>1270.6949999999999</v>
      </c>
    </row>
    <row r="1517" spans="1:9">
      <c r="A1517" s="11">
        <v>80690</v>
      </c>
      <c r="B1517" s="12">
        <f t="shared" si="66"/>
        <v>1270.6949999999999</v>
      </c>
      <c r="C1517" s="10"/>
      <c r="E1517" s="11">
        <v>80690</v>
      </c>
      <c r="F1517" s="9">
        <f t="shared" si="67"/>
        <v>1270.6949999999999</v>
      </c>
      <c r="H1517" s="11">
        <v>80690</v>
      </c>
      <c r="I1517" s="9">
        <f t="shared" si="68"/>
        <v>1270.6949999999999</v>
      </c>
    </row>
    <row r="1518" spans="1:9">
      <c r="A1518" s="11">
        <v>80721</v>
      </c>
      <c r="B1518" s="12">
        <f t="shared" si="66"/>
        <v>1270.6949999999999</v>
      </c>
      <c r="C1518" s="10"/>
      <c r="E1518" s="11">
        <v>80721</v>
      </c>
      <c r="F1518" s="9">
        <f t="shared" si="67"/>
        <v>1270.6949999999999</v>
      </c>
      <c r="H1518" s="11">
        <v>80721</v>
      </c>
      <c r="I1518" s="9">
        <f t="shared" si="68"/>
        <v>1270.6949999999999</v>
      </c>
    </row>
    <row r="1519" spans="1:9">
      <c r="A1519" s="11">
        <v>80752</v>
      </c>
      <c r="B1519" s="12">
        <f t="shared" si="66"/>
        <v>1270.6949999999999</v>
      </c>
      <c r="C1519" s="10"/>
      <c r="E1519" s="11">
        <v>80752</v>
      </c>
      <c r="F1519" s="9">
        <f t="shared" si="67"/>
        <v>1270.6949999999999</v>
      </c>
      <c r="H1519" s="11">
        <v>80752</v>
      </c>
      <c r="I1519" s="9">
        <f t="shared" si="68"/>
        <v>1270.6949999999999</v>
      </c>
    </row>
    <row r="1520" spans="1:9">
      <c r="A1520" s="11">
        <v>80780</v>
      </c>
      <c r="B1520" s="12">
        <f t="shared" si="66"/>
        <v>1270.6949999999999</v>
      </c>
      <c r="C1520" s="10"/>
      <c r="E1520" s="11">
        <v>80780</v>
      </c>
      <c r="F1520" s="9">
        <f t="shared" si="67"/>
        <v>1270.6949999999999</v>
      </c>
      <c r="H1520" s="11">
        <v>80780</v>
      </c>
      <c r="I1520" s="9">
        <f t="shared" si="68"/>
        <v>1270.6949999999999</v>
      </c>
    </row>
    <row r="1521" spans="1:9">
      <c r="A1521" s="11">
        <v>80811</v>
      </c>
      <c r="B1521" s="12">
        <f t="shared" si="66"/>
        <v>1270.6949999999999</v>
      </c>
      <c r="C1521" s="10"/>
      <c r="E1521" s="11">
        <v>80811</v>
      </c>
      <c r="F1521" s="9">
        <f t="shared" si="67"/>
        <v>1270.6949999999999</v>
      </c>
      <c r="H1521" s="11">
        <v>80811</v>
      </c>
      <c r="I1521" s="9">
        <f t="shared" si="68"/>
        <v>1270.6949999999999</v>
      </c>
    </row>
    <row r="1522" spans="1:9">
      <c r="A1522" s="11">
        <v>80841</v>
      </c>
      <c r="B1522" s="12">
        <f t="shared" si="66"/>
        <v>1270.6949999999999</v>
      </c>
      <c r="C1522" s="10"/>
      <c r="E1522" s="11">
        <v>80841</v>
      </c>
      <c r="F1522" s="9">
        <f t="shared" si="67"/>
        <v>1270.6949999999999</v>
      </c>
      <c r="H1522" s="11">
        <v>80841</v>
      </c>
      <c r="I1522" s="9">
        <f t="shared" si="68"/>
        <v>1270.6949999999999</v>
      </c>
    </row>
    <row r="1523" spans="1:9">
      <c r="A1523" s="11">
        <v>80872</v>
      </c>
      <c r="B1523" s="12">
        <f t="shared" si="66"/>
        <v>1270.6949999999999</v>
      </c>
      <c r="C1523" s="10"/>
      <c r="E1523" s="11">
        <v>80872</v>
      </c>
      <c r="F1523" s="9">
        <f t="shared" si="67"/>
        <v>1270.6949999999999</v>
      </c>
      <c r="H1523" s="11">
        <v>80872</v>
      </c>
      <c r="I1523" s="9">
        <f t="shared" si="68"/>
        <v>1270.6949999999999</v>
      </c>
    </row>
    <row r="1524" spans="1:9">
      <c r="A1524" s="11">
        <v>80902</v>
      </c>
      <c r="B1524" s="12">
        <f t="shared" si="66"/>
        <v>1270.6949999999999</v>
      </c>
      <c r="C1524" s="10"/>
      <c r="E1524" s="11">
        <v>80902</v>
      </c>
      <c r="F1524" s="9">
        <f t="shared" si="67"/>
        <v>1270.6949999999999</v>
      </c>
      <c r="H1524" s="11">
        <v>80902</v>
      </c>
      <c r="I1524" s="9">
        <f t="shared" si="68"/>
        <v>1270.6949999999999</v>
      </c>
    </row>
    <row r="1525" spans="1:9">
      <c r="A1525" s="11">
        <v>80933</v>
      </c>
      <c r="B1525" s="12">
        <f t="shared" si="66"/>
        <v>1270.6949999999999</v>
      </c>
      <c r="C1525" s="10"/>
      <c r="E1525" s="11">
        <v>80933</v>
      </c>
      <c r="F1525" s="9">
        <f t="shared" si="67"/>
        <v>1270.6949999999999</v>
      </c>
      <c r="H1525" s="11">
        <v>80933</v>
      </c>
      <c r="I1525" s="9">
        <f t="shared" si="68"/>
        <v>1270.6949999999999</v>
      </c>
    </row>
    <row r="1526" spans="1:9">
      <c r="A1526" s="11">
        <v>80964</v>
      </c>
      <c r="B1526" s="12">
        <f t="shared" si="66"/>
        <v>1270.6949999999999</v>
      </c>
      <c r="C1526" s="10"/>
      <c r="E1526" s="11">
        <v>80964</v>
      </c>
      <c r="F1526" s="9">
        <f t="shared" si="67"/>
        <v>1270.6949999999999</v>
      </c>
      <c r="H1526" s="11">
        <v>80964</v>
      </c>
      <c r="I1526" s="9">
        <f t="shared" si="68"/>
        <v>1270.6949999999999</v>
      </c>
    </row>
    <row r="1527" spans="1:9">
      <c r="A1527" s="11">
        <v>80994</v>
      </c>
      <c r="B1527" s="12">
        <f t="shared" si="66"/>
        <v>1270.6949999999999</v>
      </c>
      <c r="C1527" s="10"/>
      <c r="E1527" s="11">
        <v>80994</v>
      </c>
      <c r="F1527" s="9">
        <f t="shared" si="67"/>
        <v>1270.6949999999999</v>
      </c>
      <c r="H1527" s="11">
        <v>80994</v>
      </c>
      <c r="I1527" s="9">
        <f t="shared" si="68"/>
        <v>1270.6949999999999</v>
      </c>
    </row>
    <row r="1528" spans="1:9">
      <c r="A1528" s="11">
        <v>81025</v>
      </c>
      <c r="B1528" s="12">
        <f t="shared" si="66"/>
        <v>1270.6949999999999</v>
      </c>
      <c r="C1528" s="10"/>
      <c r="E1528" s="11">
        <v>81025</v>
      </c>
      <c r="F1528" s="9">
        <f t="shared" si="67"/>
        <v>1270.6949999999999</v>
      </c>
      <c r="H1528" s="11">
        <v>81025</v>
      </c>
      <c r="I1528" s="9">
        <f t="shared" si="68"/>
        <v>1270.6949999999999</v>
      </c>
    </row>
    <row r="1529" spans="1:9">
      <c r="A1529" s="11">
        <v>81055</v>
      </c>
      <c r="B1529" s="12">
        <f t="shared" si="66"/>
        <v>1270.6949999999999</v>
      </c>
      <c r="C1529" s="10"/>
      <c r="E1529" s="11">
        <v>81055</v>
      </c>
      <c r="F1529" s="9">
        <f t="shared" si="67"/>
        <v>1270.6949999999999</v>
      </c>
      <c r="H1529" s="11">
        <v>81055</v>
      </c>
      <c r="I1529" s="9">
        <f t="shared" si="68"/>
        <v>1270.6949999999999</v>
      </c>
    </row>
    <row r="1530" spans="1:9">
      <c r="A1530" s="11">
        <v>81086</v>
      </c>
      <c r="B1530" s="12">
        <f t="shared" si="66"/>
        <v>1270.6949999999999</v>
      </c>
      <c r="C1530" s="10"/>
      <c r="E1530" s="11">
        <v>81086</v>
      </c>
      <c r="F1530" s="9">
        <f t="shared" si="67"/>
        <v>1270.6949999999999</v>
      </c>
      <c r="H1530" s="11">
        <v>81086</v>
      </c>
      <c r="I1530" s="9">
        <f t="shared" si="68"/>
        <v>1270.6949999999999</v>
      </c>
    </row>
    <row r="1531" spans="1:9">
      <c r="A1531" s="11">
        <v>81117</v>
      </c>
      <c r="B1531" s="12">
        <f t="shared" si="66"/>
        <v>1270.6949999999999</v>
      </c>
      <c r="C1531" s="10"/>
      <c r="E1531" s="11">
        <v>81117</v>
      </c>
      <c r="F1531" s="9">
        <f t="shared" si="67"/>
        <v>1270.6949999999999</v>
      </c>
      <c r="H1531" s="11">
        <v>81117</v>
      </c>
      <c r="I1531" s="9">
        <f t="shared" si="68"/>
        <v>1270.6949999999999</v>
      </c>
    </row>
    <row r="1532" spans="1:9">
      <c r="A1532" s="11">
        <v>81145</v>
      </c>
      <c r="B1532" s="12">
        <f t="shared" si="66"/>
        <v>1270.6949999999999</v>
      </c>
      <c r="C1532" s="10"/>
      <c r="E1532" s="11">
        <v>81145</v>
      </c>
      <c r="F1532" s="9">
        <f t="shared" si="67"/>
        <v>1270.6949999999999</v>
      </c>
      <c r="H1532" s="11">
        <v>81145</v>
      </c>
      <c r="I1532" s="9">
        <f t="shared" si="68"/>
        <v>1270.6949999999999</v>
      </c>
    </row>
    <row r="1533" spans="1:9">
      <c r="A1533" s="11">
        <v>81176</v>
      </c>
      <c r="B1533" s="12">
        <f t="shared" si="66"/>
        <v>1270.6949999999999</v>
      </c>
      <c r="C1533" s="10"/>
      <c r="E1533" s="11">
        <v>81176</v>
      </c>
      <c r="F1533" s="9">
        <f t="shared" si="67"/>
        <v>1270.6949999999999</v>
      </c>
      <c r="H1533" s="11">
        <v>81176</v>
      </c>
      <c r="I1533" s="9">
        <f t="shared" si="68"/>
        <v>1270.6949999999999</v>
      </c>
    </row>
    <row r="1534" spans="1:9">
      <c r="A1534" s="11">
        <v>81206</v>
      </c>
      <c r="B1534" s="12">
        <f t="shared" si="66"/>
        <v>1270.6949999999999</v>
      </c>
      <c r="C1534" s="10"/>
      <c r="E1534" s="11">
        <v>81206</v>
      </c>
      <c r="F1534" s="9">
        <f t="shared" si="67"/>
        <v>1270.6949999999999</v>
      </c>
      <c r="H1534" s="11">
        <v>81206</v>
      </c>
      <c r="I1534" s="9">
        <f t="shared" si="68"/>
        <v>1270.6949999999999</v>
      </c>
    </row>
    <row r="1535" spans="1:9">
      <c r="A1535" s="11">
        <v>81237</v>
      </c>
      <c r="B1535" s="12">
        <f t="shared" si="66"/>
        <v>1270.6949999999999</v>
      </c>
      <c r="C1535" s="10"/>
      <c r="E1535" s="11">
        <v>81237</v>
      </c>
      <c r="F1535" s="9">
        <f t="shared" si="67"/>
        <v>1270.6949999999999</v>
      </c>
      <c r="H1535" s="11">
        <v>81237</v>
      </c>
      <c r="I1535" s="9">
        <f t="shared" si="68"/>
        <v>1270.6949999999999</v>
      </c>
    </row>
    <row r="1536" spans="1:9">
      <c r="A1536" s="11">
        <v>81267</v>
      </c>
      <c r="B1536" s="12">
        <f t="shared" si="66"/>
        <v>1270.6949999999999</v>
      </c>
      <c r="C1536" s="10"/>
      <c r="E1536" s="11">
        <v>81267</v>
      </c>
      <c r="F1536" s="9">
        <f t="shared" si="67"/>
        <v>1270.6949999999999</v>
      </c>
      <c r="H1536" s="11">
        <v>81267</v>
      </c>
      <c r="I1536" s="9">
        <f t="shared" si="68"/>
        <v>1270.6949999999999</v>
      </c>
    </row>
    <row r="1537" spans="1:9">
      <c r="A1537" s="11">
        <v>81298</v>
      </c>
      <c r="B1537" s="12">
        <f t="shared" si="66"/>
        <v>1270.6949999999999</v>
      </c>
      <c r="C1537" s="10"/>
      <c r="E1537" s="11">
        <v>81298</v>
      </c>
      <c r="F1537" s="9">
        <f t="shared" si="67"/>
        <v>1270.6949999999999</v>
      </c>
      <c r="H1537" s="11">
        <v>81298</v>
      </c>
      <c r="I1537" s="9">
        <f t="shared" si="68"/>
        <v>1270.6949999999999</v>
      </c>
    </row>
    <row r="1538" spans="1:9">
      <c r="A1538" s="11">
        <v>81329</v>
      </c>
      <c r="B1538" s="12">
        <f t="shared" si="66"/>
        <v>1270.6949999999999</v>
      </c>
      <c r="C1538" s="10"/>
      <c r="E1538" s="11">
        <v>81329</v>
      </c>
      <c r="F1538" s="9">
        <f t="shared" si="67"/>
        <v>1270.6949999999999</v>
      </c>
      <c r="H1538" s="11">
        <v>81329</v>
      </c>
      <c r="I1538" s="9">
        <f t="shared" si="68"/>
        <v>1270.6949999999999</v>
      </c>
    </row>
    <row r="1539" spans="1:9">
      <c r="A1539" s="11">
        <v>81359</v>
      </c>
      <c r="B1539" s="12">
        <f t="shared" si="66"/>
        <v>1270.6949999999999</v>
      </c>
      <c r="C1539" s="10"/>
      <c r="E1539" s="11">
        <v>81359</v>
      </c>
      <c r="F1539" s="9">
        <f t="shared" si="67"/>
        <v>1270.6949999999999</v>
      </c>
      <c r="H1539" s="11">
        <v>81359</v>
      </c>
      <c r="I1539" s="9">
        <f t="shared" si="68"/>
        <v>1270.6949999999999</v>
      </c>
    </row>
    <row r="1540" spans="1:9">
      <c r="A1540" s="11">
        <v>81390</v>
      </c>
      <c r="B1540" s="12">
        <f t="shared" si="66"/>
        <v>1270.6949999999999</v>
      </c>
      <c r="C1540" s="10"/>
      <c r="E1540" s="11">
        <v>81390</v>
      </c>
      <c r="F1540" s="9">
        <f t="shared" si="67"/>
        <v>1270.6949999999999</v>
      </c>
      <c r="H1540" s="11">
        <v>81390</v>
      </c>
      <c r="I1540" s="9">
        <f t="shared" si="68"/>
        <v>1270.6949999999999</v>
      </c>
    </row>
    <row r="1541" spans="1:9">
      <c r="A1541" s="11">
        <v>81420</v>
      </c>
      <c r="B1541" s="12">
        <f t="shared" si="66"/>
        <v>1270.6949999999999</v>
      </c>
      <c r="C1541" s="10"/>
      <c r="E1541" s="11">
        <v>81420</v>
      </c>
      <c r="F1541" s="9">
        <f t="shared" si="67"/>
        <v>1270.6949999999999</v>
      </c>
      <c r="H1541" s="11">
        <v>81420</v>
      </c>
      <c r="I1541" s="9">
        <f t="shared" si="68"/>
        <v>1270.6949999999999</v>
      </c>
    </row>
    <row r="1542" spans="1:9">
      <c r="A1542" s="11">
        <v>81451</v>
      </c>
      <c r="B1542" s="12">
        <f t="shared" si="66"/>
        <v>1270.6949999999999</v>
      </c>
      <c r="C1542" s="10"/>
      <c r="E1542" s="11">
        <v>81451</v>
      </c>
      <c r="F1542" s="9">
        <f t="shared" si="67"/>
        <v>1270.6949999999999</v>
      </c>
      <c r="H1542" s="11">
        <v>81451</v>
      </c>
      <c r="I1542" s="9">
        <f t="shared" si="68"/>
        <v>1270.6949999999999</v>
      </c>
    </row>
    <row r="1543" spans="1:9">
      <c r="A1543" s="11">
        <v>81482</v>
      </c>
      <c r="B1543" s="12">
        <f t="shared" si="66"/>
        <v>1270.6949999999999</v>
      </c>
      <c r="C1543" s="10"/>
      <c r="E1543" s="11">
        <v>81482</v>
      </c>
      <c r="F1543" s="9">
        <f t="shared" si="67"/>
        <v>1270.6949999999999</v>
      </c>
      <c r="H1543" s="11">
        <v>81482</v>
      </c>
      <c r="I1543" s="9">
        <f t="shared" si="68"/>
        <v>1270.6949999999999</v>
      </c>
    </row>
    <row r="1544" spans="1:9">
      <c r="A1544" s="11">
        <v>81510</v>
      </c>
      <c r="B1544" s="12">
        <f t="shared" si="66"/>
        <v>1270.6949999999999</v>
      </c>
      <c r="C1544" s="10"/>
      <c r="E1544" s="11">
        <v>81510</v>
      </c>
      <c r="F1544" s="9">
        <f t="shared" si="67"/>
        <v>1270.6949999999999</v>
      </c>
      <c r="H1544" s="11">
        <v>81510</v>
      </c>
      <c r="I1544" s="9">
        <f t="shared" si="68"/>
        <v>1270.6949999999999</v>
      </c>
    </row>
    <row r="1545" spans="1:9">
      <c r="A1545" s="11">
        <v>81541</v>
      </c>
      <c r="B1545" s="12">
        <f t="shared" si="66"/>
        <v>1270.6949999999999</v>
      </c>
      <c r="C1545" s="10"/>
      <c r="E1545" s="11">
        <v>81541</v>
      </c>
      <c r="F1545" s="9">
        <f t="shared" si="67"/>
        <v>1270.6949999999999</v>
      </c>
      <c r="H1545" s="11">
        <v>81541</v>
      </c>
      <c r="I1545" s="9">
        <f t="shared" si="68"/>
        <v>1270.6949999999999</v>
      </c>
    </row>
    <row r="1546" spans="1:9">
      <c r="A1546" s="11">
        <v>81571</v>
      </c>
      <c r="B1546" s="12">
        <f t="shared" si="66"/>
        <v>1270.6949999999999</v>
      </c>
      <c r="C1546" s="10"/>
      <c r="E1546" s="11">
        <v>81571</v>
      </c>
      <c r="F1546" s="9">
        <f t="shared" si="67"/>
        <v>1270.6949999999999</v>
      </c>
      <c r="H1546" s="11">
        <v>81571</v>
      </c>
      <c r="I1546" s="9">
        <f t="shared" si="68"/>
        <v>1270.6949999999999</v>
      </c>
    </row>
    <row r="1547" spans="1:9">
      <c r="A1547" s="11">
        <v>81602</v>
      </c>
      <c r="B1547" s="12">
        <f t="shared" si="66"/>
        <v>1270.6949999999999</v>
      </c>
      <c r="C1547" s="10"/>
      <c r="E1547" s="11">
        <v>81602</v>
      </c>
      <c r="F1547" s="9">
        <f t="shared" si="67"/>
        <v>1270.6949999999999</v>
      </c>
      <c r="H1547" s="11">
        <v>81602</v>
      </c>
      <c r="I1547" s="9">
        <f t="shared" si="68"/>
        <v>1270.6949999999999</v>
      </c>
    </row>
    <row r="1548" spans="1:9">
      <c r="A1548" s="11">
        <v>81632</v>
      </c>
      <c r="B1548" s="12">
        <f t="shared" si="66"/>
        <v>1270.6949999999999</v>
      </c>
      <c r="C1548" s="10"/>
      <c r="E1548" s="11">
        <v>81632</v>
      </c>
      <c r="F1548" s="9">
        <f t="shared" si="67"/>
        <v>1270.6949999999999</v>
      </c>
      <c r="H1548" s="11">
        <v>81632</v>
      </c>
      <c r="I1548" s="9">
        <f t="shared" si="68"/>
        <v>1270.6949999999999</v>
      </c>
    </row>
    <row r="1549" spans="1:9">
      <c r="A1549" s="11">
        <v>81663</v>
      </c>
      <c r="B1549" s="12">
        <f t="shared" si="66"/>
        <v>1270.6949999999999</v>
      </c>
      <c r="C1549" s="10"/>
      <c r="E1549" s="11">
        <v>81663</v>
      </c>
      <c r="F1549" s="9">
        <f t="shared" si="67"/>
        <v>1270.6949999999999</v>
      </c>
      <c r="H1549" s="11">
        <v>81663</v>
      </c>
      <c r="I1549" s="9">
        <f t="shared" si="68"/>
        <v>1270.6949999999999</v>
      </c>
    </row>
    <row r="1550" spans="1:9">
      <c r="A1550" s="11">
        <v>81694</v>
      </c>
      <c r="B1550" s="12">
        <f t="shared" si="66"/>
        <v>1270.6949999999999</v>
      </c>
      <c r="C1550" s="10"/>
      <c r="E1550" s="11">
        <v>81694</v>
      </c>
      <c r="F1550" s="9">
        <f t="shared" si="67"/>
        <v>1270.6949999999999</v>
      </c>
      <c r="H1550" s="11">
        <v>81694</v>
      </c>
      <c r="I1550" s="9">
        <f t="shared" si="68"/>
        <v>1270.6949999999999</v>
      </c>
    </row>
    <row r="1551" spans="1:9">
      <c r="A1551" s="11">
        <v>81724</v>
      </c>
      <c r="B1551" s="12">
        <f t="shared" si="66"/>
        <v>1270.6949999999999</v>
      </c>
      <c r="C1551" s="10"/>
      <c r="E1551" s="11">
        <v>81724</v>
      </c>
      <c r="F1551" s="9">
        <f t="shared" si="67"/>
        <v>1270.6949999999999</v>
      </c>
      <c r="H1551" s="11">
        <v>81724</v>
      </c>
      <c r="I1551" s="9">
        <f t="shared" si="68"/>
        <v>1270.6949999999999</v>
      </c>
    </row>
    <row r="1552" spans="1:9">
      <c r="A1552" s="11">
        <v>81755</v>
      </c>
      <c r="B1552" s="12">
        <f t="shared" si="66"/>
        <v>1270.6949999999999</v>
      </c>
      <c r="C1552" s="10"/>
      <c r="E1552" s="11">
        <v>81755</v>
      </c>
      <c r="F1552" s="9">
        <f t="shared" si="67"/>
        <v>1270.6949999999999</v>
      </c>
      <c r="H1552" s="11">
        <v>81755</v>
      </c>
      <c r="I1552" s="9">
        <f t="shared" si="68"/>
        <v>1270.6949999999999</v>
      </c>
    </row>
    <row r="1553" spans="1:9">
      <c r="A1553" s="11">
        <v>81785</v>
      </c>
      <c r="B1553" s="12">
        <f t="shared" si="66"/>
        <v>1270.6949999999999</v>
      </c>
      <c r="C1553" s="10"/>
      <c r="E1553" s="11">
        <v>81785</v>
      </c>
      <c r="F1553" s="9">
        <f t="shared" si="67"/>
        <v>1270.6949999999999</v>
      </c>
      <c r="H1553" s="11">
        <v>81785</v>
      </c>
      <c r="I1553" s="9">
        <f t="shared" si="68"/>
        <v>1270.6949999999999</v>
      </c>
    </row>
    <row r="1554" spans="1:9">
      <c r="A1554" s="11">
        <v>81816</v>
      </c>
      <c r="B1554" s="12">
        <f t="shared" si="66"/>
        <v>1270.6949999999999</v>
      </c>
      <c r="C1554" s="10"/>
      <c r="E1554" s="11">
        <v>81816</v>
      </c>
      <c r="F1554" s="9">
        <f t="shared" si="67"/>
        <v>1270.6949999999999</v>
      </c>
      <c r="H1554" s="11">
        <v>81816</v>
      </c>
      <c r="I1554" s="9">
        <f t="shared" si="68"/>
        <v>1270.6949999999999</v>
      </c>
    </row>
    <row r="1555" spans="1:9">
      <c r="A1555" s="11">
        <v>81847</v>
      </c>
      <c r="B1555" s="12">
        <f t="shared" si="66"/>
        <v>1270.6949999999999</v>
      </c>
      <c r="C1555" s="10"/>
      <c r="E1555" s="11">
        <v>81847</v>
      </c>
      <c r="F1555" s="9">
        <f t="shared" si="67"/>
        <v>1270.6949999999999</v>
      </c>
      <c r="H1555" s="11">
        <v>81847</v>
      </c>
      <c r="I1555" s="9">
        <f t="shared" si="68"/>
        <v>1270.6949999999999</v>
      </c>
    </row>
    <row r="1556" spans="1:9">
      <c r="A1556" s="11">
        <v>81876</v>
      </c>
      <c r="B1556" s="12">
        <f t="shared" si="66"/>
        <v>1270.6949999999999</v>
      </c>
      <c r="C1556" s="10"/>
      <c r="E1556" s="11">
        <v>81876</v>
      </c>
      <c r="F1556" s="9">
        <f t="shared" si="67"/>
        <v>1270.6949999999999</v>
      </c>
      <c r="H1556" s="11">
        <v>81876</v>
      </c>
      <c r="I1556" s="9">
        <f t="shared" si="68"/>
        <v>1270.6949999999999</v>
      </c>
    </row>
    <row r="1557" spans="1:9">
      <c r="A1557" s="11">
        <v>81907</v>
      </c>
      <c r="B1557" s="12">
        <f t="shared" si="66"/>
        <v>1270.6949999999999</v>
      </c>
      <c r="C1557" s="10"/>
      <c r="E1557" s="11">
        <v>81907</v>
      </c>
      <c r="F1557" s="9">
        <f t="shared" si="67"/>
        <v>1270.6949999999999</v>
      </c>
      <c r="H1557" s="11">
        <v>81907</v>
      </c>
      <c r="I1557" s="9">
        <f t="shared" si="68"/>
        <v>1270.6949999999999</v>
      </c>
    </row>
    <row r="1558" spans="1:9">
      <c r="A1558" s="11">
        <v>81937</v>
      </c>
      <c r="B1558" s="12">
        <f t="shared" si="66"/>
        <v>1270.6949999999999</v>
      </c>
      <c r="C1558" s="10"/>
      <c r="E1558" s="11">
        <v>81937</v>
      </c>
      <c r="F1558" s="9">
        <f t="shared" si="67"/>
        <v>1270.6949999999999</v>
      </c>
      <c r="H1558" s="11">
        <v>81937</v>
      </c>
      <c r="I1558" s="9">
        <f t="shared" si="68"/>
        <v>1270.6949999999999</v>
      </c>
    </row>
    <row r="1559" spans="1:9">
      <c r="A1559" s="11">
        <v>81968</v>
      </c>
      <c r="B1559" s="12">
        <f t="shared" si="66"/>
        <v>1270.6949999999999</v>
      </c>
      <c r="C1559" s="10"/>
      <c r="E1559" s="11">
        <v>81968</v>
      </c>
      <c r="F1559" s="9">
        <f t="shared" si="67"/>
        <v>1270.6949999999999</v>
      </c>
      <c r="H1559" s="11">
        <v>81968</v>
      </c>
      <c r="I1559" s="9">
        <f t="shared" si="68"/>
        <v>1270.6949999999999</v>
      </c>
    </row>
    <row r="1560" spans="1:9">
      <c r="A1560" s="11">
        <v>81998</v>
      </c>
      <c r="B1560" s="12">
        <f t="shared" si="66"/>
        <v>1270.6949999999999</v>
      </c>
      <c r="C1560" s="10"/>
      <c r="E1560" s="11">
        <v>81998</v>
      </c>
      <c r="F1560" s="9">
        <f t="shared" si="67"/>
        <v>1270.6949999999999</v>
      </c>
      <c r="H1560" s="11">
        <v>81998</v>
      </c>
      <c r="I1560" s="9">
        <f t="shared" si="68"/>
        <v>1270.6949999999999</v>
      </c>
    </row>
    <row r="1561" spans="1:9">
      <c r="A1561" s="11">
        <v>82029</v>
      </c>
      <c r="B1561" s="12">
        <f t="shared" si="66"/>
        <v>1270.6949999999999</v>
      </c>
      <c r="C1561" s="10"/>
      <c r="E1561" s="11">
        <v>82029</v>
      </c>
      <c r="F1561" s="9">
        <f t="shared" si="67"/>
        <v>1270.6949999999999</v>
      </c>
      <c r="H1561" s="11">
        <v>82029</v>
      </c>
      <c r="I1561" s="9">
        <f t="shared" si="68"/>
        <v>1270.6949999999999</v>
      </c>
    </row>
    <row r="1562" spans="1:9">
      <c r="A1562" s="11">
        <v>82060</v>
      </c>
      <c r="B1562" s="12">
        <f t="shared" si="66"/>
        <v>1270.6949999999999</v>
      </c>
      <c r="C1562" s="10"/>
      <c r="E1562" s="11">
        <v>82060</v>
      </c>
      <c r="F1562" s="9">
        <f t="shared" si="67"/>
        <v>1270.6949999999999</v>
      </c>
      <c r="H1562" s="11">
        <v>82060</v>
      </c>
      <c r="I1562" s="9">
        <f t="shared" si="68"/>
        <v>1270.6949999999999</v>
      </c>
    </row>
    <row r="1563" spans="1:9">
      <c r="A1563" s="11">
        <v>82090</v>
      </c>
      <c r="B1563" s="12">
        <f t="shared" si="66"/>
        <v>1270.6949999999999</v>
      </c>
      <c r="C1563" s="10"/>
      <c r="E1563" s="11">
        <v>82090</v>
      </c>
      <c r="F1563" s="9">
        <f t="shared" si="67"/>
        <v>1270.6949999999999</v>
      </c>
      <c r="H1563" s="11">
        <v>82090</v>
      </c>
      <c r="I1563" s="9">
        <f t="shared" si="68"/>
        <v>1270.6949999999999</v>
      </c>
    </row>
    <row r="1564" spans="1:9">
      <c r="A1564" s="11">
        <v>82121</v>
      </c>
      <c r="B1564" s="12">
        <f t="shared" si="66"/>
        <v>1270.6949999999999</v>
      </c>
      <c r="C1564" s="10"/>
      <c r="E1564" s="11">
        <v>82121</v>
      </c>
      <c r="F1564" s="9">
        <f t="shared" si="67"/>
        <v>1270.6949999999999</v>
      </c>
      <c r="H1564" s="11">
        <v>82121</v>
      </c>
      <c r="I1564" s="9">
        <f t="shared" si="68"/>
        <v>1270.6949999999999</v>
      </c>
    </row>
    <row r="1565" spans="1:9">
      <c r="A1565" s="11">
        <v>82151</v>
      </c>
      <c r="B1565" s="12">
        <f t="shared" si="66"/>
        <v>1270.6949999999999</v>
      </c>
      <c r="C1565" s="10"/>
      <c r="E1565" s="11">
        <v>82151</v>
      </c>
      <c r="F1565" s="9">
        <f t="shared" si="67"/>
        <v>1270.6949999999999</v>
      </c>
      <c r="H1565" s="11">
        <v>82151</v>
      </c>
      <c r="I1565" s="9">
        <f t="shared" si="68"/>
        <v>1270.6949999999999</v>
      </c>
    </row>
    <row r="1566" spans="1:9">
      <c r="A1566" s="11">
        <v>82182</v>
      </c>
      <c r="B1566" s="12">
        <f t="shared" si="66"/>
        <v>1270.6949999999999</v>
      </c>
      <c r="C1566" s="10"/>
      <c r="E1566" s="11">
        <v>82182</v>
      </c>
      <c r="F1566" s="9">
        <f t="shared" si="67"/>
        <v>1270.6949999999999</v>
      </c>
      <c r="H1566" s="11">
        <v>82182</v>
      </c>
      <c r="I1566" s="9">
        <f t="shared" si="68"/>
        <v>1270.6949999999999</v>
      </c>
    </row>
    <row r="1567" spans="1:9">
      <c r="A1567" s="11">
        <v>82213</v>
      </c>
      <c r="B1567" s="12">
        <f t="shared" si="66"/>
        <v>1270.6949999999999</v>
      </c>
      <c r="C1567" s="10"/>
      <c r="E1567" s="11">
        <v>82213</v>
      </c>
      <c r="F1567" s="9">
        <f t="shared" si="67"/>
        <v>1270.6949999999999</v>
      </c>
      <c r="H1567" s="11">
        <v>82213</v>
      </c>
      <c r="I1567" s="9">
        <f t="shared" si="68"/>
        <v>1270.6949999999999</v>
      </c>
    </row>
    <row r="1568" spans="1:9">
      <c r="A1568" s="11">
        <v>82241</v>
      </c>
      <c r="B1568" s="12">
        <f t="shared" si="66"/>
        <v>1270.6949999999999</v>
      </c>
      <c r="C1568" s="10"/>
      <c r="E1568" s="11">
        <v>82241</v>
      </c>
      <c r="F1568" s="9">
        <f t="shared" si="67"/>
        <v>1270.6949999999999</v>
      </c>
      <c r="H1568" s="11">
        <v>82241</v>
      </c>
      <c r="I1568" s="9">
        <f t="shared" si="68"/>
        <v>1270.6949999999999</v>
      </c>
    </row>
    <row r="1569" spans="1:9">
      <c r="A1569" s="11">
        <v>82272</v>
      </c>
      <c r="B1569" s="12">
        <f t="shared" ref="B1569:B1611" si="69">B1568</f>
        <v>1270.6949999999999</v>
      </c>
      <c r="C1569" s="10"/>
      <c r="E1569" s="11">
        <v>82272</v>
      </c>
      <c r="F1569" s="9">
        <f t="shared" si="67"/>
        <v>1270.6949999999999</v>
      </c>
      <c r="H1569" s="11">
        <v>82272</v>
      </c>
      <c r="I1569" s="9">
        <f t="shared" si="68"/>
        <v>1270.6949999999999</v>
      </c>
    </row>
    <row r="1570" spans="1:9">
      <c r="A1570" s="11">
        <v>82302</v>
      </c>
      <c r="B1570" s="12">
        <f t="shared" si="69"/>
        <v>1270.6949999999999</v>
      </c>
      <c r="C1570" s="10"/>
      <c r="E1570" s="11">
        <v>82302</v>
      </c>
      <c r="F1570" s="9">
        <f t="shared" si="67"/>
        <v>1270.6949999999999</v>
      </c>
      <c r="H1570" s="11">
        <v>82302</v>
      </c>
      <c r="I1570" s="9">
        <f t="shared" si="68"/>
        <v>1270.6949999999999</v>
      </c>
    </row>
    <row r="1571" spans="1:9">
      <c r="A1571" s="11">
        <v>82333</v>
      </c>
      <c r="B1571" s="12">
        <f t="shared" si="69"/>
        <v>1270.6949999999999</v>
      </c>
      <c r="C1571" s="10"/>
      <c r="E1571" s="11">
        <v>82333</v>
      </c>
      <c r="F1571" s="9">
        <f t="shared" si="67"/>
        <v>1270.6949999999999</v>
      </c>
      <c r="H1571" s="11">
        <v>82333</v>
      </c>
      <c r="I1571" s="9">
        <f t="shared" si="68"/>
        <v>1270.6949999999999</v>
      </c>
    </row>
    <row r="1572" spans="1:9">
      <c r="A1572" s="11">
        <v>82363</v>
      </c>
      <c r="B1572" s="12">
        <f t="shared" si="69"/>
        <v>1270.6949999999999</v>
      </c>
      <c r="C1572" s="10"/>
      <c r="E1572" s="11">
        <v>82363</v>
      </c>
      <c r="F1572" s="9">
        <f t="shared" si="67"/>
        <v>1270.6949999999999</v>
      </c>
      <c r="H1572" s="11">
        <v>82363</v>
      </c>
      <c r="I1572" s="9">
        <f t="shared" si="68"/>
        <v>1270.6949999999999</v>
      </c>
    </row>
    <row r="1573" spans="1:9">
      <c r="A1573" s="11">
        <v>82394</v>
      </c>
      <c r="B1573" s="12">
        <f t="shared" si="69"/>
        <v>1270.6949999999999</v>
      </c>
      <c r="C1573" s="10"/>
      <c r="E1573" s="11">
        <v>82394</v>
      </c>
      <c r="F1573" s="9">
        <f t="shared" si="67"/>
        <v>1270.6949999999999</v>
      </c>
      <c r="H1573" s="11">
        <v>82394</v>
      </c>
      <c r="I1573" s="9">
        <f t="shared" si="68"/>
        <v>1270.6949999999999</v>
      </c>
    </row>
    <row r="1574" spans="1:9">
      <c r="A1574" s="11">
        <v>82425</v>
      </c>
      <c r="B1574" s="12">
        <f t="shared" si="69"/>
        <v>1270.6949999999999</v>
      </c>
      <c r="C1574" s="10"/>
      <c r="E1574" s="11">
        <v>82425</v>
      </c>
      <c r="F1574" s="9">
        <f t="shared" si="67"/>
        <v>1270.6949999999999</v>
      </c>
      <c r="H1574" s="11">
        <v>82425</v>
      </c>
      <c r="I1574" s="9">
        <f t="shared" si="68"/>
        <v>1270.6949999999999</v>
      </c>
    </row>
    <row r="1575" spans="1:9">
      <c r="A1575" s="11">
        <v>82455</v>
      </c>
      <c r="B1575" s="12">
        <f t="shared" si="69"/>
        <v>1270.6949999999999</v>
      </c>
      <c r="C1575" s="10"/>
      <c r="E1575" s="11">
        <v>82455</v>
      </c>
      <c r="F1575" s="9">
        <f t="shared" si="67"/>
        <v>1270.6949999999999</v>
      </c>
      <c r="H1575" s="11">
        <v>82455</v>
      </c>
      <c r="I1575" s="9">
        <f t="shared" si="68"/>
        <v>1270.6949999999999</v>
      </c>
    </row>
    <row r="1576" spans="1:9">
      <c r="A1576" s="11">
        <v>82486</v>
      </c>
      <c r="B1576" s="12">
        <f t="shared" si="69"/>
        <v>1270.6949999999999</v>
      </c>
      <c r="C1576" s="10"/>
      <c r="E1576" s="11">
        <v>82486</v>
      </c>
      <c r="F1576" s="9">
        <f t="shared" si="67"/>
        <v>1270.6949999999999</v>
      </c>
      <c r="H1576" s="11">
        <v>82486</v>
      </c>
      <c r="I1576" s="9">
        <f t="shared" si="68"/>
        <v>1270.6949999999999</v>
      </c>
    </row>
    <row r="1577" spans="1:9">
      <c r="A1577" s="11">
        <v>82516</v>
      </c>
      <c r="B1577" s="12">
        <f t="shared" si="69"/>
        <v>1270.6949999999999</v>
      </c>
      <c r="C1577" s="10"/>
      <c r="E1577" s="11">
        <v>82516</v>
      </c>
      <c r="F1577" s="9">
        <f t="shared" si="67"/>
        <v>1270.6949999999999</v>
      </c>
      <c r="H1577" s="11">
        <v>82516</v>
      </c>
      <c r="I1577" s="9">
        <f t="shared" si="68"/>
        <v>1270.6949999999999</v>
      </c>
    </row>
    <row r="1578" spans="1:9">
      <c r="A1578" s="11">
        <v>82547</v>
      </c>
      <c r="B1578" s="12">
        <f t="shared" si="69"/>
        <v>1270.6949999999999</v>
      </c>
      <c r="C1578" s="10"/>
      <c r="E1578" s="11">
        <v>82547</v>
      </c>
      <c r="F1578" s="9">
        <f t="shared" si="67"/>
        <v>1270.6949999999999</v>
      </c>
      <c r="H1578" s="11">
        <v>82547</v>
      </c>
      <c r="I1578" s="9">
        <f t="shared" si="68"/>
        <v>1270.6949999999999</v>
      </c>
    </row>
    <row r="1579" spans="1:9">
      <c r="A1579" s="11">
        <v>82578</v>
      </c>
      <c r="B1579" s="12">
        <f t="shared" si="69"/>
        <v>1270.6949999999999</v>
      </c>
      <c r="C1579" s="10"/>
      <c r="E1579" s="11">
        <v>82578</v>
      </c>
      <c r="F1579" s="9">
        <f t="shared" ref="F1579:F1611" si="70">B1578</f>
        <v>1270.6949999999999</v>
      </c>
      <c r="H1579" s="11">
        <v>82578</v>
      </c>
      <c r="I1579" s="9">
        <f t="shared" ref="I1579:I1611" si="71">B1577</f>
        <v>1270.6949999999999</v>
      </c>
    </row>
    <row r="1580" spans="1:9">
      <c r="A1580" s="11">
        <v>82606</v>
      </c>
      <c r="B1580" s="12">
        <f t="shared" si="69"/>
        <v>1270.6949999999999</v>
      </c>
      <c r="C1580" s="10"/>
      <c r="E1580" s="11">
        <v>82606</v>
      </c>
      <c r="F1580" s="9">
        <f t="shared" si="70"/>
        <v>1270.6949999999999</v>
      </c>
      <c r="H1580" s="11">
        <v>82606</v>
      </c>
      <c r="I1580" s="9">
        <f t="shared" si="71"/>
        <v>1270.6949999999999</v>
      </c>
    </row>
    <row r="1581" spans="1:9">
      <c r="A1581" s="11">
        <v>82637</v>
      </c>
      <c r="B1581" s="12">
        <f t="shared" si="69"/>
        <v>1270.6949999999999</v>
      </c>
      <c r="C1581" s="10"/>
      <c r="E1581" s="11">
        <v>82637</v>
      </c>
      <c r="F1581" s="9">
        <f t="shared" si="70"/>
        <v>1270.6949999999999</v>
      </c>
      <c r="H1581" s="11">
        <v>82637</v>
      </c>
      <c r="I1581" s="9">
        <f t="shared" si="71"/>
        <v>1270.6949999999999</v>
      </c>
    </row>
    <row r="1582" spans="1:9">
      <c r="A1582" s="11">
        <v>82667</v>
      </c>
      <c r="B1582" s="12">
        <f t="shared" si="69"/>
        <v>1270.6949999999999</v>
      </c>
      <c r="C1582" s="10"/>
      <c r="E1582" s="11">
        <v>82667</v>
      </c>
      <c r="F1582" s="9">
        <f t="shared" si="70"/>
        <v>1270.6949999999999</v>
      </c>
      <c r="H1582" s="11">
        <v>82667</v>
      </c>
      <c r="I1582" s="9">
        <f t="shared" si="71"/>
        <v>1270.6949999999999</v>
      </c>
    </row>
    <row r="1583" spans="1:9">
      <c r="A1583" s="11">
        <v>82698</v>
      </c>
      <c r="B1583" s="12">
        <f t="shared" si="69"/>
        <v>1270.6949999999999</v>
      </c>
      <c r="C1583" s="10"/>
      <c r="E1583" s="11">
        <v>82698</v>
      </c>
      <c r="F1583" s="9">
        <f t="shared" si="70"/>
        <v>1270.6949999999999</v>
      </c>
      <c r="H1583" s="11">
        <v>82698</v>
      </c>
      <c r="I1583" s="9">
        <f t="shared" si="71"/>
        <v>1270.6949999999999</v>
      </c>
    </row>
    <row r="1584" spans="1:9">
      <c r="A1584" s="11">
        <v>82728</v>
      </c>
      <c r="B1584" s="12">
        <f t="shared" si="69"/>
        <v>1270.6949999999999</v>
      </c>
      <c r="C1584" s="10"/>
      <c r="E1584" s="11">
        <v>82728</v>
      </c>
      <c r="F1584" s="9">
        <f t="shared" si="70"/>
        <v>1270.6949999999999</v>
      </c>
      <c r="H1584" s="11">
        <v>82728</v>
      </c>
      <c r="I1584" s="9">
        <f t="shared" si="71"/>
        <v>1270.6949999999999</v>
      </c>
    </row>
    <row r="1585" spans="1:9">
      <c r="A1585" s="11">
        <v>82759</v>
      </c>
      <c r="B1585" s="12">
        <f t="shared" si="69"/>
        <v>1270.6949999999999</v>
      </c>
      <c r="C1585" s="10"/>
      <c r="E1585" s="11">
        <v>82759</v>
      </c>
      <c r="F1585" s="9">
        <f t="shared" si="70"/>
        <v>1270.6949999999999</v>
      </c>
      <c r="H1585" s="11">
        <v>82759</v>
      </c>
      <c r="I1585" s="9">
        <f t="shared" si="71"/>
        <v>1270.6949999999999</v>
      </c>
    </row>
    <row r="1586" spans="1:9">
      <c r="A1586" s="11">
        <v>82790</v>
      </c>
      <c r="B1586" s="12">
        <f t="shared" si="69"/>
        <v>1270.6949999999999</v>
      </c>
      <c r="C1586" s="10"/>
      <c r="E1586" s="11">
        <v>82790</v>
      </c>
      <c r="F1586" s="9">
        <f t="shared" si="70"/>
        <v>1270.6949999999999</v>
      </c>
      <c r="H1586" s="11">
        <v>82790</v>
      </c>
      <c r="I1586" s="9">
        <f t="shared" si="71"/>
        <v>1270.6949999999999</v>
      </c>
    </row>
    <row r="1587" spans="1:9">
      <c r="A1587" s="11">
        <v>82820</v>
      </c>
      <c r="B1587" s="12">
        <f t="shared" si="69"/>
        <v>1270.6949999999999</v>
      </c>
      <c r="C1587" s="10"/>
      <c r="E1587" s="11">
        <v>82820</v>
      </c>
      <c r="F1587" s="9">
        <f t="shared" si="70"/>
        <v>1270.6949999999999</v>
      </c>
      <c r="H1587" s="11">
        <v>82820</v>
      </c>
      <c r="I1587" s="9">
        <f t="shared" si="71"/>
        <v>1270.6949999999999</v>
      </c>
    </row>
    <row r="1588" spans="1:9">
      <c r="A1588" s="11">
        <v>82851</v>
      </c>
      <c r="B1588" s="12">
        <f t="shared" si="69"/>
        <v>1270.6949999999999</v>
      </c>
      <c r="C1588" s="10"/>
      <c r="E1588" s="11">
        <v>82851</v>
      </c>
      <c r="F1588" s="9">
        <f t="shared" si="70"/>
        <v>1270.6949999999999</v>
      </c>
      <c r="H1588" s="11">
        <v>82851</v>
      </c>
      <c r="I1588" s="9">
        <f t="shared" si="71"/>
        <v>1270.6949999999999</v>
      </c>
    </row>
    <row r="1589" spans="1:9">
      <c r="A1589" s="11">
        <v>82881</v>
      </c>
      <c r="B1589" s="12">
        <f t="shared" si="69"/>
        <v>1270.6949999999999</v>
      </c>
      <c r="C1589" s="10"/>
      <c r="E1589" s="11">
        <v>82881</v>
      </c>
      <c r="F1589" s="9">
        <f t="shared" si="70"/>
        <v>1270.6949999999999</v>
      </c>
      <c r="H1589" s="11">
        <v>82881</v>
      </c>
      <c r="I1589" s="9">
        <f t="shared" si="71"/>
        <v>1270.6949999999999</v>
      </c>
    </row>
    <row r="1590" spans="1:9">
      <c r="A1590" s="11">
        <v>82912</v>
      </c>
      <c r="B1590" s="12">
        <f t="shared" si="69"/>
        <v>1270.6949999999999</v>
      </c>
      <c r="C1590" s="10"/>
      <c r="E1590" s="11">
        <v>82912</v>
      </c>
      <c r="F1590" s="9">
        <f t="shared" si="70"/>
        <v>1270.6949999999999</v>
      </c>
      <c r="H1590" s="11">
        <v>82912</v>
      </c>
      <c r="I1590" s="9">
        <f t="shared" si="71"/>
        <v>1270.6949999999999</v>
      </c>
    </row>
    <row r="1591" spans="1:9">
      <c r="A1591" s="11">
        <v>82943</v>
      </c>
      <c r="B1591" s="12">
        <f t="shared" si="69"/>
        <v>1270.6949999999999</v>
      </c>
      <c r="C1591" s="10"/>
      <c r="E1591" s="11">
        <v>82943</v>
      </c>
      <c r="F1591" s="9">
        <f t="shared" si="70"/>
        <v>1270.6949999999999</v>
      </c>
      <c r="H1591" s="11">
        <v>82943</v>
      </c>
      <c r="I1591" s="9">
        <f t="shared" si="71"/>
        <v>1270.6949999999999</v>
      </c>
    </row>
    <row r="1592" spans="1:9">
      <c r="A1592" s="11">
        <v>82971</v>
      </c>
      <c r="B1592" s="12">
        <f t="shared" si="69"/>
        <v>1270.6949999999999</v>
      </c>
      <c r="C1592" s="10"/>
      <c r="E1592" s="11">
        <v>82971</v>
      </c>
      <c r="F1592" s="9">
        <f t="shared" si="70"/>
        <v>1270.6949999999999</v>
      </c>
      <c r="H1592" s="11">
        <v>82971</v>
      </c>
      <c r="I1592" s="9">
        <f t="shared" si="71"/>
        <v>1270.6949999999999</v>
      </c>
    </row>
    <row r="1593" spans="1:9">
      <c r="A1593" s="11">
        <v>83002</v>
      </c>
      <c r="B1593" s="12">
        <f t="shared" si="69"/>
        <v>1270.6949999999999</v>
      </c>
      <c r="C1593" s="10"/>
      <c r="E1593" s="11">
        <v>83002</v>
      </c>
      <c r="F1593" s="9">
        <f t="shared" si="70"/>
        <v>1270.6949999999999</v>
      </c>
      <c r="H1593" s="11">
        <v>83002</v>
      </c>
      <c r="I1593" s="9">
        <f t="shared" si="71"/>
        <v>1270.6949999999999</v>
      </c>
    </row>
    <row r="1594" spans="1:9">
      <c r="A1594" s="11">
        <v>83032</v>
      </c>
      <c r="B1594" s="12">
        <f t="shared" si="69"/>
        <v>1270.6949999999999</v>
      </c>
      <c r="C1594" s="10"/>
      <c r="E1594" s="11">
        <v>83032</v>
      </c>
      <c r="F1594" s="9">
        <f t="shared" si="70"/>
        <v>1270.6949999999999</v>
      </c>
      <c r="H1594" s="11">
        <v>83032</v>
      </c>
      <c r="I1594" s="9">
        <f t="shared" si="71"/>
        <v>1270.6949999999999</v>
      </c>
    </row>
    <row r="1595" spans="1:9">
      <c r="A1595" s="11">
        <v>83063</v>
      </c>
      <c r="B1595" s="12">
        <f t="shared" si="69"/>
        <v>1270.6949999999999</v>
      </c>
      <c r="C1595" s="10"/>
      <c r="E1595" s="11">
        <v>83063</v>
      </c>
      <c r="F1595" s="9">
        <f t="shared" si="70"/>
        <v>1270.6949999999999</v>
      </c>
      <c r="H1595" s="11">
        <v>83063</v>
      </c>
      <c r="I1595" s="9">
        <f t="shared" si="71"/>
        <v>1270.6949999999999</v>
      </c>
    </row>
    <row r="1596" spans="1:9">
      <c r="A1596" s="11">
        <v>83093</v>
      </c>
      <c r="B1596" s="12">
        <f t="shared" si="69"/>
        <v>1270.6949999999999</v>
      </c>
      <c r="C1596" s="10"/>
      <c r="E1596" s="11">
        <v>83093</v>
      </c>
      <c r="F1596" s="9">
        <f t="shared" si="70"/>
        <v>1270.6949999999999</v>
      </c>
      <c r="H1596" s="11">
        <v>83093</v>
      </c>
      <c r="I1596" s="9">
        <f t="shared" si="71"/>
        <v>1270.6949999999999</v>
      </c>
    </row>
    <row r="1597" spans="1:9">
      <c r="A1597" s="11">
        <v>83124</v>
      </c>
      <c r="B1597" s="12">
        <f t="shared" si="69"/>
        <v>1270.6949999999999</v>
      </c>
      <c r="C1597" s="10"/>
      <c r="E1597" s="11">
        <v>83124</v>
      </c>
      <c r="F1597" s="9">
        <f t="shared" si="70"/>
        <v>1270.6949999999999</v>
      </c>
      <c r="H1597" s="11">
        <v>83124</v>
      </c>
      <c r="I1597" s="9">
        <f t="shared" si="71"/>
        <v>1270.6949999999999</v>
      </c>
    </row>
    <row r="1598" spans="1:9">
      <c r="A1598" s="11">
        <v>83155</v>
      </c>
      <c r="B1598" s="12">
        <f t="shared" si="69"/>
        <v>1270.6949999999999</v>
      </c>
      <c r="C1598" s="10"/>
      <c r="E1598" s="11">
        <v>83155</v>
      </c>
      <c r="F1598" s="9">
        <f t="shared" si="70"/>
        <v>1270.6949999999999</v>
      </c>
      <c r="H1598" s="11">
        <v>83155</v>
      </c>
      <c r="I1598" s="9">
        <f t="shared" si="71"/>
        <v>1270.6949999999999</v>
      </c>
    </row>
    <row r="1599" spans="1:9">
      <c r="A1599" s="11">
        <v>83185</v>
      </c>
      <c r="B1599" s="12">
        <f t="shared" si="69"/>
        <v>1270.6949999999999</v>
      </c>
      <c r="C1599" s="10"/>
      <c r="E1599" s="11">
        <v>83185</v>
      </c>
      <c r="F1599" s="9">
        <f t="shared" si="70"/>
        <v>1270.6949999999999</v>
      </c>
      <c r="H1599" s="11">
        <v>83185</v>
      </c>
      <c r="I1599" s="9">
        <f t="shared" si="71"/>
        <v>1270.6949999999999</v>
      </c>
    </row>
    <row r="1600" spans="1:9">
      <c r="A1600" s="11">
        <v>83216</v>
      </c>
      <c r="B1600" s="12">
        <f t="shared" si="69"/>
        <v>1270.6949999999999</v>
      </c>
      <c r="C1600" s="10"/>
      <c r="E1600" s="11">
        <v>83216</v>
      </c>
      <c r="F1600" s="9">
        <f t="shared" si="70"/>
        <v>1270.6949999999999</v>
      </c>
      <c r="H1600" s="11">
        <v>83216</v>
      </c>
      <c r="I1600" s="9">
        <f t="shared" si="71"/>
        <v>1270.6949999999999</v>
      </c>
    </row>
    <row r="1601" spans="1:9">
      <c r="A1601" s="11">
        <v>83246</v>
      </c>
      <c r="B1601" s="12">
        <f t="shared" si="69"/>
        <v>1270.6949999999999</v>
      </c>
      <c r="C1601" s="10"/>
      <c r="E1601" s="11">
        <v>83246</v>
      </c>
      <c r="F1601" s="9">
        <f t="shared" si="70"/>
        <v>1270.6949999999999</v>
      </c>
      <c r="H1601" s="11">
        <v>83246</v>
      </c>
      <c r="I1601" s="9">
        <f t="shared" si="71"/>
        <v>1270.6949999999999</v>
      </c>
    </row>
    <row r="1602" spans="1:9">
      <c r="A1602" s="11">
        <v>83277</v>
      </c>
      <c r="B1602" s="12">
        <f t="shared" si="69"/>
        <v>1270.6949999999999</v>
      </c>
      <c r="C1602" s="10"/>
      <c r="E1602" s="11">
        <v>83277</v>
      </c>
      <c r="F1602" s="9">
        <f t="shared" si="70"/>
        <v>1270.6949999999999</v>
      </c>
      <c r="H1602" s="11">
        <v>83277</v>
      </c>
      <c r="I1602" s="9">
        <f t="shared" si="71"/>
        <v>1270.6949999999999</v>
      </c>
    </row>
    <row r="1603" spans="1:9">
      <c r="A1603" s="11">
        <v>83308</v>
      </c>
      <c r="B1603" s="12">
        <f t="shared" si="69"/>
        <v>1270.6949999999999</v>
      </c>
      <c r="C1603" s="10"/>
      <c r="E1603" s="11">
        <v>83308</v>
      </c>
      <c r="F1603" s="9">
        <f t="shared" si="70"/>
        <v>1270.6949999999999</v>
      </c>
      <c r="H1603" s="11">
        <v>83308</v>
      </c>
      <c r="I1603" s="9">
        <f t="shared" si="71"/>
        <v>1270.6949999999999</v>
      </c>
    </row>
    <row r="1604" spans="1:9">
      <c r="A1604" s="11">
        <v>83337</v>
      </c>
      <c r="B1604" s="12">
        <f t="shared" si="69"/>
        <v>1270.6949999999999</v>
      </c>
      <c r="C1604" s="10"/>
      <c r="E1604" s="11">
        <v>83337</v>
      </c>
      <c r="F1604" s="9">
        <f t="shared" si="70"/>
        <v>1270.6949999999999</v>
      </c>
      <c r="H1604" s="11">
        <v>83337</v>
      </c>
      <c r="I1604" s="9">
        <f t="shared" si="71"/>
        <v>1270.6949999999999</v>
      </c>
    </row>
    <row r="1605" spans="1:9">
      <c r="A1605" s="11">
        <v>83368</v>
      </c>
      <c r="B1605" s="12">
        <f t="shared" si="69"/>
        <v>1270.6949999999999</v>
      </c>
      <c r="C1605" s="10"/>
      <c r="E1605" s="11">
        <v>83368</v>
      </c>
      <c r="F1605" s="9">
        <f t="shared" si="70"/>
        <v>1270.6949999999999</v>
      </c>
      <c r="H1605" s="11">
        <v>83368</v>
      </c>
      <c r="I1605" s="9">
        <f t="shared" si="71"/>
        <v>1270.6949999999999</v>
      </c>
    </row>
    <row r="1606" spans="1:9">
      <c r="A1606" s="11">
        <v>83398</v>
      </c>
      <c r="B1606" s="12">
        <f t="shared" si="69"/>
        <v>1270.6949999999999</v>
      </c>
      <c r="C1606" s="10"/>
      <c r="E1606" s="11">
        <v>83398</v>
      </c>
      <c r="F1606" s="9">
        <f t="shared" si="70"/>
        <v>1270.6949999999999</v>
      </c>
      <c r="H1606" s="11">
        <v>83398</v>
      </c>
      <c r="I1606" s="9">
        <f t="shared" si="71"/>
        <v>1270.6949999999999</v>
      </c>
    </row>
    <row r="1607" spans="1:9">
      <c r="A1607" s="11">
        <v>83429</v>
      </c>
      <c r="B1607" s="12">
        <f t="shared" si="69"/>
        <v>1270.6949999999999</v>
      </c>
      <c r="C1607" s="10"/>
      <c r="E1607" s="11">
        <v>83429</v>
      </c>
      <c r="F1607" s="9">
        <f t="shared" si="70"/>
        <v>1270.6949999999999</v>
      </c>
      <c r="H1607" s="11">
        <v>83429</v>
      </c>
      <c r="I1607" s="9">
        <f t="shared" si="71"/>
        <v>1270.6949999999999</v>
      </c>
    </row>
    <row r="1608" spans="1:9">
      <c r="A1608" s="11">
        <v>83459</v>
      </c>
      <c r="B1608" s="12">
        <f t="shared" si="69"/>
        <v>1270.6949999999999</v>
      </c>
      <c r="C1608" s="10"/>
      <c r="E1608" s="11">
        <v>83459</v>
      </c>
      <c r="F1608" s="9">
        <f t="shared" si="70"/>
        <v>1270.6949999999999</v>
      </c>
      <c r="H1608" s="11">
        <v>83459</v>
      </c>
      <c r="I1608" s="9">
        <f t="shared" si="71"/>
        <v>1270.6949999999999</v>
      </c>
    </row>
    <row r="1609" spans="1:9">
      <c r="A1609" s="11">
        <v>83490</v>
      </c>
      <c r="B1609" s="12">
        <f t="shared" si="69"/>
        <v>1270.6949999999999</v>
      </c>
      <c r="C1609" s="10"/>
      <c r="E1609" s="11">
        <v>83490</v>
      </c>
      <c r="F1609" s="9">
        <f t="shared" si="70"/>
        <v>1270.6949999999999</v>
      </c>
      <c r="H1609" s="11">
        <v>83490</v>
      </c>
      <c r="I1609" s="9">
        <f t="shared" si="71"/>
        <v>1270.6949999999999</v>
      </c>
    </row>
    <row r="1610" spans="1:9">
      <c r="A1610" s="11">
        <v>83521</v>
      </c>
      <c r="B1610" s="12">
        <f t="shared" si="69"/>
        <v>1270.6949999999999</v>
      </c>
      <c r="C1610" s="10"/>
      <c r="E1610" s="11">
        <v>83521</v>
      </c>
      <c r="F1610" s="9">
        <f t="shared" si="70"/>
        <v>1270.6949999999999</v>
      </c>
      <c r="H1610" s="11">
        <v>83521</v>
      </c>
      <c r="I1610" s="9">
        <f t="shared" si="71"/>
        <v>1270.6949999999999</v>
      </c>
    </row>
    <row r="1611" spans="1:9">
      <c r="A1611" s="11">
        <v>83551</v>
      </c>
      <c r="B1611" s="12">
        <f t="shared" si="69"/>
        <v>1270.6949999999999</v>
      </c>
      <c r="C1611" s="10"/>
      <c r="E1611" s="11">
        <v>83551</v>
      </c>
      <c r="F1611" s="9">
        <f t="shared" si="70"/>
        <v>1270.6949999999999</v>
      </c>
      <c r="H1611" s="11">
        <v>83551</v>
      </c>
      <c r="I1611" s="9">
        <f t="shared" si="71"/>
        <v>1270.6949999999999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DBD4-201F-4375-A285-631E5AA69450}">
  <dimension ref="A1:F1611"/>
  <sheetViews>
    <sheetView topLeftCell="A374" workbookViewId="0">
      <selection activeCell="B382" sqref="B382"/>
    </sheetView>
  </sheetViews>
  <sheetFormatPr defaultRowHeight="14.4"/>
  <cols>
    <col min="1" max="1" width="15.109375" bestFit="1" customWidth="1"/>
    <col min="2" max="2" width="9.109375" customWidth="1"/>
    <col min="5" max="5" width="15.109375" bestFit="1" customWidth="1"/>
  </cols>
  <sheetData>
    <row r="1" spans="1:6">
      <c r="A1" s="1">
        <v>34547</v>
      </c>
      <c r="B1" s="2">
        <v>100</v>
      </c>
      <c r="C1" s="3"/>
      <c r="E1" s="1">
        <v>34547</v>
      </c>
      <c r="F1" s="4">
        <f>B1</f>
        <v>100</v>
      </c>
    </row>
    <row r="2" spans="1:6">
      <c r="A2" s="1">
        <v>34578</v>
      </c>
      <c r="B2" s="2">
        <v>100.312</v>
      </c>
      <c r="C2" s="3"/>
      <c r="E2" s="1">
        <v>34578</v>
      </c>
      <c r="F2" s="4">
        <f>B1</f>
        <v>100</v>
      </c>
    </row>
    <row r="3" spans="1:6">
      <c r="A3" s="1">
        <v>34608</v>
      </c>
      <c r="B3" s="2">
        <v>101.19499999999999</v>
      </c>
      <c r="C3" s="3"/>
      <c r="E3" s="1">
        <v>34608</v>
      </c>
      <c r="F3" s="4">
        <f>B2</f>
        <v>100.312</v>
      </c>
    </row>
    <row r="4" spans="1:6">
      <c r="A4" s="1">
        <v>34639</v>
      </c>
      <c r="B4" s="2">
        <v>102.628</v>
      </c>
      <c r="C4" s="3"/>
      <c r="E4" s="1">
        <v>34639</v>
      </c>
      <c r="F4" s="4">
        <f t="shared" ref="F4:F66" si="0">B3</f>
        <v>101.19499999999999</v>
      </c>
    </row>
    <row r="5" spans="1:6">
      <c r="A5" s="1">
        <v>34669</v>
      </c>
      <c r="B5" s="2">
        <v>105.136</v>
      </c>
      <c r="C5" s="3"/>
      <c r="E5" s="1">
        <v>34669</v>
      </c>
      <c r="F5" s="4">
        <f t="shared" si="0"/>
        <v>102.628</v>
      </c>
    </row>
    <row r="6" spans="1:6">
      <c r="A6" s="1">
        <v>34700</v>
      </c>
      <c r="B6" s="2">
        <v>106.581</v>
      </c>
      <c r="C6" s="3"/>
      <c r="E6" s="1">
        <v>34700</v>
      </c>
      <c r="F6" s="4">
        <f t="shared" si="0"/>
        <v>105.136</v>
      </c>
    </row>
    <row r="7" spans="1:6">
      <c r="A7" s="1">
        <v>34731</v>
      </c>
      <c r="B7" s="2">
        <v>110.354</v>
      </c>
      <c r="C7" s="3"/>
      <c r="E7" s="1">
        <v>34731</v>
      </c>
      <c r="F7" s="4">
        <f t="shared" si="0"/>
        <v>106.581</v>
      </c>
    </row>
    <row r="8" spans="1:6">
      <c r="A8" s="1">
        <v>34759</v>
      </c>
      <c r="B8" s="2">
        <v>113.014</v>
      </c>
      <c r="C8" s="3"/>
      <c r="E8" s="1">
        <v>34759</v>
      </c>
      <c r="F8" s="4">
        <f t="shared" si="0"/>
        <v>110.354</v>
      </c>
    </row>
    <row r="9" spans="1:6">
      <c r="A9" s="1">
        <v>34790</v>
      </c>
      <c r="B9" s="2">
        <v>116.114</v>
      </c>
      <c r="C9" s="3"/>
      <c r="E9" s="1">
        <v>34790</v>
      </c>
      <c r="F9" s="4">
        <f t="shared" si="0"/>
        <v>113.014</v>
      </c>
    </row>
    <row r="10" spans="1:6">
      <c r="A10" s="1">
        <v>34820</v>
      </c>
      <c r="B10" s="2">
        <v>118.93600000000001</v>
      </c>
      <c r="C10" s="3"/>
      <c r="E10" s="1">
        <v>34820</v>
      </c>
      <c r="F10" s="4">
        <f t="shared" si="0"/>
        <v>116.114</v>
      </c>
    </row>
    <row r="11" spans="1:6">
      <c r="A11" s="1">
        <v>34851</v>
      </c>
      <c r="B11" s="2">
        <v>130.089</v>
      </c>
      <c r="C11" s="3"/>
      <c r="E11" s="1">
        <v>34851</v>
      </c>
      <c r="F11" s="4">
        <f t="shared" si="0"/>
        <v>118.93600000000001</v>
      </c>
    </row>
    <row r="12" spans="1:6">
      <c r="A12" s="1">
        <v>34881</v>
      </c>
      <c r="B12" s="2">
        <v>133.608</v>
      </c>
      <c r="C12" s="3"/>
      <c r="E12" s="1">
        <v>34881</v>
      </c>
      <c r="F12" s="4">
        <f t="shared" si="0"/>
        <v>130.089</v>
      </c>
    </row>
    <row r="13" spans="1:6">
      <c r="A13" s="1">
        <v>34912</v>
      </c>
      <c r="B13" s="2">
        <v>134.85599999999999</v>
      </c>
      <c r="C13" s="3"/>
      <c r="E13" s="1">
        <v>34912</v>
      </c>
      <c r="F13" s="4">
        <f t="shared" si="0"/>
        <v>133.608</v>
      </c>
    </row>
    <row r="14" spans="1:6">
      <c r="A14" s="1">
        <v>34943</v>
      </c>
      <c r="B14" s="2">
        <v>135.483</v>
      </c>
      <c r="C14" s="3"/>
      <c r="E14" s="1">
        <v>34943</v>
      </c>
      <c r="F14" s="4">
        <f t="shared" si="0"/>
        <v>134.85599999999999</v>
      </c>
    </row>
    <row r="15" spans="1:6">
      <c r="A15" s="1">
        <v>34973</v>
      </c>
      <c r="B15" s="2">
        <v>136.45599999999999</v>
      </c>
      <c r="C15" s="3"/>
      <c r="E15" s="1">
        <v>34973</v>
      </c>
      <c r="F15" s="4">
        <f t="shared" si="0"/>
        <v>135.483</v>
      </c>
    </row>
    <row r="16" spans="1:6">
      <c r="A16" s="1">
        <v>35004</v>
      </c>
      <c r="B16" s="2">
        <v>137.49299999999999</v>
      </c>
      <c r="C16" s="3"/>
      <c r="E16" s="1">
        <v>35004</v>
      </c>
      <c r="F16" s="4">
        <f t="shared" si="0"/>
        <v>136.45599999999999</v>
      </c>
    </row>
    <row r="17" spans="1:6">
      <c r="A17" s="1">
        <v>35034</v>
      </c>
      <c r="B17" s="2">
        <v>138.96100000000001</v>
      </c>
      <c r="C17" s="3"/>
      <c r="E17" s="1">
        <v>35034</v>
      </c>
      <c r="F17" s="4">
        <f t="shared" si="0"/>
        <v>137.49299999999999</v>
      </c>
    </row>
    <row r="18" spans="1:6">
      <c r="A18" s="1">
        <v>35065</v>
      </c>
      <c r="B18" s="2">
        <v>139.892</v>
      </c>
      <c r="C18" s="3"/>
      <c r="E18" s="1">
        <v>35065</v>
      </c>
      <c r="F18" s="4">
        <f t="shared" si="0"/>
        <v>138.96100000000001</v>
      </c>
    </row>
    <row r="19" spans="1:6">
      <c r="A19" s="1">
        <v>35096</v>
      </c>
      <c r="B19" s="2">
        <v>141.77799999999999</v>
      </c>
      <c r="C19" s="3"/>
      <c r="E19" s="1">
        <v>35096</v>
      </c>
      <c r="F19" s="4">
        <f t="shared" si="0"/>
        <v>139.892</v>
      </c>
    </row>
    <row r="20" spans="1:6">
      <c r="A20" s="1">
        <v>35125</v>
      </c>
      <c r="B20" s="2">
        <v>142.04900000000001</v>
      </c>
      <c r="C20" s="3"/>
      <c r="E20" s="1">
        <v>35125</v>
      </c>
      <c r="F20" s="4">
        <f t="shared" si="0"/>
        <v>141.77799999999999</v>
      </c>
    </row>
    <row r="21" spans="1:6">
      <c r="A21" s="1">
        <v>35156</v>
      </c>
      <c r="B21" s="2">
        <v>143.30799999999999</v>
      </c>
      <c r="C21" s="3"/>
      <c r="E21" s="1">
        <v>35156</v>
      </c>
      <c r="F21" s="4">
        <f t="shared" si="0"/>
        <v>142.04900000000001</v>
      </c>
    </row>
    <row r="22" spans="1:6">
      <c r="A22" s="1">
        <v>35186</v>
      </c>
      <c r="B22" s="2">
        <v>144.095</v>
      </c>
      <c r="C22" s="3"/>
      <c r="E22" s="1">
        <v>35186</v>
      </c>
      <c r="F22" s="4">
        <f t="shared" si="0"/>
        <v>143.30799999999999</v>
      </c>
    </row>
    <row r="23" spans="1:6">
      <c r="A23" s="1">
        <v>35217</v>
      </c>
      <c r="B23" s="2">
        <v>146.988</v>
      </c>
      <c r="C23" s="3"/>
      <c r="E23" s="1">
        <v>35217</v>
      </c>
      <c r="F23" s="4">
        <f t="shared" si="0"/>
        <v>144.095</v>
      </c>
    </row>
    <row r="24" spans="1:6">
      <c r="A24" s="1">
        <v>35247</v>
      </c>
      <c r="B24" s="2">
        <v>149.22399999999999</v>
      </c>
      <c r="C24" s="3"/>
      <c r="E24" s="1">
        <v>35247</v>
      </c>
      <c r="F24" s="4">
        <f t="shared" si="0"/>
        <v>146.988</v>
      </c>
    </row>
    <row r="25" spans="1:6">
      <c r="A25" s="1">
        <v>35278</v>
      </c>
      <c r="B25" s="2">
        <v>150.334</v>
      </c>
      <c r="C25" s="3"/>
      <c r="E25" s="1">
        <v>35278</v>
      </c>
      <c r="F25" s="4">
        <f t="shared" si="0"/>
        <v>149.22399999999999</v>
      </c>
    </row>
    <row r="26" spans="1:6">
      <c r="A26" s="1">
        <v>35309</v>
      </c>
      <c r="B26" s="2">
        <v>150.56399999999999</v>
      </c>
      <c r="C26" s="3"/>
      <c r="E26" s="1">
        <v>35309</v>
      </c>
      <c r="F26" s="4">
        <f t="shared" si="0"/>
        <v>150.334</v>
      </c>
    </row>
    <row r="27" spans="1:6">
      <c r="A27" s="1">
        <v>35339</v>
      </c>
      <c r="B27" s="2">
        <v>150.91499999999999</v>
      </c>
      <c r="C27" s="3"/>
      <c r="E27" s="1">
        <v>35339</v>
      </c>
      <c r="F27" s="4">
        <f t="shared" si="0"/>
        <v>150.56399999999999</v>
      </c>
    </row>
    <row r="28" spans="1:6">
      <c r="A28" s="1">
        <v>35370</v>
      </c>
      <c r="B28" s="2">
        <v>151.345</v>
      </c>
      <c r="C28" s="3"/>
      <c r="E28" s="1">
        <v>35370</v>
      </c>
      <c r="F28" s="4">
        <f t="shared" si="0"/>
        <v>150.91499999999999</v>
      </c>
    </row>
    <row r="29" spans="1:6">
      <c r="A29" s="1">
        <v>35400</v>
      </c>
      <c r="B29" s="2">
        <v>152.07900000000001</v>
      </c>
      <c r="C29" s="3"/>
      <c r="E29" s="1">
        <v>35400</v>
      </c>
      <c r="F29" s="4">
        <f t="shared" si="0"/>
        <v>151.345</v>
      </c>
    </row>
    <row r="30" spans="1:6">
      <c r="A30" s="1">
        <v>35431</v>
      </c>
      <c r="B30" s="2">
        <v>153.107</v>
      </c>
      <c r="C30" s="3"/>
      <c r="E30" s="1">
        <v>35431</v>
      </c>
      <c r="F30" s="4">
        <f t="shared" si="0"/>
        <v>152.07900000000001</v>
      </c>
    </row>
    <row r="31" spans="1:6">
      <c r="A31" s="1">
        <v>35462</v>
      </c>
      <c r="B31" s="2">
        <v>153.58799999999999</v>
      </c>
      <c r="C31" s="3"/>
      <c r="E31" s="1">
        <v>35462</v>
      </c>
      <c r="F31" s="4">
        <f t="shared" si="0"/>
        <v>153.107</v>
      </c>
    </row>
    <row r="32" spans="1:6">
      <c r="A32" s="1">
        <v>35490</v>
      </c>
      <c r="B32" s="2">
        <v>154.22800000000001</v>
      </c>
      <c r="C32" s="3"/>
      <c r="E32" s="1">
        <v>35490</v>
      </c>
      <c r="F32" s="4">
        <f t="shared" si="0"/>
        <v>153.58799999999999</v>
      </c>
    </row>
    <row r="33" spans="1:6">
      <c r="A33" s="1">
        <v>35521</v>
      </c>
      <c r="B33" s="2">
        <v>155.358</v>
      </c>
      <c r="C33" s="3"/>
      <c r="E33" s="1">
        <v>35521</v>
      </c>
      <c r="F33" s="4">
        <f t="shared" si="0"/>
        <v>154.22800000000001</v>
      </c>
    </row>
    <row r="34" spans="1:6">
      <c r="A34" s="1">
        <v>35551</v>
      </c>
      <c r="B34" s="2">
        <v>155.82300000000001</v>
      </c>
      <c r="C34" s="3"/>
      <c r="E34" s="1">
        <v>35551</v>
      </c>
      <c r="F34" s="4">
        <f t="shared" si="0"/>
        <v>155.358</v>
      </c>
    </row>
    <row r="35" spans="1:6">
      <c r="A35" s="1">
        <v>35582</v>
      </c>
      <c r="B35" s="2">
        <v>157.37299999999999</v>
      </c>
      <c r="C35" s="3"/>
      <c r="E35" s="1">
        <v>35582</v>
      </c>
      <c r="F35" s="4">
        <f t="shared" si="0"/>
        <v>155.82300000000001</v>
      </c>
    </row>
    <row r="36" spans="1:6">
      <c r="A36" s="1">
        <v>35612</v>
      </c>
      <c r="B36" s="2">
        <v>158.85499999999999</v>
      </c>
      <c r="C36" s="3"/>
      <c r="E36" s="1">
        <v>35612</v>
      </c>
      <c r="F36" s="4">
        <f t="shared" si="0"/>
        <v>157.37299999999999</v>
      </c>
    </row>
    <row r="37" spans="1:6">
      <c r="A37" s="1">
        <v>35643</v>
      </c>
      <c r="B37" s="2">
        <v>159.72399999999999</v>
      </c>
      <c r="C37" s="3"/>
      <c r="E37" s="1">
        <v>35643</v>
      </c>
      <c r="F37" s="4">
        <f t="shared" si="0"/>
        <v>158.85499999999999</v>
      </c>
    </row>
    <row r="38" spans="1:6">
      <c r="A38" s="1">
        <v>35674</v>
      </c>
      <c r="B38" s="2">
        <v>161.60400000000001</v>
      </c>
      <c r="C38" s="3"/>
      <c r="E38" s="1">
        <v>35674</v>
      </c>
      <c r="F38" s="4">
        <f t="shared" si="0"/>
        <v>159.72399999999999</v>
      </c>
    </row>
    <row r="39" spans="1:6">
      <c r="A39" s="1">
        <v>35704</v>
      </c>
      <c r="B39" s="2">
        <v>161.953</v>
      </c>
      <c r="C39" s="3"/>
      <c r="E39" s="1">
        <v>35704</v>
      </c>
      <c r="F39" s="4">
        <f t="shared" si="0"/>
        <v>161.60400000000001</v>
      </c>
    </row>
    <row r="40" spans="1:6">
      <c r="A40" s="1">
        <v>35735</v>
      </c>
      <c r="B40" s="2">
        <v>162.31700000000001</v>
      </c>
      <c r="C40" s="3"/>
      <c r="E40" s="1">
        <v>35735</v>
      </c>
      <c r="F40" s="4">
        <f t="shared" si="0"/>
        <v>161.953</v>
      </c>
    </row>
    <row r="41" spans="1:6">
      <c r="A41" s="1">
        <v>35765</v>
      </c>
      <c r="B41" s="2">
        <v>163.16499999999999</v>
      </c>
      <c r="C41" s="3"/>
      <c r="E41" s="1">
        <v>35765</v>
      </c>
      <c r="F41" s="4">
        <f t="shared" si="0"/>
        <v>162.31700000000001</v>
      </c>
    </row>
    <row r="42" spans="1:6">
      <c r="A42" s="1">
        <v>35796</v>
      </c>
      <c r="B42" s="2">
        <v>163.64400000000001</v>
      </c>
      <c r="C42" s="3"/>
      <c r="E42" s="1">
        <v>35796</v>
      </c>
      <c r="F42" s="4">
        <f t="shared" si="0"/>
        <v>163.16499999999999</v>
      </c>
    </row>
    <row r="43" spans="1:6">
      <c r="A43" s="1">
        <v>35827</v>
      </c>
      <c r="B43" s="2">
        <v>164.428</v>
      </c>
      <c r="C43" s="3"/>
      <c r="E43" s="1">
        <v>35827</v>
      </c>
      <c r="F43" s="4">
        <f t="shared" si="0"/>
        <v>163.64400000000001</v>
      </c>
    </row>
    <row r="44" spans="1:6">
      <c r="A44" s="1">
        <v>35855</v>
      </c>
      <c r="B44" s="2">
        <v>164.935</v>
      </c>
      <c r="C44" s="3"/>
      <c r="E44" s="1">
        <v>35855</v>
      </c>
      <c r="F44" s="4">
        <f t="shared" si="0"/>
        <v>164.428</v>
      </c>
    </row>
    <row r="45" spans="1:6">
      <c r="A45" s="1">
        <v>35886</v>
      </c>
      <c r="B45" s="2">
        <v>164.16900000000001</v>
      </c>
      <c r="C45" s="3"/>
      <c r="E45" s="1">
        <v>35886</v>
      </c>
      <c r="F45" s="4">
        <f t="shared" si="0"/>
        <v>164.935</v>
      </c>
    </row>
    <row r="46" spans="1:6">
      <c r="A46" s="1">
        <v>35916</v>
      </c>
      <c r="B46" s="2">
        <v>164.93299999999999</v>
      </c>
      <c r="C46" s="3"/>
      <c r="E46" s="1">
        <v>35916</v>
      </c>
      <c r="F46" s="4">
        <f t="shared" si="0"/>
        <v>164.16900000000001</v>
      </c>
    </row>
    <row r="47" spans="1:6">
      <c r="A47" s="1">
        <v>35947</v>
      </c>
      <c r="B47" s="2">
        <v>166.35599999999999</v>
      </c>
      <c r="C47" s="3"/>
      <c r="E47" s="1">
        <v>35947</v>
      </c>
      <c r="F47" s="4">
        <f t="shared" si="0"/>
        <v>164.93299999999999</v>
      </c>
    </row>
    <row r="48" spans="1:6">
      <c r="A48" s="1">
        <v>35977</v>
      </c>
      <c r="B48" s="2">
        <v>167.06299999999999</v>
      </c>
      <c r="C48" s="3"/>
      <c r="E48" s="1">
        <v>35977</v>
      </c>
      <c r="F48" s="4">
        <f t="shared" si="0"/>
        <v>166.35599999999999</v>
      </c>
    </row>
    <row r="49" spans="1:6">
      <c r="A49" s="1">
        <v>36008</v>
      </c>
      <c r="B49" s="2">
        <v>167.554</v>
      </c>
      <c r="C49" s="3"/>
      <c r="E49" s="1">
        <v>36008</v>
      </c>
      <c r="F49" s="4">
        <f t="shared" si="0"/>
        <v>167.06299999999999</v>
      </c>
    </row>
    <row r="50" spans="1:6">
      <c r="A50" s="1">
        <v>36039</v>
      </c>
      <c r="B50" s="2">
        <v>167.69800000000001</v>
      </c>
      <c r="C50" s="3"/>
      <c r="E50" s="1">
        <v>36039</v>
      </c>
      <c r="F50" s="4">
        <f t="shared" si="0"/>
        <v>167.554</v>
      </c>
    </row>
    <row r="51" spans="1:6">
      <c r="A51" s="1">
        <v>36069</v>
      </c>
      <c r="B51" s="2">
        <v>167.78</v>
      </c>
      <c r="C51" s="3"/>
      <c r="E51" s="1">
        <v>36069</v>
      </c>
      <c r="F51" s="4">
        <f t="shared" si="0"/>
        <v>167.69800000000001</v>
      </c>
    </row>
    <row r="52" spans="1:6">
      <c r="A52" s="1">
        <v>36100</v>
      </c>
      <c r="B52" s="2">
        <v>167.66200000000001</v>
      </c>
      <c r="C52" s="3"/>
      <c r="E52" s="1">
        <v>36100</v>
      </c>
      <c r="F52" s="4">
        <f t="shared" si="0"/>
        <v>167.78</v>
      </c>
    </row>
    <row r="53" spans="1:6">
      <c r="A53" s="1">
        <v>36130</v>
      </c>
      <c r="B53" s="2">
        <v>167.65199999999999</v>
      </c>
      <c r="C53" s="3"/>
      <c r="E53" s="1">
        <v>36130</v>
      </c>
      <c r="F53" s="4">
        <f t="shared" si="0"/>
        <v>167.66200000000001</v>
      </c>
    </row>
    <row r="54" spans="1:6">
      <c r="A54" s="1">
        <v>36161</v>
      </c>
      <c r="B54" s="2">
        <v>168.00800000000001</v>
      </c>
      <c r="C54" s="3"/>
      <c r="E54" s="1">
        <v>36161</v>
      </c>
      <c r="F54" s="4">
        <f t="shared" si="0"/>
        <v>167.65199999999999</v>
      </c>
    </row>
    <row r="55" spans="1:6">
      <c r="A55" s="1">
        <v>36192</v>
      </c>
      <c r="B55" s="2">
        <v>169.054</v>
      </c>
      <c r="C55" s="3"/>
      <c r="E55" s="1">
        <v>36192</v>
      </c>
      <c r="F55" s="4">
        <f t="shared" si="0"/>
        <v>168.00800000000001</v>
      </c>
    </row>
    <row r="56" spans="1:6">
      <c r="A56" s="1">
        <v>36220</v>
      </c>
      <c r="B56" s="2">
        <v>170.58699999999999</v>
      </c>
      <c r="C56" s="3"/>
      <c r="E56" s="1">
        <v>36220</v>
      </c>
      <c r="F56" s="4">
        <f t="shared" si="0"/>
        <v>169.054</v>
      </c>
    </row>
    <row r="57" spans="1:6">
      <c r="A57" s="1">
        <v>36251</v>
      </c>
      <c r="B57" s="2">
        <v>171.584</v>
      </c>
      <c r="C57" s="3"/>
      <c r="E57" s="1">
        <v>36251</v>
      </c>
      <c r="F57" s="4">
        <f t="shared" si="0"/>
        <v>170.58699999999999</v>
      </c>
    </row>
    <row r="58" spans="1:6">
      <c r="A58" s="1">
        <v>36281</v>
      </c>
      <c r="B58" s="2">
        <v>172.233</v>
      </c>
      <c r="C58" s="3"/>
      <c r="E58" s="1">
        <v>36281</v>
      </c>
      <c r="F58" s="4">
        <f t="shared" si="0"/>
        <v>171.584</v>
      </c>
    </row>
    <row r="59" spans="1:6">
      <c r="A59" s="1">
        <v>36312</v>
      </c>
      <c r="B59" s="2">
        <v>173.75</v>
      </c>
      <c r="C59" s="3"/>
      <c r="E59" s="1">
        <v>36312</v>
      </c>
      <c r="F59" s="4">
        <f t="shared" si="0"/>
        <v>172.233</v>
      </c>
    </row>
    <row r="60" spans="1:6">
      <c r="A60" s="1">
        <v>36342</v>
      </c>
      <c r="B60" s="2">
        <v>174.46600000000001</v>
      </c>
      <c r="C60" s="3"/>
      <c r="E60" s="1">
        <v>36342</v>
      </c>
      <c r="F60" s="4">
        <f t="shared" si="0"/>
        <v>173.75</v>
      </c>
    </row>
    <row r="61" spans="1:6">
      <c r="A61" s="1">
        <v>36373</v>
      </c>
      <c r="B61" s="2">
        <v>175.37</v>
      </c>
      <c r="C61" s="3"/>
      <c r="E61" s="1">
        <v>36373</v>
      </c>
      <c r="F61" s="4">
        <f t="shared" si="0"/>
        <v>174.46600000000001</v>
      </c>
    </row>
    <row r="62" spans="1:6">
      <c r="A62" s="1">
        <v>36404</v>
      </c>
      <c r="B62" s="2">
        <v>176.82400000000001</v>
      </c>
      <c r="C62" s="3"/>
      <c r="E62" s="1">
        <v>36404</v>
      </c>
      <c r="F62" s="4">
        <f t="shared" si="0"/>
        <v>175.37</v>
      </c>
    </row>
    <row r="63" spans="1:6">
      <c r="A63" s="1">
        <v>36434</v>
      </c>
      <c r="B63" s="2">
        <v>178.21700000000001</v>
      </c>
      <c r="C63" s="3"/>
      <c r="E63" s="1">
        <v>36434</v>
      </c>
      <c r="F63" s="4">
        <f t="shared" si="0"/>
        <v>176.82400000000001</v>
      </c>
    </row>
    <row r="64" spans="1:6">
      <c r="A64" s="1">
        <v>36465</v>
      </c>
      <c r="B64" s="2">
        <v>180.38200000000001</v>
      </c>
      <c r="C64" s="3"/>
      <c r="E64" s="1">
        <v>36465</v>
      </c>
      <c r="F64" s="4">
        <f t="shared" si="0"/>
        <v>178.21700000000001</v>
      </c>
    </row>
    <row r="65" spans="1:6">
      <c r="A65" s="1">
        <v>36495</v>
      </c>
      <c r="B65" s="2">
        <v>181.839</v>
      </c>
      <c r="C65" s="3"/>
      <c r="E65" s="1">
        <v>36495</v>
      </c>
      <c r="F65" s="4">
        <f t="shared" si="0"/>
        <v>180.38200000000001</v>
      </c>
    </row>
    <row r="66" spans="1:6">
      <c r="A66" s="1">
        <v>36526</v>
      </c>
      <c r="B66" s="2">
        <v>183.929</v>
      </c>
      <c r="C66" s="3"/>
      <c r="E66" s="1">
        <v>36526</v>
      </c>
      <c r="F66" s="4">
        <f t="shared" si="0"/>
        <v>181.839</v>
      </c>
    </row>
    <row r="67" spans="1:6">
      <c r="A67" s="1">
        <v>36557</v>
      </c>
      <c r="B67" s="2">
        <v>185.572</v>
      </c>
      <c r="C67" s="3"/>
      <c r="E67" s="1">
        <v>36557</v>
      </c>
      <c r="F67" s="4">
        <f t="shared" ref="F67:F130" si="1">B66</f>
        <v>183.929</v>
      </c>
    </row>
    <row r="68" spans="1:6">
      <c r="A68" s="1">
        <v>36586</v>
      </c>
      <c r="B68" s="2">
        <v>187.09200000000001</v>
      </c>
      <c r="C68" s="3"/>
      <c r="E68" s="1">
        <v>36586</v>
      </c>
      <c r="F68" s="4">
        <f t="shared" si="1"/>
        <v>185.572</v>
      </c>
    </row>
    <row r="69" spans="1:6">
      <c r="A69" s="1">
        <v>36617</v>
      </c>
      <c r="B69" s="2">
        <v>188.38900000000001</v>
      </c>
      <c r="C69" s="3"/>
      <c r="E69" s="1">
        <v>36617</v>
      </c>
      <c r="F69" s="4">
        <f t="shared" si="1"/>
        <v>187.09200000000001</v>
      </c>
    </row>
    <row r="70" spans="1:6">
      <c r="A70" s="1">
        <v>36647</v>
      </c>
      <c r="B70" s="2">
        <v>189.46299999999999</v>
      </c>
      <c r="C70" s="3"/>
      <c r="E70" s="1">
        <v>36647</v>
      </c>
      <c r="F70" s="4">
        <f t="shared" si="1"/>
        <v>188.38900000000001</v>
      </c>
    </row>
    <row r="71" spans="1:6">
      <c r="A71" s="1">
        <v>36678</v>
      </c>
      <c r="B71" s="2">
        <v>191.52099999999999</v>
      </c>
      <c r="C71" s="3"/>
      <c r="E71" s="1">
        <v>36678</v>
      </c>
      <c r="F71" s="4">
        <f t="shared" si="1"/>
        <v>189.46299999999999</v>
      </c>
    </row>
    <row r="72" spans="1:6">
      <c r="A72" s="1">
        <v>36708</v>
      </c>
      <c r="B72" s="2">
        <v>193.10400000000001</v>
      </c>
      <c r="C72" s="3"/>
      <c r="E72" s="1">
        <v>36708</v>
      </c>
      <c r="F72" s="4">
        <f t="shared" si="1"/>
        <v>191.52099999999999</v>
      </c>
    </row>
    <row r="73" spans="1:6">
      <c r="A73" s="1">
        <v>36739</v>
      </c>
      <c r="B73" s="2">
        <v>193.786</v>
      </c>
      <c r="C73" s="3"/>
      <c r="E73" s="1">
        <v>36739</v>
      </c>
      <c r="F73" s="4">
        <f t="shared" si="1"/>
        <v>193.10400000000001</v>
      </c>
    </row>
    <row r="74" spans="1:6">
      <c r="A74" s="1">
        <v>36770</v>
      </c>
      <c r="B74" s="2">
        <v>194.36500000000001</v>
      </c>
      <c r="C74" s="3"/>
      <c r="E74" s="1">
        <v>36770</v>
      </c>
      <c r="F74" s="4">
        <f t="shared" si="1"/>
        <v>193.786</v>
      </c>
    </row>
    <row r="75" spans="1:6">
      <c r="A75" s="1">
        <v>36800</v>
      </c>
      <c r="B75" s="2">
        <v>194.91399999999999</v>
      </c>
      <c r="C75" s="3"/>
      <c r="E75" s="1">
        <v>36800</v>
      </c>
      <c r="F75" s="4">
        <f t="shared" si="1"/>
        <v>194.36500000000001</v>
      </c>
    </row>
    <row r="76" spans="1:6">
      <c r="A76" s="1">
        <v>36831</v>
      </c>
      <c r="B76" s="2">
        <v>195.488</v>
      </c>
      <c r="C76" s="3"/>
      <c r="E76" s="1">
        <v>36831</v>
      </c>
      <c r="F76" s="4">
        <f t="shared" si="1"/>
        <v>194.91399999999999</v>
      </c>
    </row>
    <row r="77" spans="1:6">
      <c r="A77" s="1">
        <v>36861</v>
      </c>
      <c r="B77" s="2">
        <v>196.45</v>
      </c>
      <c r="C77" s="3"/>
      <c r="E77" s="1">
        <v>36861</v>
      </c>
      <c r="F77" s="4">
        <f t="shared" si="1"/>
        <v>195.488</v>
      </c>
    </row>
    <row r="78" spans="1:6">
      <c r="A78" s="1">
        <v>36892</v>
      </c>
      <c r="B78" s="2">
        <v>197.233</v>
      </c>
      <c r="C78" s="3"/>
      <c r="E78" s="1">
        <v>36892</v>
      </c>
      <c r="F78" s="4">
        <f t="shared" si="1"/>
        <v>196.45</v>
      </c>
    </row>
    <row r="79" spans="1:6">
      <c r="A79" s="1">
        <v>36923</v>
      </c>
      <c r="B79" s="2">
        <v>198.32499999999999</v>
      </c>
      <c r="C79" s="3"/>
      <c r="E79" s="1">
        <v>36923</v>
      </c>
      <c r="F79" s="4">
        <f t="shared" si="1"/>
        <v>197.233</v>
      </c>
    </row>
    <row r="80" spans="1:6">
      <c r="A80" s="1">
        <v>36951</v>
      </c>
      <c r="B80" s="2">
        <v>198.99600000000001</v>
      </c>
      <c r="C80" s="3"/>
      <c r="E80" s="1">
        <v>36951</v>
      </c>
      <c r="F80" s="4">
        <f t="shared" si="1"/>
        <v>198.32499999999999</v>
      </c>
    </row>
    <row r="81" spans="1:6">
      <c r="A81" s="1">
        <v>36982</v>
      </c>
      <c r="B81" s="2">
        <v>199.54499999999999</v>
      </c>
      <c r="C81" s="3"/>
      <c r="E81" s="1">
        <v>36982</v>
      </c>
      <c r="F81" s="4">
        <f t="shared" si="1"/>
        <v>198.99600000000001</v>
      </c>
    </row>
    <row r="82" spans="1:6">
      <c r="A82" s="1">
        <v>37012</v>
      </c>
      <c r="B82" s="2">
        <v>203.53</v>
      </c>
      <c r="C82" s="3"/>
      <c r="E82" s="1">
        <v>37012</v>
      </c>
      <c r="F82" s="4">
        <f t="shared" si="1"/>
        <v>199.54499999999999</v>
      </c>
    </row>
    <row r="83" spans="1:6">
      <c r="A83" s="1">
        <v>37043</v>
      </c>
      <c r="B83" s="2">
        <v>204.93100000000001</v>
      </c>
      <c r="C83" s="3"/>
      <c r="E83" s="1">
        <v>37043</v>
      </c>
      <c r="F83" s="4">
        <f t="shared" si="1"/>
        <v>203.53</v>
      </c>
    </row>
    <row r="84" spans="1:6">
      <c r="A84" s="1">
        <v>37073</v>
      </c>
      <c r="B84" s="2">
        <v>207.11699999999999</v>
      </c>
      <c r="C84" s="3"/>
      <c r="E84" s="1">
        <v>37073</v>
      </c>
      <c r="F84" s="4">
        <f t="shared" si="1"/>
        <v>204.93100000000001</v>
      </c>
    </row>
    <row r="85" spans="1:6">
      <c r="A85" s="1">
        <v>37104</v>
      </c>
      <c r="B85" s="2">
        <v>208.27199999999999</v>
      </c>
      <c r="C85" s="3"/>
      <c r="E85" s="1">
        <v>37104</v>
      </c>
      <c r="F85" s="4">
        <f t="shared" si="1"/>
        <v>207.11699999999999</v>
      </c>
    </row>
    <row r="86" spans="1:6">
      <c r="A86" s="1">
        <v>37135</v>
      </c>
      <c r="B86" s="2">
        <v>209.51</v>
      </c>
      <c r="C86" s="3"/>
      <c r="E86" s="1">
        <v>37135</v>
      </c>
      <c r="F86" s="4">
        <f t="shared" si="1"/>
        <v>208.27199999999999</v>
      </c>
    </row>
    <row r="87" spans="1:6">
      <c r="A87" s="1">
        <v>37165</v>
      </c>
      <c r="B87" s="2">
        <v>211.43100000000001</v>
      </c>
      <c r="C87" s="3"/>
      <c r="E87" s="1">
        <v>37165</v>
      </c>
      <c r="F87" s="4">
        <f t="shared" si="1"/>
        <v>209.51</v>
      </c>
    </row>
    <row r="88" spans="1:6">
      <c r="A88" s="1">
        <v>37196</v>
      </c>
      <c r="B88" s="2">
        <v>212.7</v>
      </c>
      <c r="C88" s="3"/>
      <c r="E88" s="1">
        <v>37196</v>
      </c>
      <c r="F88" s="4">
        <f t="shared" si="1"/>
        <v>211.43100000000001</v>
      </c>
    </row>
    <row r="89" spans="1:6">
      <c r="A89" s="1">
        <v>37226</v>
      </c>
      <c r="B89" s="2">
        <v>214.19399999999999</v>
      </c>
      <c r="C89" s="3"/>
      <c r="E89" s="1">
        <v>37226</v>
      </c>
      <c r="F89" s="4">
        <f t="shared" si="1"/>
        <v>212.7</v>
      </c>
    </row>
    <row r="90" spans="1:6">
      <c r="A90" s="1">
        <v>37257</v>
      </c>
      <c r="B90" s="2">
        <v>215.05799999999999</v>
      </c>
      <c r="C90" s="3"/>
      <c r="E90" s="1">
        <v>37257</v>
      </c>
      <c r="F90" s="4">
        <f t="shared" si="1"/>
        <v>214.19399999999999</v>
      </c>
    </row>
    <row r="91" spans="1:6">
      <c r="A91" s="1">
        <v>37288</v>
      </c>
      <c r="B91" s="2">
        <v>215.73400000000001</v>
      </c>
      <c r="C91" s="3"/>
      <c r="E91" s="1">
        <v>37288</v>
      </c>
      <c r="F91" s="4">
        <f t="shared" si="1"/>
        <v>215.05799999999999</v>
      </c>
    </row>
    <row r="92" spans="1:6">
      <c r="A92" s="1">
        <v>37316</v>
      </c>
      <c r="B92" s="2">
        <v>217.554</v>
      </c>
      <c r="C92" s="3"/>
      <c r="E92" s="1">
        <v>37316</v>
      </c>
      <c r="F92" s="4">
        <f t="shared" si="1"/>
        <v>215.73400000000001</v>
      </c>
    </row>
    <row r="93" spans="1:6">
      <c r="A93" s="1">
        <v>37347</v>
      </c>
      <c r="B93" s="2">
        <v>218.25899999999999</v>
      </c>
      <c r="C93" s="3"/>
      <c r="E93" s="1">
        <v>37347</v>
      </c>
      <c r="F93" s="4">
        <f t="shared" si="1"/>
        <v>217.554</v>
      </c>
    </row>
    <row r="94" spans="1:6">
      <c r="A94" s="1">
        <v>37377</v>
      </c>
      <c r="B94" s="2">
        <v>223.64400000000001</v>
      </c>
      <c r="C94" s="3"/>
      <c r="E94" s="1">
        <v>37377</v>
      </c>
      <c r="F94" s="4">
        <f t="shared" si="1"/>
        <v>218.25899999999999</v>
      </c>
    </row>
    <row r="95" spans="1:6">
      <c r="A95" s="1">
        <v>37408</v>
      </c>
      <c r="B95" s="2">
        <v>224.11699999999999</v>
      </c>
      <c r="C95" s="3"/>
      <c r="E95" s="1">
        <v>37408</v>
      </c>
      <c r="F95" s="4">
        <f t="shared" si="1"/>
        <v>223.64400000000001</v>
      </c>
    </row>
    <row r="96" spans="1:6">
      <c r="A96" s="1">
        <v>37438</v>
      </c>
      <c r="B96" s="2">
        <v>225.529</v>
      </c>
      <c r="C96" s="3"/>
      <c r="E96" s="1">
        <v>37438</v>
      </c>
      <c r="F96" s="4">
        <f t="shared" si="1"/>
        <v>224.11699999999999</v>
      </c>
    </row>
    <row r="97" spans="1:6">
      <c r="A97" s="1">
        <v>37469</v>
      </c>
      <c r="B97" s="2">
        <v>227.376</v>
      </c>
      <c r="C97" s="3"/>
      <c r="E97" s="1">
        <v>37469</v>
      </c>
      <c r="F97" s="4">
        <f t="shared" si="1"/>
        <v>225.529</v>
      </c>
    </row>
    <row r="98" spans="1:6">
      <c r="A98" s="1">
        <v>37500</v>
      </c>
      <c r="B98" s="2">
        <v>228.91300000000001</v>
      </c>
      <c r="C98" s="3"/>
      <c r="E98" s="1">
        <v>37500</v>
      </c>
      <c r="F98" s="4">
        <f t="shared" si="1"/>
        <v>227.376</v>
      </c>
    </row>
    <row r="99" spans="1:6">
      <c r="A99" s="1">
        <v>37530</v>
      </c>
      <c r="B99" s="2">
        <v>230.78700000000001</v>
      </c>
      <c r="C99" s="3"/>
      <c r="E99" s="1">
        <v>37530</v>
      </c>
      <c r="F99" s="4">
        <f t="shared" si="1"/>
        <v>228.91300000000001</v>
      </c>
    </row>
    <row r="100" spans="1:6">
      <c r="A100" s="1">
        <v>37561</v>
      </c>
      <c r="B100" s="2">
        <v>235.84299999999999</v>
      </c>
      <c r="C100" s="3"/>
      <c r="E100" s="1">
        <v>37561</v>
      </c>
      <c r="F100" s="4">
        <f t="shared" si="1"/>
        <v>230.78700000000001</v>
      </c>
    </row>
    <row r="101" spans="1:6">
      <c r="A101" s="1">
        <v>37591</v>
      </c>
      <c r="B101" s="2">
        <v>240.86799999999999</v>
      </c>
      <c r="C101" s="3"/>
      <c r="E101" s="1">
        <v>37591</v>
      </c>
      <c r="F101" s="4">
        <f t="shared" si="1"/>
        <v>235.84299999999999</v>
      </c>
    </row>
    <row r="102" spans="1:6">
      <c r="A102" s="1">
        <v>37622</v>
      </c>
      <c r="B102" s="2">
        <v>244.35400000000001</v>
      </c>
      <c r="C102" s="3"/>
      <c r="E102" s="1">
        <v>37622</v>
      </c>
      <c r="F102" s="4">
        <f t="shared" si="1"/>
        <v>240.86799999999999</v>
      </c>
    </row>
    <row r="103" spans="1:6">
      <c r="A103" s="1">
        <v>37653</v>
      </c>
      <c r="B103" s="2">
        <v>248.262</v>
      </c>
      <c r="C103" s="3"/>
      <c r="E103" s="1">
        <v>37653</v>
      </c>
      <c r="F103" s="4">
        <f t="shared" si="1"/>
        <v>244.35400000000001</v>
      </c>
    </row>
    <row r="104" spans="1:6">
      <c r="A104" s="1">
        <v>37681</v>
      </c>
      <c r="B104" s="2">
        <v>251.69499999999999</v>
      </c>
      <c r="C104" s="3"/>
      <c r="E104" s="1">
        <v>37681</v>
      </c>
      <c r="F104" s="4">
        <f t="shared" si="1"/>
        <v>248.262</v>
      </c>
    </row>
    <row r="105" spans="1:6">
      <c r="A105" s="1">
        <v>37712</v>
      </c>
      <c r="B105" s="2">
        <v>253.744</v>
      </c>
      <c r="C105" s="3"/>
      <c r="E105" s="1">
        <v>37712</v>
      </c>
      <c r="F105" s="4">
        <f t="shared" si="1"/>
        <v>251.69499999999999</v>
      </c>
    </row>
    <row r="106" spans="1:6">
      <c r="A106" s="1">
        <v>37742</v>
      </c>
      <c r="B106" s="2">
        <v>261.31099999999998</v>
      </c>
      <c r="C106" s="3"/>
      <c r="E106" s="1">
        <v>37742</v>
      </c>
      <c r="F106" s="4">
        <f t="shared" si="1"/>
        <v>253.744</v>
      </c>
    </row>
    <row r="107" spans="1:6">
      <c r="A107" s="1">
        <v>37773</v>
      </c>
      <c r="B107" s="2">
        <v>263.24400000000003</v>
      </c>
      <c r="C107" s="3"/>
      <c r="E107" s="1">
        <v>37773</v>
      </c>
      <c r="F107" s="4">
        <f t="shared" si="1"/>
        <v>261.31099999999998</v>
      </c>
    </row>
    <row r="108" spans="1:6">
      <c r="A108" s="1">
        <v>37803</v>
      </c>
      <c r="B108" s="2">
        <v>264.78500000000003</v>
      </c>
      <c r="C108" s="3"/>
      <c r="E108" s="1">
        <v>37803</v>
      </c>
      <c r="F108" s="4">
        <f t="shared" si="1"/>
        <v>263.24400000000003</v>
      </c>
    </row>
    <row r="109" spans="1:6">
      <c r="A109" s="1">
        <v>37834</v>
      </c>
      <c r="B109" s="2">
        <v>270.62299999999999</v>
      </c>
      <c r="C109" s="3"/>
      <c r="E109" s="1">
        <v>37834</v>
      </c>
      <c r="F109" s="4">
        <f t="shared" si="1"/>
        <v>264.78500000000003</v>
      </c>
    </row>
    <row r="110" spans="1:6">
      <c r="A110" s="1">
        <v>37865</v>
      </c>
      <c r="B110" s="2">
        <v>271.28399999999999</v>
      </c>
      <c r="C110" s="3"/>
      <c r="E110" s="1">
        <v>37865</v>
      </c>
      <c r="F110" s="4">
        <f t="shared" si="1"/>
        <v>270.62299999999999</v>
      </c>
    </row>
    <row r="111" spans="1:6">
      <c r="A111" s="1">
        <v>37895</v>
      </c>
      <c r="B111" s="2">
        <v>272.55200000000002</v>
      </c>
      <c r="C111" s="3"/>
      <c r="E111" s="1">
        <v>37895</v>
      </c>
      <c r="F111" s="4">
        <f t="shared" si="1"/>
        <v>271.28399999999999</v>
      </c>
    </row>
    <row r="112" spans="1:6">
      <c r="A112" s="1">
        <v>37926</v>
      </c>
      <c r="B112" s="2">
        <v>273.70600000000002</v>
      </c>
      <c r="C112" s="3"/>
      <c r="E112" s="1">
        <v>37926</v>
      </c>
      <c r="F112" s="4">
        <f t="shared" si="1"/>
        <v>272.55200000000002</v>
      </c>
    </row>
    <row r="113" spans="1:6">
      <c r="A113" s="1">
        <v>37956</v>
      </c>
      <c r="B113" s="2">
        <v>276.42399999999998</v>
      </c>
      <c r="C113" s="3"/>
      <c r="E113" s="1">
        <v>37956</v>
      </c>
      <c r="F113" s="4">
        <f t="shared" si="1"/>
        <v>273.70600000000002</v>
      </c>
    </row>
    <row r="114" spans="1:6">
      <c r="A114" s="1">
        <v>37987</v>
      </c>
      <c r="B114" s="2">
        <v>277.20100000000002</v>
      </c>
      <c r="C114" s="3"/>
      <c r="E114" s="1">
        <v>37987</v>
      </c>
      <c r="F114" s="4">
        <f t="shared" si="1"/>
        <v>276.42399999999998</v>
      </c>
    </row>
    <row r="115" spans="1:6">
      <c r="A115" s="1">
        <v>38018</v>
      </c>
      <c r="B115" s="2">
        <v>278.52100000000002</v>
      </c>
      <c r="C115" s="3"/>
      <c r="E115" s="1">
        <v>38018</v>
      </c>
      <c r="F115" s="4">
        <f t="shared" si="1"/>
        <v>277.20100000000002</v>
      </c>
    </row>
    <row r="116" spans="1:6">
      <c r="A116" s="1">
        <v>38047</v>
      </c>
      <c r="B116" s="2">
        <v>282.95600000000002</v>
      </c>
      <c r="C116" s="3"/>
      <c r="E116" s="1">
        <v>38047</v>
      </c>
      <c r="F116" s="4">
        <f t="shared" si="1"/>
        <v>278.52100000000002</v>
      </c>
    </row>
    <row r="117" spans="1:6">
      <c r="A117" s="1">
        <v>38078</v>
      </c>
      <c r="B117" s="2">
        <v>284.66500000000002</v>
      </c>
      <c r="C117" s="3"/>
      <c r="E117" s="1">
        <v>38078</v>
      </c>
      <c r="F117" s="4">
        <f t="shared" si="1"/>
        <v>282.95600000000002</v>
      </c>
    </row>
    <row r="118" spans="1:6">
      <c r="A118" s="1">
        <v>38108</v>
      </c>
      <c r="B118" s="2">
        <v>289.62700000000001</v>
      </c>
      <c r="C118" s="3"/>
      <c r="E118" s="1">
        <v>38108</v>
      </c>
      <c r="F118" s="4">
        <f t="shared" si="1"/>
        <v>284.66500000000002</v>
      </c>
    </row>
    <row r="119" spans="1:6">
      <c r="A119" s="1">
        <v>38139</v>
      </c>
      <c r="B119" s="2">
        <v>291.23899999999998</v>
      </c>
      <c r="C119" s="3"/>
      <c r="E119" s="1">
        <v>38139</v>
      </c>
      <c r="F119" s="4">
        <f t="shared" si="1"/>
        <v>289.62700000000001</v>
      </c>
    </row>
    <row r="120" spans="1:6">
      <c r="A120" s="1">
        <v>38169</v>
      </c>
      <c r="B120" s="2">
        <v>294.50900000000001</v>
      </c>
      <c r="C120" s="3"/>
      <c r="E120" s="1">
        <v>38169</v>
      </c>
      <c r="F120" s="4">
        <f t="shared" si="1"/>
        <v>291.23899999999998</v>
      </c>
    </row>
    <row r="121" spans="1:6">
      <c r="A121" s="1">
        <v>38200</v>
      </c>
      <c r="B121" s="2">
        <v>297.16199999999998</v>
      </c>
      <c r="C121" s="3"/>
      <c r="E121" s="1">
        <v>38200</v>
      </c>
      <c r="F121" s="4">
        <f t="shared" si="1"/>
        <v>294.50900000000001</v>
      </c>
    </row>
    <row r="122" spans="1:6">
      <c r="A122" s="1">
        <v>38231</v>
      </c>
      <c r="B122" s="2">
        <v>299.14</v>
      </c>
      <c r="C122" s="3"/>
      <c r="E122" s="1">
        <v>38231</v>
      </c>
      <c r="F122" s="4">
        <f t="shared" si="1"/>
        <v>297.16199999999998</v>
      </c>
    </row>
    <row r="123" spans="1:6">
      <c r="A123" s="1">
        <v>38261</v>
      </c>
      <c r="B123" s="2">
        <v>301.97500000000002</v>
      </c>
      <c r="C123" s="3"/>
      <c r="E123" s="1">
        <v>38261</v>
      </c>
      <c r="F123" s="4">
        <f t="shared" si="1"/>
        <v>299.14</v>
      </c>
    </row>
    <row r="124" spans="1:6">
      <c r="A124" s="1">
        <v>38292</v>
      </c>
      <c r="B124" s="2">
        <v>304.81</v>
      </c>
      <c r="C124" s="3"/>
      <c r="E124" s="1">
        <v>38292</v>
      </c>
      <c r="F124" s="4">
        <f t="shared" si="1"/>
        <v>301.97500000000002</v>
      </c>
    </row>
    <row r="125" spans="1:6">
      <c r="A125" s="1">
        <v>38322</v>
      </c>
      <c r="B125" s="2">
        <v>306.65499999999997</v>
      </c>
      <c r="C125" s="3"/>
      <c r="E125" s="1">
        <v>38322</v>
      </c>
      <c r="F125" s="4">
        <f t="shared" si="1"/>
        <v>304.81</v>
      </c>
    </row>
    <row r="126" spans="1:6">
      <c r="A126" s="1">
        <v>38353</v>
      </c>
      <c r="B126" s="2">
        <v>308.80200000000002</v>
      </c>
      <c r="C126" s="3"/>
      <c r="E126" s="1">
        <v>38353</v>
      </c>
      <c r="F126" s="4">
        <f t="shared" si="1"/>
        <v>306.65499999999997</v>
      </c>
    </row>
    <row r="127" spans="1:6">
      <c r="A127" s="1">
        <v>38384</v>
      </c>
      <c r="B127" s="2">
        <v>310.10500000000002</v>
      </c>
      <c r="C127" s="3"/>
      <c r="E127" s="1">
        <v>38384</v>
      </c>
      <c r="F127" s="4">
        <f t="shared" si="1"/>
        <v>308.80200000000002</v>
      </c>
    </row>
    <row r="128" spans="1:6">
      <c r="A128" s="1">
        <v>38412</v>
      </c>
      <c r="B128" s="2">
        <v>312.3</v>
      </c>
      <c r="C128" s="3"/>
      <c r="E128" s="1">
        <v>38412</v>
      </c>
      <c r="F128" s="4">
        <f t="shared" si="1"/>
        <v>310.10500000000002</v>
      </c>
    </row>
    <row r="129" spans="1:6">
      <c r="A129" s="1">
        <v>38443</v>
      </c>
      <c r="B129" s="2">
        <v>313.49700000000001</v>
      </c>
      <c r="C129" s="3"/>
      <c r="E129" s="1">
        <v>38443</v>
      </c>
      <c r="F129" s="4">
        <f t="shared" si="1"/>
        <v>312.3</v>
      </c>
    </row>
    <row r="130" spans="1:6">
      <c r="A130" s="1">
        <v>38473</v>
      </c>
      <c r="B130" s="2">
        <v>315.2</v>
      </c>
      <c r="C130" s="3"/>
      <c r="E130" s="1">
        <v>38473</v>
      </c>
      <c r="F130" s="4">
        <f t="shared" si="1"/>
        <v>313.49700000000001</v>
      </c>
    </row>
    <row r="131" spans="1:6">
      <c r="A131" s="1">
        <v>38504</v>
      </c>
      <c r="B131" s="2">
        <v>322.14999999999998</v>
      </c>
      <c r="C131" s="3"/>
      <c r="E131" s="1">
        <v>38504</v>
      </c>
      <c r="F131" s="4">
        <f t="shared" ref="F131:F194" si="2">B130</f>
        <v>315.2</v>
      </c>
    </row>
    <row r="132" spans="1:6">
      <c r="A132" s="1">
        <v>38534</v>
      </c>
      <c r="B132" s="2">
        <v>324.23599999999999</v>
      </c>
      <c r="C132" s="3"/>
      <c r="E132" s="1">
        <v>38534</v>
      </c>
      <c r="F132" s="4">
        <f t="shared" si="2"/>
        <v>322.14999999999998</v>
      </c>
    </row>
    <row r="133" spans="1:6">
      <c r="A133" s="1">
        <v>38565</v>
      </c>
      <c r="B133" s="2">
        <v>324.39400000000001</v>
      </c>
      <c r="C133" s="3"/>
      <c r="E133" s="1">
        <v>38565</v>
      </c>
      <c r="F133" s="4">
        <f t="shared" si="2"/>
        <v>324.23599999999999</v>
      </c>
    </row>
    <row r="134" spans="1:6">
      <c r="A134" s="1">
        <v>38596</v>
      </c>
      <c r="B134" s="2">
        <v>324.57499999999999</v>
      </c>
      <c r="C134" s="3"/>
      <c r="E134" s="1">
        <v>38596</v>
      </c>
      <c r="F134" s="4">
        <f t="shared" si="2"/>
        <v>324.39400000000001</v>
      </c>
    </row>
    <row r="135" spans="1:6">
      <c r="A135" s="1">
        <v>38626</v>
      </c>
      <c r="B135" s="2">
        <v>325.48500000000001</v>
      </c>
      <c r="C135" s="3"/>
      <c r="E135" s="1">
        <v>38626</v>
      </c>
      <c r="F135" s="4">
        <f t="shared" si="2"/>
        <v>324.57499999999999</v>
      </c>
    </row>
    <row r="136" spans="1:6">
      <c r="A136" s="1">
        <v>38657</v>
      </c>
      <c r="B136" s="2">
        <v>326.416</v>
      </c>
      <c r="C136" s="3"/>
      <c r="E136" s="1">
        <v>38657</v>
      </c>
      <c r="F136" s="4">
        <f t="shared" si="2"/>
        <v>325.48500000000001</v>
      </c>
    </row>
    <row r="137" spans="1:6">
      <c r="A137" s="1">
        <v>38687</v>
      </c>
      <c r="B137" s="2">
        <v>327.64499999999998</v>
      </c>
      <c r="C137" s="3"/>
      <c r="E137" s="1">
        <v>38687</v>
      </c>
      <c r="F137" s="4">
        <f t="shared" si="2"/>
        <v>326.416</v>
      </c>
    </row>
    <row r="138" spans="1:6">
      <c r="A138" s="1">
        <v>38718</v>
      </c>
      <c r="B138" s="2">
        <v>328.42700000000002</v>
      </c>
      <c r="C138" s="3"/>
      <c r="E138" s="1">
        <v>38718</v>
      </c>
      <c r="F138" s="4">
        <f t="shared" si="2"/>
        <v>327.64499999999998</v>
      </c>
    </row>
    <row r="139" spans="1:6">
      <c r="A139" s="1">
        <v>38749</v>
      </c>
      <c r="B139" s="2">
        <v>329.36</v>
      </c>
      <c r="C139" s="3"/>
      <c r="E139" s="1">
        <v>38749</v>
      </c>
      <c r="F139" s="4">
        <f t="shared" si="2"/>
        <v>328.42700000000002</v>
      </c>
    </row>
    <row r="140" spans="1:6">
      <c r="A140" s="1">
        <v>38777</v>
      </c>
      <c r="B140" s="2">
        <v>330.108</v>
      </c>
      <c r="C140" s="3"/>
      <c r="E140" s="1">
        <v>38777</v>
      </c>
      <c r="F140" s="4">
        <f t="shared" si="2"/>
        <v>329.36</v>
      </c>
    </row>
    <row r="141" spans="1:6">
      <c r="A141" s="1">
        <v>38808</v>
      </c>
      <c r="B141" s="2">
        <v>330.78699999999998</v>
      </c>
      <c r="C141" s="3"/>
      <c r="E141" s="1">
        <v>38808</v>
      </c>
      <c r="F141" s="4">
        <f t="shared" si="2"/>
        <v>330.108</v>
      </c>
    </row>
    <row r="142" spans="1:6">
      <c r="A142" s="1">
        <v>38838</v>
      </c>
      <c r="B142" s="2">
        <v>333.459</v>
      </c>
      <c r="C142" s="3"/>
      <c r="E142" s="1">
        <v>38838</v>
      </c>
      <c r="F142" s="4">
        <f t="shared" si="2"/>
        <v>330.78699999999998</v>
      </c>
    </row>
    <row r="143" spans="1:6">
      <c r="A143" s="1">
        <v>38869</v>
      </c>
      <c r="B143" s="2">
        <v>338.30200000000002</v>
      </c>
      <c r="C143" s="3"/>
      <c r="E143" s="1">
        <v>38869</v>
      </c>
      <c r="F143" s="4">
        <f t="shared" si="2"/>
        <v>333.459</v>
      </c>
    </row>
    <row r="144" spans="1:6">
      <c r="A144" s="1">
        <v>38899</v>
      </c>
      <c r="B144" s="2">
        <v>340.23200000000003</v>
      </c>
      <c r="C144" s="3"/>
      <c r="E144" s="1">
        <v>38899</v>
      </c>
      <c r="F144" s="4">
        <f t="shared" si="2"/>
        <v>338.30200000000002</v>
      </c>
    </row>
    <row r="145" spans="1:6">
      <c r="A145" s="1">
        <v>38930</v>
      </c>
      <c r="B145" s="2">
        <v>341.43799999999999</v>
      </c>
      <c r="C145" s="3"/>
      <c r="E145" s="1">
        <v>38930</v>
      </c>
      <c r="F145" s="4">
        <f t="shared" si="2"/>
        <v>340.23200000000003</v>
      </c>
    </row>
    <row r="146" spans="1:6">
      <c r="A146" s="1">
        <v>38961</v>
      </c>
      <c r="B146" s="2">
        <v>341.73099999999999</v>
      </c>
      <c r="C146" s="3"/>
      <c r="E146" s="1">
        <v>38961</v>
      </c>
      <c r="F146" s="4">
        <f t="shared" si="2"/>
        <v>341.43799999999999</v>
      </c>
    </row>
    <row r="147" spans="1:6">
      <c r="A147" s="1">
        <v>38991</v>
      </c>
      <c r="B147" s="2">
        <v>342.35199999999998</v>
      </c>
      <c r="C147" s="3"/>
      <c r="E147" s="1">
        <v>38991</v>
      </c>
      <c r="F147" s="4">
        <f t="shared" si="2"/>
        <v>341.73099999999999</v>
      </c>
    </row>
    <row r="148" spans="1:6">
      <c r="A148" s="1">
        <v>39022</v>
      </c>
      <c r="B148" s="2">
        <v>343.137</v>
      </c>
      <c r="C148" s="3"/>
      <c r="E148" s="1">
        <v>39022</v>
      </c>
      <c r="F148" s="4">
        <f t="shared" si="2"/>
        <v>342.35199999999998</v>
      </c>
    </row>
    <row r="149" spans="1:6">
      <c r="A149" s="1">
        <v>39052</v>
      </c>
      <c r="B149" s="2">
        <v>344.17099999999999</v>
      </c>
      <c r="C149" s="3"/>
      <c r="E149" s="1">
        <v>39052</v>
      </c>
      <c r="F149" s="4">
        <f t="shared" si="2"/>
        <v>343.137</v>
      </c>
    </row>
    <row r="150" spans="1:6">
      <c r="A150" s="1">
        <v>39083</v>
      </c>
      <c r="B150" s="2">
        <v>345.71300000000002</v>
      </c>
      <c r="C150" s="3"/>
      <c r="E150" s="1">
        <v>39083</v>
      </c>
      <c r="F150" s="4">
        <f t="shared" si="2"/>
        <v>344.17099999999999</v>
      </c>
    </row>
    <row r="151" spans="1:6">
      <c r="A151" s="1">
        <v>39114</v>
      </c>
      <c r="B151" s="2">
        <v>346.62900000000002</v>
      </c>
      <c r="C151" s="3"/>
      <c r="E151" s="1">
        <v>39114</v>
      </c>
      <c r="F151" s="4">
        <f t="shared" si="2"/>
        <v>345.71300000000002</v>
      </c>
    </row>
    <row r="152" spans="1:6">
      <c r="A152" s="1">
        <v>39142</v>
      </c>
      <c r="B152" s="2">
        <v>347.22699999999998</v>
      </c>
      <c r="C152" s="3"/>
      <c r="E152" s="1">
        <v>39142</v>
      </c>
      <c r="F152" s="4">
        <f t="shared" si="2"/>
        <v>346.62900000000002</v>
      </c>
    </row>
    <row r="153" spans="1:6">
      <c r="A153" s="1">
        <v>39173</v>
      </c>
      <c r="B153" s="2">
        <v>348.72899999999998</v>
      </c>
      <c r="C153" s="3"/>
      <c r="E153" s="1">
        <v>39173</v>
      </c>
      <c r="F153" s="4">
        <f t="shared" si="2"/>
        <v>347.22699999999998</v>
      </c>
    </row>
    <row r="154" spans="1:6">
      <c r="A154" s="1">
        <v>39203</v>
      </c>
      <c r="B154" s="2">
        <v>350.63099999999997</v>
      </c>
      <c r="C154" s="3"/>
      <c r="E154" s="1">
        <v>39203</v>
      </c>
      <c r="F154" s="4">
        <f t="shared" si="2"/>
        <v>348.72899999999998</v>
      </c>
    </row>
    <row r="155" spans="1:6">
      <c r="A155" s="1">
        <v>39234</v>
      </c>
      <c r="B155" s="2">
        <v>356.50299999999999</v>
      </c>
      <c r="C155" s="3"/>
      <c r="E155" s="1">
        <v>39234</v>
      </c>
      <c r="F155" s="4">
        <f t="shared" si="2"/>
        <v>350.63099999999997</v>
      </c>
    </row>
    <row r="156" spans="1:6">
      <c r="A156" s="1">
        <v>39264</v>
      </c>
      <c r="B156" s="2">
        <v>357.26900000000001</v>
      </c>
      <c r="C156" s="3"/>
      <c r="E156" s="1">
        <v>39264</v>
      </c>
      <c r="F156" s="4">
        <f t="shared" si="2"/>
        <v>356.50299999999999</v>
      </c>
    </row>
    <row r="157" spans="1:6">
      <c r="A157" s="1">
        <v>39295</v>
      </c>
      <c r="B157" s="2">
        <v>358.53399999999999</v>
      </c>
      <c r="C157" s="3"/>
      <c r="E157" s="1">
        <v>39295</v>
      </c>
      <c r="F157" s="4">
        <f t="shared" si="2"/>
        <v>357.26900000000001</v>
      </c>
    </row>
    <row r="158" spans="1:6">
      <c r="A158" s="1">
        <v>39326</v>
      </c>
      <c r="B158" s="2">
        <v>359.916</v>
      </c>
      <c r="C158" s="3"/>
      <c r="E158" s="1">
        <v>39326</v>
      </c>
      <c r="F158" s="4">
        <f t="shared" si="2"/>
        <v>358.53399999999999</v>
      </c>
    </row>
    <row r="159" spans="1:6">
      <c r="A159" s="1">
        <v>39356</v>
      </c>
      <c r="B159" s="2">
        <v>361.67200000000003</v>
      </c>
      <c r="C159" s="3"/>
      <c r="E159" s="1">
        <v>39356</v>
      </c>
      <c r="F159" s="4">
        <f t="shared" si="2"/>
        <v>359.916</v>
      </c>
    </row>
    <row r="160" spans="1:6">
      <c r="A160" s="1">
        <v>39387</v>
      </c>
      <c r="B160" s="2">
        <v>363.39699999999999</v>
      </c>
      <c r="C160" s="3"/>
      <c r="E160" s="1">
        <v>39387</v>
      </c>
      <c r="F160" s="4">
        <f t="shared" si="2"/>
        <v>361.67200000000003</v>
      </c>
    </row>
    <row r="161" spans="1:6">
      <c r="A161" s="1">
        <v>39417</v>
      </c>
      <c r="B161" s="2">
        <v>364.97199999999998</v>
      </c>
      <c r="C161" s="3"/>
      <c r="E161" s="1">
        <v>39417</v>
      </c>
      <c r="F161" s="4">
        <f t="shared" si="2"/>
        <v>363.39699999999999</v>
      </c>
    </row>
    <row r="162" spans="1:6">
      <c r="A162" s="1">
        <v>39448</v>
      </c>
      <c r="B162" s="2">
        <v>366.471</v>
      </c>
      <c r="C162" s="3"/>
      <c r="E162" s="1">
        <v>39448</v>
      </c>
      <c r="F162" s="4">
        <f t="shared" si="2"/>
        <v>364.97199999999998</v>
      </c>
    </row>
    <row r="163" spans="1:6">
      <c r="A163" s="1">
        <v>39479</v>
      </c>
      <c r="B163" s="2">
        <v>368.06200000000001</v>
      </c>
      <c r="C163" s="3"/>
      <c r="E163" s="1">
        <v>39479</v>
      </c>
      <c r="F163" s="4">
        <f t="shared" si="2"/>
        <v>366.471</v>
      </c>
    </row>
    <row r="164" spans="1:6">
      <c r="A164" s="1">
        <v>39508</v>
      </c>
      <c r="B164" s="2">
        <v>370.25099999999998</v>
      </c>
      <c r="C164" s="3"/>
      <c r="E164" s="1">
        <v>39508</v>
      </c>
      <c r="F164" s="4">
        <f t="shared" si="2"/>
        <v>368.06200000000001</v>
      </c>
    </row>
    <row r="165" spans="1:6">
      <c r="A165" s="1">
        <v>39539</v>
      </c>
      <c r="B165" s="2">
        <v>373.30200000000002</v>
      </c>
      <c r="C165" s="3"/>
      <c r="E165" s="1">
        <v>39539</v>
      </c>
      <c r="F165" s="4">
        <f t="shared" si="2"/>
        <v>370.25099999999998</v>
      </c>
    </row>
    <row r="166" spans="1:6">
      <c r="A166" s="1">
        <v>39569</v>
      </c>
      <c r="B166" s="2">
        <v>377.41899999999998</v>
      </c>
      <c r="C166" s="3"/>
      <c r="E166" s="1">
        <v>39569</v>
      </c>
      <c r="F166" s="4">
        <f t="shared" si="2"/>
        <v>373.30200000000002</v>
      </c>
    </row>
    <row r="167" spans="1:6">
      <c r="A167" s="1">
        <v>39600</v>
      </c>
      <c r="B167" s="2">
        <v>387.512</v>
      </c>
      <c r="C167" s="3"/>
      <c r="E167" s="1">
        <v>39600</v>
      </c>
      <c r="F167" s="4">
        <f t="shared" si="2"/>
        <v>377.41899999999998</v>
      </c>
    </row>
    <row r="168" spans="1:6">
      <c r="A168" s="1">
        <v>39630</v>
      </c>
      <c r="B168" s="2">
        <v>393.01799999999997</v>
      </c>
      <c r="C168" s="3"/>
      <c r="E168" s="1">
        <v>39630</v>
      </c>
      <c r="F168" s="4">
        <f t="shared" si="2"/>
        <v>387.512</v>
      </c>
    </row>
    <row r="169" spans="1:6">
      <c r="A169" s="1">
        <v>39661</v>
      </c>
      <c r="B169" s="2">
        <v>398.01499999999999</v>
      </c>
      <c r="C169" s="3"/>
      <c r="E169" s="1">
        <v>39661</v>
      </c>
      <c r="F169" s="4">
        <f t="shared" si="2"/>
        <v>393.01799999999997</v>
      </c>
    </row>
    <row r="170" spans="1:6">
      <c r="A170" s="1">
        <v>39692</v>
      </c>
      <c r="B170" s="2">
        <v>401.79700000000003</v>
      </c>
      <c r="C170" s="3"/>
      <c r="E170" s="1">
        <v>39692</v>
      </c>
      <c r="F170" s="4">
        <f t="shared" si="2"/>
        <v>398.01499999999999</v>
      </c>
    </row>
    <row r="171" spans="1:6">
      <c r="A171" s="1">
        <v>39722</v>
      </c>
      <c r="B171" s="2">
        <v>405.21199999999999</v>
      </c>
      <c r="C171" s="3"/>
      <c r="E171" s="1">
        <v>39722</v>
      </c>
      <c r="F171" s="4">
        <f t="shared" si="2"/>
        <v>401.79700000000003</v>
      </c>
    </row>
    <row r="172" spans="1:6">
      <c r="A172" s="1">
        <v>39753</v>
      </c>
      <c r="B172" s="2">
        <v>407.86</v>
      </c>
      <c r="C172" s="3"/>
      <c r="E172" s="1">
        <v>39753</v>
      </c>
      <c r="F172" s="4">
        <f t="shared" si="2"/>
        <v>405.21199999999999</v>
      </c>
    </row>
    <row r="173" spans="1:6">
      <c r="A173" s="1">
        <v>39783</v>
      </c>
      <c r="B173" s="2">
        <v>408.76499999999999</v>
      </c>
      <c r="C173" s="3"/>
      <c r="E173" s="1">
        <v>39783</v>
      </c>
      <c r="F173" s="4">
        <f t="shared" si="2"/>
        <v>407.86</v>
      </c>
    </row>
    <row r="174" spans="1:6">
      <c r="A174" s="1">
        <v>39814</v>
      </c>
      <c r="B174" s="2">
        <v>409.81099999999998</v>
      </c>
      <c r="C174" s="3"/>
      <c r="E174" s="1">
        <v>39814</v>
      </c>
      <c r="F174" s="4">
        <f t="shared" si="2"/>
        <v>408.76499999999999</v>
      </c>
    </row>
    <row r="175" spans="1:6">
      <c r="A175" s="1">
        <v>39845</v>
      </c>
      <c r="B175" s="2">
        <v>411.24900000000002</v>
      </c>
      <c r="C175" s="3"/>
      <c r="E175" s="1">
        <v>39845</v>
      </c>
      <c r="F175" s="4">
        <f t="shared" si="2"/>
        <v>409.81099999999998</v>
      </c>
    </row>
    <row r="176" spans="1:6">
      <c r="A176" s="1">
        <v>39873</v>
      </c>
      <c r="B176" s="2">
        <v>410.56900000000002</v>
      </c>
      <c r="C176" s="3"/>
      <c r="E176" s="1">
        <v>39873</v>
      </c>
      <c r="F176" s="4">
        <f t="shared" si="2"/>
        <v>411.24900000000002</v>
      </c>
    </row>
    <row r="177" spans="1:6">
      <c r="A177" s="1">
        <v>39904</v>
      </c>
      <c r="B177" s="2">
        <v>410.53100000000001</v>
      </c>
      <c r="C177" s="3"/>
      <c r="E177" s="1">
        <v>39904</v>
      </c>
      <c r="F177" s="4">
        <f t="shared" si="2"/>
        <v>410.56900000000002</v>
      </c>
    </row>
    <row r="178" spans="1:6">
      <c r="A178" s="1">
        <v>39934</v>
      </c>
      <c r="B178" s="2">
        <v>411.57</v>
      </c>
      <c r="C178" s="3"/>
      <c r="E178" s="1">
        <v>39934</v>
      </c>
      <c r="F178" s="4">
        <f t="shared" si="2"/>
        <v>410.53100000000001</v>
      </c>
    </row>
    <row r="179" spans="1:6">
      <c r="A179" s="1">
        <v>39965</v>
      </c>
      <c r="B179" s="2">
        <v>417.86</v>
      </c>
      <c r="C179" s="3"/>
      <c r="E179" s="1">
        <v>39965</v>
      </c>
      <c r="F179" s="4">
        <f t="shared" si="2"/>
        <v>411.57</v>
      </c>
    </row>
    <row r="180" spans="1:6">
      <c r="A180" s="1">
        <v>39995</v>
      </c>
      <c r="B180" s="2">
        <v>419.42200000000003</v>
      </c>
      <c r="C180" s="3"/>
      <c r="E180" s="1">
        <v>39995</v>
      </c>
      <c r="F180" s="4">
        <f t="shared" si="2"/>
        <v>417.86</v>
      </c>
    </row>
    <row r="181" spans="1:6">
      <c r="A181" s="1">
        <v>40026</v>
      </c>
      <c r="B181" s="2">
        <v>419.46800000000002</v>
      </c>
      <c r="C181" s="3"/>
      <c r="E181" s="1">
        <v>40026</v>
      </c>
      <c r="F181" s="4">
        <f t="shared" si="2"/>
        <v>419.42200000000003</v>
      </c>
    </row>
    <row r="182" spans="1:6">
      <c r="A182" s="1">
        <v>40057</v>
      </c>
      <c r="B182" s="2">
        <v>419.75799999999998</v>
      </c>
      <c r="C182" s="3"/>
      <c r="E182" s="1">
        <v>40057</v>
      </c>
      <c r="F182" s="4">
        <f t="shared" si="2"/>
        <v>419.46800000000002</v>
      </c>
    </row>
    <row r="183" spans="1:6">
      <c r="A183" s="1">
        <v>40087</v>
      </c>
      <c r="B183" s="2">
        <v>420.298</v>
      </c>
      <c r="C183" s="3"/>
      <c r="E183" s="1">
        <v>40087</v>
      </c>
      <c r="F183" s="4">
        <f t="shared" si="2"/>
        <v>419.75799999999998</v>
      </c>
    </row>
    <row r="184" spans="1:6">
      <c r="A184" s="1">
        <v>40118</v>
      </c>
      <c r="B184" s="2">
        <v>421.07</v>
      </c>
      <c r="C184" s="3"/>
      <c r="E184" s="1">
        <v>40118</v>
      </c>
      <c r="F184" s="4">
        <f t="shared" si="2"/>
        <v>420.298</v>
      </c>
    </row>
    <row r="185" spans="1:6">
      <c r="A185" s="1">
        <v>40148</v>
      </c>
      <c r="B185" s="2">
        <v>421.90800000000002</v>
      </c>
      <c r="C185" s="3"/>
      <c r="E185" s="1">
        <v>40148</v>
      </c>
      <c r="F185" s="4">
        <f t="shared" si="2"/>
        <v>421.07</v>
      </c>
    </row>
    <row r="186" spans="1:6">
      <c r="A186" s="1">
        <v>40179</v>
      </c>
      <c r="B186" s="2">
        <v>424.09399999999999</v>
      </c>
      <c r="C186" s="3"/>
      <c r="E186" s="1">
        <v>40179</v>
      </c>
      <c r="F186" s="4">
        <f t="shared" si="2"/>
        <v>421.90800000000002</v>
      </c>
    </row>
    <row r="187" spans="1:6">
      <c r="A187" s="1">
        <v>40210</v>
      </c>
      <c r="B187" s="2">
        <v>425.59</v>
      </c>
      <c r="C187" s="3"/>
      <c r="E187" s="1">
        <v>40210</v>
      </c>
      <c r="F187" s="4">
        <f t="shared" si="2"/>
        <v>424.09399999999999</v>
      </c>
    </row>
    <row r="188" spans="1:6">
      <c r="A188" s="1">
        <v>40238</v>
      </c>
      <c r="B188" s="2">
        <v>427.49799999999999</v>
      </c>
      <c r="C188" s="3"/>
      <c r="E188" s="1">
        <v>40238</v>
      </c>
      <c r="F188" s="4">
        <f t="shared" si="2"/>
        <v>425.59</v>
      </c>
    </row>
    <row r="189" spans="1:6">
      <c r="A189" s="1">
        <v>40269</v>
      </c>
      <c r="B189" s="2">
        <v>432.49099999999999</v>
      </c>
      <c r="C189" s="3"/>
      <c r="E189" s="1">
        <v>40269</v>
      </c>
      <c r="F189" s="4">
        <f t="shared" si="2"/>
        <v>427.49799999999999</v>
      </c>
    </row>
    <row r="190" spans="1:6">
      <c r="A190" s="1">
        <v>40299</v>
      </c>
      <c r="B190" s="2">
        <v>436.49900000000002</v>
      </c>
      <c r="C190" s="3"/>
      <c r="E190" s="1">
        <v>40299</v>
      </c>
      <c r="F190" s="4">
        <f t="shared" si="2"/>
        <v>432.49099999999999</v>
      </c>
    </row>
    <row r="191" spans="1:6">
      <c r="A191" s="1">
        <v>40330</v>
      </c>
      <c r="B191" s="2">
        <v>444.24299999999999</v>
      </c>
      <c r="C191" s="3"/>
      <c r="E191" s="1">
        <v>40330</v>
      </c>
      <c r="F191" s="4">
        <f t="shared" si="2"/>
        <v>436.49900000000002</v>
      </c>
    </row>
    <row r="192" spans="1:6">
      <c r="A192" s="1">
        <v>40360</v>
      </c>
      <c r="B192" s="2">
        <v>446.99200000000002</v>
      </c>
      <c r="C192" s="3"/>
      <c r="E192" s="1">
        <v>40360</v>
      </c>
      <c r="F192" s="4">
        <f t="shared" si="2"/>
        <v>444.24299999999999</v>
      </c>
    </row>
    <row r="193" spans="1:6">
      <c r="A193" s="1">
        <v>40391</v>
      </c>
      <c r="B193" s="2">
        <v>447.99599999999998</v>
      </c>
      <c r="C193" s="3"/>
      <c r="E193" s="1">
        <v>40391</v>
      </c>
      <c r="F193" s="4">
        <f t="shared" si="2"/>
        <v>446.99200000000002</v>
      </c>
    </row>
    <row r="194" spans="1:6">
      <c r="A194" s="1">
        <v>40422</v>
      </c>
      <c r="B194" s="2">
        <v>448.892</v>
      </c>
      <c r="C194" s="3"/>
      <c r="E194" s="1">
        <v>40422</v>
      </c>
      <c r="F194" s="4">
        <f t="shared" si="2"/>
        <v>447.99599999999998</v>
      </c>
    </row>
    <row r="195" spans="1:6">
      <c r="A195" s="1">
        <v>40452</v>
      </c>
      <c r="B195" s="2">
        <v>449.58699999999999</v>
      </c>
      <c r="C195" s="3"/>
      <c r="E195" s="1">
        <v>40452</v>
      </c>
      <c r="F195" s="4">
        <f t="shared" ref="F195:F258" si="3">B194</f>
        <v>448.892</v>
      </c>
    </row>
    <row r="196" spans="1:6">
      <c r="A196" s="1">
        <v>40483</v>
      </c>
      <c r="B196" s="2">
        <v>451.21499999999997</v>
      </c>
      <c r="C196" s="3"/>
      <c r="E196" s="1">
        <v>40483</v>
      </c>
      <c r="F196" s="4">
        <f t="shared" si="3"/>
        <v>449.58699999999999</v>
      </c>
    </row>
    <row r="197" spans="1:6">
      <c r="A197" s="1">
        <v>40513</v>
      </c>
      <c r="B197" s="2">
        <v>453.87599999999998</v>
      </c>
      <c r="C197" s="3"/>
      <c r="E197" s="1">
        <v>40513</v>
      </c>
      <c r="F197" s="4">
        <f t="shared" si="3"/>
        <v>451.21499999999997</v>
      </c>
    </row>
    <row r="198" spans="1:6">
      <c r="A198" s="1">
        <v>40544</v>
      </c>
      <c r="B198" s="2">
        <v>455.56200000000001</v>
      </c>
      <c r="C198" s="3"/>
      <c r="E198" s="1">
        <v>40544</v>
      </c>
      <c r="F198" s="4">
        <f t="shared" si="3"/>
        <v>453.87599999999998</v>
      </c>
    </row>
    <row r="199" spans="1:6">
      <c r="A199" s="1">
        <v>40575</v>
      </c>
      <c r="B199" s="2">
        <v>457.33300000000003</v>
      </c>
      <c r="C199" s="3"/>
      <c r="E199" s="1">
        <v>40575</v>
      </c>
      <c r="F199" s="4">
        <f t="shared" si="3"/>
        <v>455.56200000000001</v>
      </c>
    </row>
    <row r="200" spans="1:6">
      <c r="A200" s="1">
        <v>40603</v>
      </c>
      <c r="B200" s="2">
        <v>459.36</v>
      </c>
      <c r="C200" s="3"/>
      <c r="E200" s="1">
        <v>40603</v>
      </c>
      <c r="F200" s="4">
        <f t="shared" si="3"/>
        <v>457.33300000000003</v>
      </c>
    </row>
    <row r="201" spans="1:6">
      <c r="A201" s="1">
        <v>40634</v>
      </c>
      <c r="B201" s="2">
        <v>462.79300000000001</v>
      </c>
      <c r="C201" s="3"/>
      <c r="E201" s="1">
        <v>40634</v>
      </c>
      <c r="F201" s="4">
        <f t="shared" si="3"/>
        <v>459.36</v>
      </c>
    </row>
    <row r="202" spans="1:6">
      <c r="A202" s="1">
        <v>40664</v>
      </c>
      <c r="B202" s="2">
        <v>472.20299999999997</v>
      </c>
      <c r="C202" s="3"/>
      <c r="E202" s="1">
        <v>40664</v>
      </c>
      <c r="F202" s="4">
        <f t="shared" si="3"/>
        <v>462.79300000000001</v>
      </c>
    </row>
    <row r="203" spans="1:6">
      <c r="A203" s="1">
        <v>40695</v>
      </c>
      <c r="B203" s="2">
        <v>478.935</v>
      </c>
      <c r="C203" s="3"/>
      <c r="E203" s="1">
        <v>40695</v>
      </c>
      <c r="F203" s="4">
        <f t="shared" si="3"/>
        <v>472.20299999999997</v>
      </c>
    </row>
    <row r="204" spans="1:6">
      <c r="A204" s="1">
        <v>40725</v>
      </c>
      <c r="B204" s="2">
        <v>481.76799999999997</v>
      </c>
      <c r="C204" s="3"/>
      <c r="E204" s="1">
        <v>40725</v>
      </c>
      <c r="F204" s="4">
        <f t="shared" si="3"/>
        <v>478.935</v>
      </c>
    </row>
    <row r="205" spans="1:6">
      <c r="A205" s="1">
        <v>40756</v>
      </c>
      <c r="B205" s="2">
        <v>482.51799999999997</v>
      </c>
      <c r="C205" s="3"/>
      <c r="E205" s="1">
        <v>40756</v>
      </c>
      <c r="F205" s="4">
        <f t="shared" si="3"/>
        <v>481.76799999999997</v>
      </c>
    </row>
    <row r="206" spans="1:6">
      <c r="A206" s="1">
        <v>40787</v>
      </c>
      <c r="B206" s="2">
        <v>483.19900000000001</v>
      </c>
      <c r="C206" s="3"/>
      <c r="E206" s="1">
        <v>40787</v>
      </c>
      <c r="F206" s="4">
        <f t="shared" si="3"/>
        <v>482.51799999999997</v>
      </c>
    </row>
    <row r="207" spans="1:6">
      <c r="A207" s="1">
        <v>40817</v>
      </c>
      <c r="B207" s="2">
        <v>484.185</v>
      </c>
      <c r="C207" s="3"/>
      <c r="E207" s="1">
        <v>40817</v>
      </c>
      <c r="F207" s="4">
        <f t="shared" si="3"/>
        <v>483.19900000000001</v>
      </c>
    </row>
    <row r="208" spans="1:6">
      <c r="A208" s="1">
        <v>40848</v>
      </c>
      <c r="B208" s="2">
        <v>486.61</v>
      </c>
      <c r="C208" s="3"/>
      <c r="E208" s="1">
        <v>40848</v>
      </c>
      <c r="F208" s="4">
        <f t="shared" si="3"/>
        <v>484.185</v>
      </c>
    </row>
    <row r="209" spans="1:6">
      <c r="A209" s="1">
        <v>40878</v>
      </c>
      <c r="B209" s="2">
        <v>488.298</v>
      </c>
      <c r="C209" s="3"/>
      <c r="E209" s="1">
        <v>40878</v>
      </c>
      <c r="F209" s="4">
        <f t="shared" si="3"/>
        <v>486.61</v>
      </c>
    </row>
    <row r="210" spans="1:6">
      <c r="A210" s="1">
        <v>40909</v>
      </c>
      <c r="B210" s="2">
        <v>491.54899999999998</v>
      </c>
      <c r="C210" s="3"/>
      <c r="E210" s="1">
        <v>40909</v>
      </c>
      <c r="F210" s="4">
        <f t="shared" si="3"/>
        <v>488.298</v>
      </c>
    </row>
    <row r="211" spans="1:6">
      <c r="A211" s="1">
        <v>40940</v>
      </c>
      <c r="B211" s="2">
        <v>493.608</v>
      </c>
      <c r="C211" s="3"/>
      <c r="E211" s="1">
        <v>40940</v>
      </c>
      <c r="F211" s="4">
        <f t="shared" si="3"/>
        <v>491.54899999999998</v>
      </c>
    </row>
    <row r="212" spans="1:6">
      <c r="A212" s="1">
        <v>40969</v>
      </c>
      <c r="B212" s="2">
        <v>495.43299999999999</v>
      </c>
      <c r="C212" s="3"/>
      <c r="E212" s="1">
        <v>40969</v>
      </c>
      <c r="F212" s="4">
        <f t="shared" si="3"/>
        <v>493.608</v>
      </c>
    </row>
    <row r="213" spans="1:6">
      <c r="A213" s="1">
        <v>41000</v>
      </c>
      <c r="B213" s="2">
        <v>499.548</v>
      </c>
      <c r="C213" s="3"/>
      <c r="E213" s="1">
        <v>41000</v>
      </c>
      <c r="F213" s="4">
        <f t="shared" si="3"/>
        <v>495.43299999999999</v>
      </c>
    </row>
    <row r="214" spans="1:6">
      <c r="A214" s="1">
        <v>41030</v>
      </c>
      <c r="B214" s="2">
        <v>506.02</v>
      </c>
      <c r="C214" s="3"/>
      <c r="E214" s="1">
        <v>41030</v>
      </c>
      <c r="F214" s="4">
        <f t="shared" si="3"/>
        <v>499.548</v>
      </c>
    </row>
    <row r="215" spans="1:6">
      <c r="A215" s="1">
        <v>41061</v>
      </c>
      <c r="B215" s="2">
        <v>512.62800000000004</v>
      </c>
      <c r="C215" s="3"/>
      <c r="E215" s="1">
        <v>41061</v>
      </c>
      <c r="F215" s="4">
        <f t="shared" si="3"/>
        <v>506.02</v>
      </c>
    </row>
    <row r="216" spans="1:6">
      <c r="A216" s="1">
        <v>41091</v>
      </c>
      <c r="B216" s="2">
        <v>516.96299999999997</v>
      </c>
      <c r="C216" s="3"/>
      <c r="E216" s="1">
        <v>41091</v>
      </c>
      <c r="F216" s="4">
        <f t="shared" si="3"/>
        <v>512.62800000000004</v>
      </c>
    </row>
    <row r="217" spans="1:6">
      <c r="A217" s="1">
        <v>41122</v>
      </c>
      <c r="B217" s="2">
        <v>518.61599999999999</v>
      </c>
      <c r="C217" s="3"/>
      <c r="E217" s="1">
        <v>41122</v>
      </c>
      <c r="F217" s="4">
        <f t="shared" si="3"/>
        <v>516.96299999999997</v>
      </c>
    </row>
    <row r="218" spans="1:6">
      <c r="A218" s="1">
        <v>41153</v>
      </c>
      <c r="B218" s="2">
        <v>519.68100000000004</v>
      </c>
      <c r="C218" s="3"/>
      <c r="E218" s="1">
        <v>41153</v>
      </c>
      <c r="F218" s="4">
        <f t="shared" si="3"/>
        <v>518.61599999999999</v>
      </c>
    </row>
    <row r="219" spans="1:6">
      <c r="A219" s="1">
        <v>41183</v>
      </c>
      <c r="B219" s="2">
        <v>520.94000000000005</v>
      </c>
      <c r="C219" s="3"/>
      <c r="E219" s="1">
        <v>41183</v>
      </c>
      <c r="F219" s="4">
        <f t="shared" si="3"/>
        <v>519.68100000000004</v>
      </c>
    </row>
    <row r="220" spans="1:6">
      <c r="A220" s="1">
        <v>41214</v>
      </c>
      <c r="B220" s="2">
        <v>522.13599999999997</v>
      </c>
      <c r="C220" s="3"/>
      <c r="E220" s="1">
        <v>41214</v>
      </c>
      <c r="F220" s="4">
        <f t="shared" si="3"/>
        <v>520.94000000000005</v>
      </c>
    </row>
    <row r="221" spans="1:6">
      <c r="A221" s="1">
        <v>41244</v>
      </c>
      <c r="B221" s="2">
        <v>523.62400000000002</v>
      </c>
      <c r="C221" s="3"/>
      <c r="E221" s="1">
        <v>41244</v>
      </c>
      <c r="F221" s="4">
        <f t="shared" si="3"/>
        <v>522.13599999999997</v>
      </c>
    </row>
    <row r="222" spans="1:6">
      <c r="A222" s="1">
        <v>41275</v>
      </c>
      <c r="B222" s="2">
        <v>525.65099999999995</v>
      </c>
      <c r="C222" s="3"/>
      <c r="E222" s="1">
        <v>41275</v>
      </c>
      <c r="F222" s="4">
        <f t="shared" si="3"/>
        <v>523.62400000000002</v>
      </c>
    </row>
    <row r="223" spans="1:6">
      <c r="A223" s="1">
        <v>41306</v>
      </c>
      <c r="B223" s="2">
        <v>529.87900000000002</v>
      </c>
      <c r="C223" s="3"/>
      <c r="E223" s="1">
        <v>41306</v>
      </c>
      <c r="F223" s="4">
        <f t="shared" si="3"/>
        <v>525.65099999999995</v>
      </c>
    </row>
    <row r="224" spans="1:6">
      <c r="A224" s="1">
        <v>41334</v>
      </c>
      <c r="B224" s="2">
        <v>531.33900000000006</v>
      </c>
      <c r="C224" s="3"/>
      <c r="E224" s="1">
        <v>41334</v>
      </c>
      <c r="F224" s="4">
        <f t="shared" si="3"/>
        <v>529.87900000000002</v>
      </c>
    </row>
    <row r="225" spans="1:6">
      <c r="A225" s="1">
        <v>41365</v>
      </c>
      <c r="B225" s="2">
        <v>535.77700000000004</v>
      </c>
      <c r="C225" s="3"/>
      <c r="E225" s="1">
        <v>41365</v>
      </c>
      <c r="F225" s="4">
        <f t="shared" si="3"/>
        <v>531.33900000000006</v>
      </c>
    </row>
    <row r="226" spans="1:6">
      <c r="A226" s="1">
        <v>41395</v>
      </c>
      <c r="B226" s="2">
        <v>542.40200000000004</v>
      </c>
      <c r="C226" s="3"/>
      <c r="E226" s="1">
        <v>41395</v>
      </c>
      <c r="F226" s="4">
        <f t="shared" si="3"/>
        <v>535.77700000000004</v>
      </c>
    </row>
    <row r="227" spans="1:6">
      <c r="A227" s="1">
        <v>41426</v>
      </c>
      <c r="B227" s="2">
        <v>553.00699999999995</v>
      </c>
      <c r="C227" s="3"/>
      <c r="E227" s="1">
        <v>41426</v>
      </c>
      <c r="F227" s="4">
        <f t="shared" si="3"/>
        <v>542.40200000000004</v>
      </c>
    </row>
    <row r="228" spans="1:6">
      <c r="A228" s="1">
        <v>41456</v>
      </c>
      <c r="B228" s="2">
        <v>557.04</v>
      </c>
      <c r="C228" s="3"/>
      <c r="E228" s="1">
        <v>41456</v>
      </c>
      <c r="F228" s="4">
        <f t="shared" si="3"/>
        <v>553.00699999999995</v>
      </c>
    </row>
    <row r="229" spans="1:6">
      <c r="A229" s="1">
        <v>41487</v>
      </c>
      <c r="B229" s="2">
        <v>558.77700000000004</v>
      </c>
      <c r="C229" s="3"/>
      <c r="E229" s="1">
        <v>41487</v>
      </c>
      <c r="F229" s="4">
        <f t="shared" si="3"/>
        <v>557.04</v>
      </c>
    </row>
    <row r="230" spans="1:6">
      <c r="A230" s="1">
        <v>41518</v>
      </c>
      <c r="B230" s="2">
        <v>561.20299999999997</v>
      </c>
      <c r="C230" s="3"/>
      <c r="E230" s="1">
        <v>41518</v>
      </c>
      <c r="F230" s="4">
        <f t="shared" si="3"/>
        <v>558.77700000000004</v>
      </c>
    </row>
    <row r="231" spans="1:6">
      <c r="A231" s="1">
        <v>41548</v>
      </c>
      <c r="B231" s="2">
        <v>563.03399999999999</v>
      </c>
      <c r="C231" s="3"/>
      <c r="E231" s="1">
        <v>41548</v>
      </c>
      <c r="F231" s="4">
        <f t="shared" si="3"/>
        <v>561.20299999999997</v>
      </c>
    </row>
    <row r="232" spans="1:6">
      <c r="A232" s="1">
        <v>41579</v>
      </c>
      <c r="B232" s="2">
        <v>564.55799999999999</v>
      </c>
      <c r="C232" s="3"/>
      <c r="E232" s="1">
        <v>41579</v>
      </c>
      <c r="F232" s="4">
        <f t="shared" si="3"/>
        <v>563.03399999999999</v>
      </c>
    </row>
    <row r="233" spans="1:6">
      <c r="A233" s="1">
        <v>41609</v>
      </c>
      <c r="B233" s="2">
        <v>565.78599999999994</v>
      </c>
      <c r="C233" s="3"/>
      <c r="E233" s="1">
        <v>41609</v>
      </c>
      <c r="F233" s="4">
        <f t="shared" si="3"/>
        <v>564.55799999999999</v>
      </c>
    </row>
    <row r="234" spans="1:6">
      <c r="A234" s="1">
        <v>41640</v>
      </c>
      <c r="B234" s="2">
        <v>569.745</v>
      </c>
      <c r="C234" s="3"/>
      <c r="E234" s="1">
        <v>41640</v>
      </c>
      <c r="F234" s="4">
        <f t="shared" si="3"/>
        <v>565.78599999999994</v>
      </c>
    </row>
    <row r="235" spans="1:6">
      <c r="A235" s="1">
        <v>41671</v>
      </c>
      <c r="B235" s="2">
        <v>572.25400000000002</v>
      </c>
      <c r="C235" s="3"/>
      <c r="E235" s="1">
        <v>41671</v>
      </c>
      <c r="F235" s="4">
        <f t="shared" si="3"/>
        <v>569.745</v>
      </c>
    </row>
    <row r="236" spans="1:6">
      <c r="A236" s="1">
        <v>41699</v>
      </c>
      <c r="B236" s="2">
        <v>573.505</v>
      </c>
      <c r="C236" s="3"/>
      <c r="E236" s="1">
        <v>41699</v>
      </c>
      <c r="F236" s="4">
        <f t="shared" si="3"/>
        <v>572.25400000000002</v>
      </c>
    </row>
    <row r="237" spans="1:6">
      <c r="A237" s="1">
        <v>41730</v>
      </c>
      <c r="B237" s="2">
        <v>577.322</v>
      </c>
      <c r="C237" s="3"/>
      <c r="E237" s="1">
        <v>41730</v>
      </c>
      <c r="F237" s="4">
        <f t="shared" si="3"/>
        <v>573.505</v>
      </c>
    </row>
    <row r="238" spans="1:6">
      <c r="A238" s="1">
        <v>41760</v>
      </c>
      <c r="B238" s="2">
        <v>585.20699999999999</v>
      </c>
      <c r="C238" s="3"/>
      <c r="E238" s="1">
        <v>41760</v>
      </c>
      <c r="F238" s="4">
        <f t="shared" si="3"/>
        <v>577.322</v>
      </c>
    </row>
    <row r="239" spans="1:6">
      <c r="A239" s="1">
        <v>41791</v>
      </c>
      <c r="B239" s="2">
        <v>592.51</v>
      </c>
      <c r="C239" s="3"/>
      <c r="E239" s="1">
        <v>41791</v>
      </c>
      <c r="F239" s="4">
        <f t="shared" si="3"/>
        <v>585.20699999999999</v>
      </c>
    </row>
    <row r="240" spans="1:6">
      <c r="A240" s="1">
        <v>41821</v>
      </c>
      <c r="B240" s="2">
        <v>597.25099999999998</v>
      </c>
      <c r="C240" s="3"/>
      <c r="E240" s="1">
        <v>41821</v>
      </c>
      <c r="F240" s="4">
        <f t="shared" si="3"/>
        <v>592.51</v>
      </c>
    </row>
    <row r="241" spans="1:6">
      <c r="A241" s="1">
        <v>41852</v>
      </c>
      <c r="B241" s="2">
        <v>598.38699999999994</v>
      </c>
      <c r="C241" s="3"/>
      <c r="E241" s="1">
        <v>41852</v>
      </c>
      <c r="F241" s="4">
        <f t="shared" si="3"/>
        <v>597.25099999999998</v>
      </c>
    </row>
    <row r="242" spans="1:6">
      <c r="A242" s="1">
        <v>41883</v>
      </c>
      <c r="B242" s="2">
        <v>599.33299999999997</v>
      </c>
      <c r="C242" s="3"/>
      <c r="E242" s="1">
        <v>41883</v>
      </c>
      <c r="F242" s="4">
        <f t="shared" si="3"/>
        <v>598.38699999999994</v>
      </c>
    </row>
    <row r="243" spans="1:6">
      <c r="A243" s="1">
        <v>41913</v>
      </c>
      <c r="B243" s="2">
        <v>600.54899999999998</v>
      </c>
      <c r="C243" s="3"/>
      <c r="E243" s="1">
        <v>41913</v>
      </c>
      <c r="F243" s="4">
        <f t="shared" si="3"/>
        <v>599.33299999999997</v>
      </c>
    </row>
    <row r="244" spans="1:6">
      <c r="A244" s="1">
        <v>41944</v>
      </c>
      <c r="B244" s="2">
        <v>602.36</v>
      </c>
      <c r="C244" s="3"/>
      <c r="E244" s="1">
        <v>41944</v>
      </c>
      <c r="F244" s="4">
        <f t="shared" si="3"/>
        <v>600.54899999999998</v>
      </c>
    </row>
    <row r="245" spans="1:6">
      <c r="A245" s="1">
        <v>41974</v>
      </c>
      <c r="B245" s="2">
        <v>603.89499999999998</v>
      </c>
      <c r="C245" s="3"/>
      <c r="E245" s="1">
        <v>41974</v>
      </c>
      <c r="F245" s="4">
        <f t="shared" si="3"/>
        <v>602.36</v>
      </c>
    </row>
    <row r="246" spans="1:6">
      <c r="A246" s="1">
        <v>42005</v>
      </c>
      <c r="B246" s="2">
        <v>608.13099999999997</v>
      </c>
      <c r="C246" s="3"/>
      <c r="E246" s="1">
        <v>42005</v>
      </c>
      <c r="F246" s="4">
        <f t="shared" si="3"/>
        <v>603.89499999999998</v>
      </c>
    </row>
    <row r="247" spans="1:6">
      <c r="A247" s="1">
        <v>42036</v>
      </c>
      <c r="B247" s="2">
        <v>611.18799999999999</v>
      </c>
      <c r="C247" s="3"/>
      <c r="E247" s="1">
        <v>42036</v>
      </c>
      <c r="F247" s="4">
        <f t="shared" si="3"/>
        <v>608.13099999999997</v>
      </c>
    </row>
    <row r="248" spans="1:6">
      <c r="A248" s="1">
        <v>42064</v>
      </c>
      <c r="B248" s="2">
        <v>613.37400000000002</v>
      </c>
      <c r="C248" s="3"/>
      <c r="E248" s="1">
        <v>42064</v>
      </c>
      <c r="F248" s="4">
        <f t="shared" si="3"/>
        <v>611.18799999999999</v>
      </c>
    </row>
    <row r="249" spans="1:6">
      <c r="A249" s="1">
        <v>42095</v>
      </c>
      <c r="B249" s="2">
        <v>617.36</v>
      </c>
      <c r="C249" s="3"/>
      <c r="E249" s="1">
        <v>42095</v>
      </c>
      <c r="F249" s="4">
        <f t="shared" si="3"/>
        <v>613.37400000000002</v>
      </c>
    </row>
    <row r="250" spans="1:6">
      <c r="A250" s="1">
        <v>42125</v>
      </c>
      <c r="B250" s="2">
        <v>620.12099999999998</v>
      </c>
      <c r="C250" s="3"/>
      <c r="E250" s="1">
        <v>42125</v>
      </c>
      <c r="F250" s="4">
        <f t="shared" si="3"/>
        <v>617.36</v>
      </c>
    </row>
    <row r="251" spans="1:6">
      <c r="A251" s="1">
        <v>42156</v>
      </c>
      <c r="B251" s="2">
        <v>631.74699999999996</v>
      </c>
      <c r="C251" s="3"/>
      <c r="E251" s="1">
        <v>42156</v>
      </c>
      <c r="F251" s="4">
        <f t="shared" si="3"/>
        <v>620.12099999999998</v>
      </c>
    </row>
    <row r="252" spans="1:6">
      <c r="A252" s="1">
        <v>42186</v>
      </c>
      <c r="B252" s="2">
        <v>635.93499999999995</v>
      </c>
      <c r="C252" s="3"/>
      <c r="E252" s="1">
        <v>42186</v>
      </c>
      <c r="F252" s="4">
        <f t="shared" si="3"/>
        <v>631.74699999999996</v>
      </c>
    </row>
    <row r="253" spans="1:6">
      <c r="A253" s="1">
        <v>42217</v>
      </c>
      <c r="B253" s="2">
        <v>641.01900000000001</v>
      </c>
      <c r="C253" s="3"/>
      <c r="E253" s="1">
        <v>42217</v>
      </c>
      <c r="F253" s="4">
        <f t="shared" si="3"/>
        <v>635.93499999999995</v>
      </c>
    </row>
    <row r="254" spans="1:6">
      <c r="A254" s="1">
        <v>42248</v>
      </c>
      <c r="B254" s="2">
        <v>642.40700000000004</v>
      </c>
      <c r="C254" s="3"/>
      <c r="E254" s="1">
        <v>42248</v>
      </c>
      <c r="F254" s="4">
        <f t="shared" si="3"/>
        <v>641.01900000000001</v>
      </c>
    </row>
    <row r="255" spans="1:6">
      <c r="A255" s="1">
        <v>42278</v>
      </c>
      <c r="B255" s="2">
        <v>644.12300000000005</v>
      </c>
      <c r="C255" s="3"/>
      <c r="E255" s="1">
        <v>42278</v>
      </c>
      <c r="F255" s="4">
        <f t="shared" si="3"/>
        <v>642.40700000000004</v>
      </c>
    </row>
    <row r="256" spans="1:6">
      <c r="A256" s="1">
        <v>42309</v>
      </c>
      <c r="B256" s="2">
        <v>646.721</v>
      </c>
      <c r="C256" s="3"/>
      <c r="E256" s="1">
        <v>42309</v>
      </c>
      <c r="F256" s="4">
        <f t="shared" si="3"/>
        <v>644.12300000000005</v>
      </c>
    </row>
    <row r="257" spans="1:6">
      <c r="A257" s="1">
        <v>42339</v>
      </c>
      <c r="B257" s="2">
        <v>647.49199999999996</v>
      </c>
      <c r="C257" s="3"/>
      <c r="E257" s="1">
        <v>42339</v>
      </c>
      <c r="F257" s="4">
        <f t="shared" si="3"/>
        <v>646.721</v>
      </c>
    </row>
    <row r="258" spans="1:6">
      <c r="A258" s="1">
        <v>42370</v>
      </c>
      <c r="B258" s="2">
        <v>649.59199999999998</v>
      </c>
      <c r="C258" s="3"/>
      <c r="E258" s="1">
        <v>42370</v>
      </c>
      <c r="F258" s="4">
        <f t="shared" si="3"/>
        <v>647.49199999999996</v>
      </c>
    </row>
    <row r="259" spans="1:6">
      <c r="A259" s="1">
        <v>42401</v>
      </c>
      <c r="B259" s="2">
        <v>652.97500000000002</v>
      </c>
      <c r="C259" s="3"/>
      <c r="E259" s="1">
        <v>42401</v>
      </c>
      <c r="F259" s="4">
        <f t="shared" ref="F259:F322" si="4">B258</f>
        <v>649.59199999999998</v>
      </c>
    </row>
    <row r="260" spans="1:6">
      <c r="A260" s="1">
        <v>42430</v>
      </c>
      <c r="B260" s="2">
        <v>658.149</v>
      </c>
      <c r="C260" s="3"/>
      <c r="E260" s="1">
        <v>42430</v>
      </c>
      <c r="F260" s="4">
        <f t="shared" si="4"/>
        <v>652.97500000000002</v>
      </c>
    </row>
    <row r="261" spans="1:6">
      <c r="A261" s="1">
        <v>42461</v>
      </c>
      <c r="B261" s="2">
        <v>660.85299999999995</v>
      </c>
      <c r="C261" s="3"/>
      <c r="E261" s="1">
        <v>42461</v>
      </c>
      <c r="F261" s="4">
        <f t="shared" si="4"/>
        <v>658.149</v>
      </c>
    </row>
    <row r="262" spans="1:6">
      <c r="A262" s="1">
        <v>42491</v>
      </c>
      <c r="B262" s="2">
        <v>662.08900000000006</v>
      </c>
      <c r="C262" s="3"/>
      <c r="E262" s="1">
        <v>42491</v>
      </c>
      <c r="F262" s="4">
        <f t="shared" si="4"/>
        <v>660.85299999999995</v>
      </c>
    </row>
    <row r="263" spans="1:6">
      <c r="A263" s="1">
        <v>42522</v>
      </c>
      <c r="B263" s="2">
        <v>672.15599999999995</v>
      </c>
      <c r="C263" s="3"/>
      <c r="E263" s="1">
        <v>42522</v>
      </c>
      <c r="F263" s="4">
        <f t="shared" si="4"/>
        <v>662.08900000000006</v>
      </c>
    </row>
    <row r="264" spans="1:6">
      <c r="A264" s="1">
        <v>42552</v>
      </c>
      <c r="B264" s="2">
        <v>679.46900000000005</v>
      </c>
      <c r="C264" s="3"/>
      <c r="E264" s="1">
        <v>42552</v>
      </c>
      <c r="F264" s="4">
        <f t="shared" si="4"/>
        <v>672.15599999999995</v>
      </c>
    </row>
    <row r="265" spans="1:6">
      <c r="A265" s="1">
        <v>42583</v>
      </c>
      <c r="B265" s="2">
        <v>681.23</v>
      </c>
      <c r="C265" s="3"/>
      <c r="E265" s="1">
        <v>42583</v>
      </c>
      <c r="F265" s="4">
        <f t="shared" si="4"/>
        <v>679.46900000000005</v>
      </c>
    </row>
    <row r="266" spans="1:6">
      <c r="A266" s="1">
        <v>42614</v>
      </c>
      <c r="B266" s="2">
        <v>683.76400000000001</v>
      </c>
      <c r="C266" s="3"/>
      <c r="E266" s="1">
        <v>42614</v>
      </c>
      <c r="F266" s="4">
        <f t="shared" si="4"/>
        <v>681.23</v>
      </c>
    </row>
    <row r="267" spans="1:6">
      <c r="A267" s="1">
        <v>42644</v>
      </c>
      <c r="B267" s="2">
        <v>684.95500000000004</v>
      </c>
      <c r="C267" s="3"/>
      <c r="E267" s="1">
        <v>42644</v>
      </c>
      <c r="F267" s="4">
        <f t="shared" si="4"/>
        <v>683.76400000000001</v>
      </c>
    </row>
    <row r="268" spans="1:6">
      <c r="A268" s="1">
        <v>42675</v>
      </c>
      <c r="B268" s="2">
        <v>686.11800000000005</v>
      </c>
      <c r="C268" s="3"/>
      <c r="E268" s="1">
        <v>42675</v>
      </c>
      <c r="F268" s="4">
        <f t="shared" si="4"/>
        <v>684.95500000000004</v>
      </c>
    </row>
    <row r="269" spans="1:6">
      <c r="A269" s="1">
        <v>42705</v>
      </c>
      <c r="B269" s="2">
        <v>688.61</v>
      </c>
      <c r="C269" s="3"/>
      <c r="E269" s="1">
        <v>42705</v>
      </c>
      <c r="F269" s="4">
        <f t="shared" si="4"/>
        <v>686.11800000000005</v>
      </c>
    </row>
    <row r="270" spans="1:6">
      <c r="A270" s="1">
        <v>42736</v>
      </c>
      <c r="B270" s="2">
        <v>690.61400000000003</v>
      </c>
      <c r="C270" s="3"/>
      <c r="E270" s="1">
        <v>42736</v>
      </c>
      <c r="F270" s="4">
        <f t="shared" si="4"/>
        <v>688.61</v>
      </c>
    </row>
    <row r="271" spans="1:6">
      <c r="A271" s="1">
        <v>42767</v>
      </c>
      <c r="B271" s="2">
        <v>694.25800000000004</v>
      </c>
      <c r="C271" s="3"/>
      <c r="E271" s="1">
        <v>42767</v>
      </c>
      <c r="F271" s="4">
        <f t="shared" si="4"/>
        <v>690.61400000000003</v>
      </c>
    </row>
    <row r="272" spans="1:6">
      <c r="A272" s="1">
        <v>42795</v>
      </c>
      <c r="B272" s="2">
        <v>696.78200000000004</v>
      </c>
      <c r="C272" s="3"/>
      <c r="E272" s="1">
        <v>42795</v>
      </c>
      <c r="F272" s="4">
        <f t="shared" si="4"/>
        <v>694.25800000000004</v>
      </c>
    </row>
    <row r="273" spans="1:6">
      <c r="A273" s="1">
        <v>42826</v>
      </c>
      <c r="B273" s="2">
        <v>696.21600000000001</v>
      </c>
      <c r="C273" s="3"/>
      <c r="E273" s="1">
        <v>42826</v>
      </c>
      <c r="F273" s="4">
        <f t="shared" si="4"/>
        <v>696.78200000000004</v>
      </c>
    </row>
    <row r="274" spans="1:6">
      <c r="A274" s="1">
        <v>42856</v>
      </c>
      <c r="B274" s="2">
        <v>697.11699999999996</v>
      </c>
      <c r="C274" s="3"/>
      <c r="E274" s="1">
        <v>42856</v>
      </c>
      <c r="F274" s="4">
        <f t="shared" si="4"/>
        <v>696.21600000000001</v>
      </c>
    </row>
    <row r="275" spans="1:6">
      <c r="A275" s="1">
        <v>42887</v>
      </c>
      <c r="B275" s="2">
        <v>706.596</v>
      </c>
      <c r="C275" s="3"/>
      <c r="E275" s="1">
        <v>42887</v>
      </c>
      <c r="F275" s="4">
        <f t="shared" si="4"/>
        <v>697.11699999999996</v>
      </c>
    </row>
    <row r="276" spans="1:6">
      <c r="A276" s="1">
        <v>42917</v>
      </c>
      <c r="B276" s="2">
        <v>708.13499999999999</v>
      </c>
      <c r="C276" s="3"/>
      <c r="E276" s="1">
        <v>42917</v>
      </c>
      <c r="F276" s="4">
        <f t="shared" si="4"/>
        <v>706.596</v>
      </c>
    </row>
    <row r="277" spans="1:6">
      <c r="A277" s="1">
        <v>42948</v>
      </c>
      <c r="B277" s="2">
        <v>710.95399999999995</v>
      </c>
      <c r="C277" s="3"/>
      <c r="E277" s="1">
        <v>42948</v>
      </c>
      <c r="F277" s="4">
        <f t="shared" si="4"/>
        <v>708.13499999999999</v>
      </c>
    </row>
    <row r="278" spans="1:6">
      <c r="A278" s="1">
        <v>42979</v>
      </c>
      <c r="B278" s="2">
        <v>711.971</v>
      </c>
      <c r="C278" s="3"/>
      <c r="E278" s="1">
        <v>42979</v>
      </c>
      <c r="F278" s="4">
        <f t="shared" si="4"/>
        <v>710.95399999999995</v>
      </c>
    </row>
    <row r="279" spans="1:6">
      <c r="A279" s="1">
        <v>43009</v>
      </c>
      <c r="B279" s="2">
        <v>713.35400000000004</v>
      </c>
      <c r="C279" s="3"/>
      <c r="E279" s="1">
        <v>43009</v>
      </c>
      <c r="F279" s="4">
        <f t="shared" si="4"/>
        <v>711.971</v>
      </c>
    </row>
    <row r="280" spans="1:6">
      <c r="A280" s="1">
        <v>43040</v>
      </c>
      <c r="B280" s="2">
        <v>715.31799999999998</v>
      </c>
      <c r="C280" s="3"/>
      <c r="E280" s="1">
        <v>43040</v>
      </c>
      <c r="F280" s="4">
        <f t="shared" si="4"/>
        <v>713.35400000000004</v>
      </c>
    </row>
    <row r="281" spans="1:6">
      <c r="A281" s="1">
        <v>43070</v>
      </c>
      <c r="B281" s="2">
        <v>716.28700000000003</v>
      </c>
      <c r="C281" s="3"/>
      <c r="E281" s="1">
        <v>43070</v>
      </c>
      <c r="F281" s="4">
        <f t="shared" si="4"/>
        <v>715.31799999999998</v>
      </c>
    </row>
    <row r="282" spans="1:6">
      <c r="A282" s="1">
        <v>43101</v>
      </c>
      <c r="B282" s="2">
        <v>718.303</v>
      </c>
      <c r="C282" s="3"/>
      <c r="E282" s="1">
        <v>43101</v>
      </c>
      <c r="F282" s="4">
        <f t="shared" si="4"/>
        <v>716.28700000000003</v>
      </c>
    </row>
    <row r="283" spans="1:6">
      <c r="A283" s="1">
        <v>43132</v>
      </c>
      <c r="B283" s="2">
        <v>719.33199999999999</v>
      </c>
      <c r="C283" s="3"/>
      <c r="E283" s="1">
        <v>43132</v>
      </c>
      <c r="F283" s="4">
        <f t="shared" si="4"/>
        <v>718.303</v>
      </c>
    </row>
    <row r="284" spans="1:6">
      <c r="A284" s="1">
        <v>43160</v>
      </c>
      <c r="B284" s="2">
        <v>720.95299999999997</v>
      </c>
      <c r="C284" s="3"/>
      <c r="E284" s="1">
        <v>43160</v>
      </c>
      <c r="F284" s="4">
        <f t="shared" si="4"/>
        <v>719.33199999999999</v>
      </c>
    </row>
    <row r="285" spans="1:6">
      <c r="A285" s="1">
        <v>43191</v>
      </c>
      <c r="B285" s="2">
        <v>722.98299999999995</v>
      </c>
      <c r="C285" s="3"/>
      <c r="E285" s="1">
        <v>43191</v>
      </c>
      <c r="F285" s="4">
        <f t="shared" si="4"/>
        <v>720.95299999999997</v>
      </c>
    </row>
    <row r="286" spans="1:6">
      <c r="A286" s="1">
        <v>43221</v>
      </c>
      <c r="B286" s="2">
        <v>725.18600000000004</v>
      </c>
      <c r="C286" s="3"/>
      <c r="E286" s="1">
        <v>43221</v>
      </c>
      <c r="F286" s="4">
        <f t="shared" si="4"/>
        <v>722.98299999999995</v>
      </c>
    </row>
    <row r="287" spans="1:6">
      <c r="A287" s="1">
        <v>43252</v>
      </c>
      <c r="B287" s="2">
        <v>730.71</v>
      </c>
      <c r="C287" s="3"/>
      <c r="E287" s="1">
        <v>43252</v>
      </c>
      <c r="F287" s="4">
        <f t="shared" si="4"/>
        <v>725.18600000000004</v>
      </c>
    </row>
    <row r="288" spans="1:6">
      <c r="A288" s="1">
        <v>43282</v>
      </c>
      <c r="B288" s="2">
        <v>735.98699999999997</v>
      </c>
      <c r="C288" s="3"/>
      <c r="E288" s="1">
        <v>43282</v>
      </c>
      <c r="F288" s="4">
        <f t="shared" si="4"/>
        <v>730.71</v>
      </c>
    </row>
    <row r="289" spans="1:6">
      <c r="A289" s="1">
        <v>43313</v>
      </c>
      <c r="B289" s="2">
        <v>738.15800000000002</v>
      </c>
      <c r="C289" s="3"/>
      <c r="E289" s="1">
        <v>43313</v>
      </c>
      <c r="F289" s="4">
        <f t="shared" si="4"/>
        <v>735.98699999999997</v>
      </c>
    </row>
    <row r="290" spans="1:6">
      <c r="A290" s="1">
        <v>43344</v>
      </c>
      <c r="B290" s="2">
        <v>739.43200000000002</v>
      </c>
      <c r="C290" s="3"/>
      <c r="E290" s="1">
        <v>43344</v>
      </c>
      <c r="F290" s="4">
        <f t="shared" si="4"/>
        <v>738.15800000000002</v>
      </c>
    </row>
    <row r="291" spans="1:6">
      <c r="A291" s="1">
        <v>43374</v>
      </c>
      <c r="B291" s="2">
        <v>741.85900000000004</v>
      </c>
      <c r="C291" s="3"/>
      <c r="E291" s="1">
        <v>43374</v>
      </c>
      <c r="F291" s="4">
        <f t="shared" si="4"/>
        <v>739.43200000000002</v>
      </c>
    </row>
    <row r="292" spans="1:6">
      <c r="A292" s="1">
        <v>43405</v>
      </c>
      <c r="B292" s="2">
        <v>743.755</v>
      </c>
      <c r="C292" s="3"/>
      <c r="E292" s="1">
        <v>43405</v>
      </c>
      <c r="F292" s="4">
        <f t="shared" si="4"/>
        <v>741.85900000000004</v>
      </c>
    </row>
    <row r="293" spans="1:6">
      <c r="A293" s="1">
        <v>43435</v>
      </c>
      <c r="B293" s="2">
        <v>744.69899999999996</v>
      </c>
      <c r="C293" s="3"/>
      <c r="E293" s="1">
        <v>43435</v>
      </c>
      <c r="F293" s="4">
        <f t="shared" si="4"/>
        <v>743.755</v>
      </c>
    </row>
    <row r="294" spans="1:6">
      <c r="A294" s="1">
        <v>43466</v>
      </c>
      <c r="B294" s="2">
        <v>747.65599999999995</v>
      </c>
      <c r="C294" s="3"/>
      <c r="E294" s="1">
        <v>43466</v>
      </c>
      <c r="F294" s="4">
        <f t="shared" si="4"/>
        <v>744.69899999999996</v>
      </c>
    </row>
    <row r="295" spans="1:6">
      <c r="A295" s="1">
        <v>43497</v>
      </c>
      <c r="B295" s="2">
        <v>749.11099999999999</v>
      </c>
      <c r="C295" s="3"/>
      <c r="E295" s="1">
        <v>43497</v>
      </c>
      <c r="F295" s="4">
        <f t="shared" si="4"/>
        <v>747.65599999999995</v>
      </c>
    </row>
    <row r="296" spans="1:6">
      <c r="A296" s="1">
        <v>43525</v>
      </c>
      <c r="B296" s="2">
        <v>750.55799999999999</v>
      </c>
      <c r="C296" s="3"/>
      <c r="E296" s="1">
        <v>43525</v>
      </c>
      <c r="F296" s="4">
        <f t="shared" si="4"/>
        <v>749.11099999999999</v>
      </c>
    </row>
    <row r="297" spans="1:6">
      <c r="A297" s="1">
        <v>43556</v>
      </c>
      <c r="B297" s="2">
        <v>754.20299999999997</v>
      </c>
      <c r="C297" s="3"/>
      <c r="E297" s="1">
        <v>43556</v>
      </c>
      <c r="F297" s="4">
        <f t="shared" si="4"/>
        <v>750.55799999999999</v>
      </c>
    </row>
    <row r="298" spans="1:6">
      <c r="A298" s="1">
        <v>43586</v>
      </c>
      <c r="B298" s="2">
        <v>754.85900000000004</v>
      </c>
      <c r="C298" s="3"/>
      <c r="E298" s="1">
        <v>43586</v>
      </c>
      <c r="F298" s="4">
        <f t="shared" si="4"/>
        <v>754.20299999999997</v>
      </c>
    </row>
    <row r="299" spans="1:6">
      <c r="A299" s="1">
        <v>43617</v>
      </c>
      <c r="B299" s="2">
        <v>758.17700000000002</v>
      </c>
      <c r="C299" s="3"/>
      <c r="E299" s="1">
        <v>43617</v>
      </c>
      <c r="F299" s="4">
        <f t="shared" si="4"/>
        <v>754.85900000000004</v>
      </c>
    </row>
    <row r="300" spans="1:6">
      <c r="A300" s="1">
        <v>43647</v>
      </c>
      <c r="B300" s="2">
        <v>765.053</v>
      </c>
      <c r="C300" s="3"/>
      <c r="E300" s="1">
        <v>43647</v>
      </c>
      <c r="F300" s="4">
        <f t="shared" si="4"/>
        <v>758.17700000000002</v>
      </c>
    </row>
    <row r="301" spans="1:6">
      <c r="A301" s="1">
        <v>43678</v>
      </c>
      <c r="B301" s="2">
        <v>767.68200000000002</v>
      </c>
      <c r="C301" s="3"/>
      <c r="E301" s="1">
        <v>43678</v>
      </c>
      <c r="F301" s="4">
        <f t="shared" si="4"/>
        <v>765.053</v>
      </c>
    </row>
    <row r="302" spans="1:6">
      <c r="A302" s="1">
        <v>43709</v>
      </c>
      <c r="B302" s="2">
        <v>772.31</v>
      </c>
      <c r="C302" s="3"/>
      <c r="E302" s="1">
        <v>43709</v>
      </c>
      <c r="F302" s="4">
        <f t="shared" si="4"/>
        <v>767.68200000000002</v>
      </c>
    </row>
    <row r="303" spans="1:6">
      <c r="A303" s="1">
        <v>43739</v>
      </c>
      <c r="B303" s="2">
        <v>773.27300000000002</v>
      </c>
      <c r="C303" s="3"/>
      <c r="E303" s="1">
        <v>43739</v>
      </c>
      <c r="F303" s="4">
        <f t="shared" si="4"/>
        <v>772.31</v>
      </c>
    </row>
    <row r="304" spans="1:6">
      <c r="A304" s="1">
        <v>43770</v>
      </c>
      <c r="B304" s="2">
        <v>774.42100000000005</v>
      </c>
      <c r="C304" s="3"/>
      <c r="E304" s="1">
        <v>43770</v>
      </c>
      <c r="F304" s="4">
        <f t="shared" si="4"/>
        <v>773.27300000000002</v>
      </c>
    </row>
    <row r="305" spans="1:6">
      <c r="A305" s="1">
        <v>43800</v>
      </c>
      <c r="B305" s="2">
        <v>775.49</v>
      </c>
      <c r="C305" s="3"/>
      <c r="E305" s="1">
        <v>43800</v>
      </c>
      <c r="F305" s="4">
        <f t="shared" si="4"/>
        <v>774.42100000000005</v>
      </c>
    </row>
    <row r="306" spans="1:6">
      <c r="A306" s="1">
        <v>43831</v>
      </c>
      <c r="B306" s="2">
        <v>777.47</v>
      </c>
      <c r="C306" s="3"/>
      <c r="E306" s="1">
        <v>43831</v>
      </c>
      <c r="F306" s="4">
        <f t="shared" si="4"/>
        <v>775.49</v>
      </c>
    </row>
    <row r="307" spans="1:6">
      <c r="A307" s="1">
        <v>43862</v>
      </c>
      <c r="B307" s="2">
        <v>780.18399999999997</v>
      </c>
      <c r="C307" s="3"/>
      <c r="E307" s="1">
        <v>43862</v>
      </c>
      <c r="F307" s="4">
        <f t="shared" si="4"/>
        <v>777.47</v>
      </c>
    </row>
    <row r="308" spans="1:6">
      <c r="A308" s="1">
        <v>43891</v>
      </c>
      <c r="B308" s="2">
        <v>783.15</v>
      </c>
      <c r="C308" s="3"/>
      <c r="E308" s="1">
        <v>43891</v>
      </c>
      <c r="F308" s="4">
        <f t="shared" si="4"/>
        <v>780.18399999999997</v>
      </c>
    </row>
    <row r="309" spans="1:6">
      <c r="A309" s="1">
        <v>43922</v>
      </c>
      <c r="B309" s="2">
        <v>784.52300000000002</v>
      </c>
      <c r="C309" s="3"/>
      <c r="E309" s="1">
        <v>43922</v>
      </c>
      <c r="F309" s="4">
        <f t="shared" si="4"/>
        <v>783.15</v>
      </c>
    </row>
    <row r="310" spans="1:6">
      <c r="A310" s="1">
        <v>43952</v>
      </c>
      <c r="B310" s="2">
        <v>786.13199999999995</v>
      </c>
      <c r="C310" s="3"/>
      <c r="E310" s="1">
        <v>43952</v>
      </c>
      <c r="F310" s="4">
        <f t="shared" si="4"/>
        <v>784.52300000000002</v>
      </c>
    </row>
    <row r="311" spans="1:6">
      <c r="A311" s="1">
        <v>43983</v>
      </c>
      <c r="B311" s="2">
        <v>788.61599999999999</v>
      </c>
      <c r="C311" s="3"/>
      <c r="E311" s="1">
        <v>43983</v>
      </c>
      <c r="F311" s="4">
        <f t="shared" si="4"/>
        <v>786.13199999999995</v>
      </c>
    </row>
    <row r="312" spans="1:6">
      <c r="A312" s="1">
        <v>44013</v>
      </c>
      <c r="B312" s="2">
        <v>795.23500000000001</v>
      </c>
      <c r="C312" s="3"/>
      <c r="E312" s="1">
        <v>44013</v>
      </c>
      <c r="F312" s="4">
        <f t="shared" si="4"/>
        <v>788.61599999999999</v>
      </c>
    </row>
    <row r="313" spans="1:6">
      <c r="A313" s="1">
        <v>44044</v>
      </c>
      <c r="B313" s="2">
        <v>801.77700000000004</v>
      </c>
      <c r="C313" s="3"/>
      <c r="E313" s="1">
        <v>44044</v>
      </c>
      <c r="F313" s="4">
        <f t="shared" si="4"/>
        <v>795.23500000000001</v>
      </c>
    </row>
    <row r="314" spans="1:6">
      <c r="A314" s="1">
        <v>44075</v>
      </c>
      <c r="B314" s="2">
        <v>810.96500000000003</v>
      </c>
      <c r="C314" s="3"/>
      <c r="E314" s="1">
        <v>44075</v>
      </c>
      <c r="F314" s="4">
        <f t="shared" si="4"/>
        <v>801.77700000000004</v>
      </c>
    </row>
    <row r="315" spans="1:6">
      <c r="A315" s="1">
        <v>44105</v>
      </c>
      <c r="B315" s="2">
        <v>824.63599999999997</v>
      </c>
      <c r="C315" s="3"/>
      <c r="E315" s="1">
        <v>44105</v>
      </c>
      <c r="F315" s="4">
        <f t="shared" si="4"/>
        <v>810.96500000000003</v>
      </c>
    </row>
    <row r="316" spans="1:6">
      <c r="A316" s="1">
        <v>44136</v>
      </c>
      <c r="B316" s="2">
        <v>835.30499999999995</v>
      </c>
      <c r="C316" s="3"/>
      <c r="E316" s="1">
        <v>44136</v>
      </c>
      <c r="F316" s="4">
        <f t="shared" si="4"/>
        <v>824.63599999999997</v>
      </c>
    </row>
    <row r="317" spans="1:6">
      <c r="A317" s="1">
        <v>44166</v>
      </c>
      <c r="B317" s="2">
        <v>842.68299999999999</v>
      </c>
      <c r="C317" s="3"/>
      <c r="E317" s="1">
        <v>44166</v>
      </c>
      <c r="F317" s="4">
        <f t="shared" si="4"/>
        <v>835.30499999999995</v>
      </c>
    </row>
    <row r="318" spans="1:6">
      <c r="A318" s="1">
        <v>44197</v>
      </c>
      <c r="B318" s="2">
        <v>850.495</v>
      </c>
      <c r="C318" s="3"/>
      <c r="E318" s="1">
        <v>44197</v>
      </c>
      <c r="F318" s="4">
        <f t="shared" si="4"/>
        <v>842.68299999999999</v>
      </c>
    </row>
    <row r="319" spans="1:6">
      <c r="A319" s="1">
        <v>44228</v>
      </c>
      <c r="B319" s="2">
        <v>859.57299999999998</v>
      </c>
      <c r="C319" s="3"/>
      <c r="E319" s="1">
        <v>44228</v>
      </c>
      <c r="F319" s="4">
        <f t="shared" si="4"/>
        <v>850.495</v>
      </c>
    </row>
    <row r="320" spans="1:6">
      <c r="A320" s="1">
        <v>44256</v>
      </c>
      <c r="B320" s="2">
        <v>876.75</v>
      </c>
      <c r="C320" s="3"/>
      <c r="E320" s="1">
        <v>44256</v>
      </c>
      <c r="F320" s="4">
        <f t="shared" si="4"/>
        <v>859.57299999999998</v>
      </c>
    </row>
    <row r="321" spans="1:6">
      <c r="A321" s="1">
        <v>44287</v>
      </c>
      <c r="B321" s="2">
        <v>885.09299999999996</v>
      </c>
      <c r="C321" s="3"/>
      <c r="E321" s="1">
        <v>44287</v>
      </c>
      <c r="F321" s="4">
        <f t="shared" si="4"/>
        <v>876.75</v>
      </c>
    </row>
    <row r="322" spans="1:6">
      <c r="A322" s="1">
        <v>44317</v>
      </c>
      <c r="B322" s="2">
        <v>901.03200000000004</v>
      </c>
      <c r="C322" s="3"/>
      <c r="E322" s="1">
        <v>44317</v>
      </c>
      <c r="F322" s="4">
        <f t="shared" si="4"/>
        <v>885.09299999999996</v>
      </c>
    </row>
    <row r="323" spans="1:6">
      <c r="A323" s="1">
        <v>44348</v>
      </c>
      <c r="B323" s="2">
        <v>921.76199999999994</v>
      </c>
      <c r="C323" s="3"/>
      <c r="E323" s="1">
        <v>44348</v>
      </c>
      <c r="F323" s="4">
        <f t="shared" ref="F323:F386" si="5">B322</f>
        <v>901.03200000000004</v>
      </c>
    </row>
    <row r="324" spans="1:6">
      <c r="A324" s="1">
        <v>44378</v>
      </c>
      <c r="B324" s="2">
        <v>933.23</v>
      </c>
      <c r="C324" s="3"/>
      <c r="E324" s="1">
        <v>44378</v>
      </c>
      <c r="F324" s="4">
        <f t="shared" si="5"/>
        <v>921.76199999999994</v>
      </c>
    </row>
    <row r="325" spans="1:6">
      <c r="A325" s="1">
        <v>44409</v>
      </c>
      <c r="B325" s="2">
        <v>938.47500000000002</v>
      </c>
      <c r="C325" s="3"/>
      <c r="E325" s="1">
        <v>44409</v>
      </c>
      <c r="F325" s="4">
        <f t="shared" si="5"/>
        <v>933.23</v>
      </c>
    </row>
    <row r="326" spans="1:6">
      <c r="A326" s="1">
        <v>44440</v>
      </c>
      <c r="B326" s="2">
        <v>943.73599999999999</v>
      </c>
      <c r="C326" s="3"/>
      <c r="E326" s="1">
        <v>44440</v>
      </c>
      <c r="F326" s="4">
        <f t="shared" si="5"/>
        <v>938.47500000000002</v>
      </c>
    </row>
    <row r="327" spans="1:6">
      <c r="A327" s="1">
        <v>44470</v>
      </c>
      <c r="B327" s="2">
        <v>951.24900000000002</v>
      </c>
      <c r="C327" s="3"/>
      <c r="E327" s="1">
        <v>44470</v>
      </c>
      <c r="F327" s="4">
        <f t="shared" si="5"/>
        <v>943.73599999999999</v>
      </c>
    </row>
    <row r="328" spans="1:6">
      <c r="A328" s="1">
        <v>44501</v>
      </c>
      <c r="B328" s="2">
        <v>957.98400000000004</v>
      </c>
      <c r="C328" s="3"/>
      <c r="E328" s="1">
        <v>44501</v>
      </c>
      <c r="F328" s="4">
        <f t="shared" si="5"/>
        <v>951.24900000000002</v>
      </c>
    </row>
    <row r="329" spans="1:6">
      <c r="A329" s="1">
        <v>44531</v>
      </c>
      <c r="B329" s="2">
        <v>960.89400000000001</v>
      </c>
      <c r="C329" s="3"/>
      <c r="E329" s="1">
        <v>44531</v>
      </c>
      <c r="F329" s="4">
        <f t="shared" si="5"/>
        <v>957.98400000000004</v>
      </c>
    </row>
    <row r="330" spans="1:6">
      <c r="A330" s="1">
        <v>44562</v>
      </c>
      <c r="B330" s="2">
        <v>967.00300000000004</v>
      </c>
      <c r="C330" s="3"/>
      <c r="E330" s="1">
        <v>44562</v>
      </c>
      <c r="F330" s="4">
        <f t="shared" si="5"/>
        <v>960.89400000000001</v>
      </c>
    </row>
    <row r="331" spans="1:6">
      <c r="A331" s="1">
        <v>44593</v>
      </c>
      <c r="B331" s="2">
        <v>971.65099999999995</v>
      </c>
      <c r="C331" s="3"/>
      <c r="E331" s="1">
        <v>44593</v>
      </c>
      <c r="F331" s="4">
        <f t="shared" si="5"/>
        <v>967.00300000000004</v>
      </c>
    </row>
    <row r="332" spans="1:6">
      <c r="A332" s="1">
        <v>44621</v>
      </c>
      <c r="B332" s="2">
        <v>978.71699999999998</v>
      </c>
      <c r="C332" s="3"/>
      <c r="E332" s="1">
        <v>44621</v>
      </c>
      <c r="F332" s="4">
        <f t="shared" si="5"/>
        <v>971.65099999999995</v>
      </c>
    </row>
    <row r="333" spans="1:6">
      <c r="A333" s="1">
        <v>44652</v>
      </c>
      <c r="B333" s="2">
        <v>987.21799999999996</v>
      </c>
      <c r="C333" s="3"/>
      <c r="E333" s="1">
        <v>44652</v>
      </c>
      <c r="F333" s="4">
        <f t="shared" si="5"/>
        <v>978.71699999999998</v>
      </c>
    </row>
    <row r="334" spans="1:6">
      <c r="A334" s="1">
        <v>44682</v>
      </c>
      <c r="B334" s="2">
        <v>1001.923</v>
      </c>
      <c r="C334" s="3"/>
      <c r="E334" s="1">
        <v>44682</v>
      </c>
      <c r="F334" s="4">
        <f t="shared" si="5"/>
        <v>987.21799999999996</v>
      </c>
    </row>
    <row r="335" spans="1:6">
      <c r="A335" s="1">
        <v>44713</v>
      </c>
      <c r="B335" s="2">
        <v>1030.105</v>
      </c>
      <c r="C335" s="3"/>
      <c r="E335" s="1">
        <v>44713</v>
      </c>
      <c r="F335" s="4">
        <f t="shared" si="5"/>
        <v>1001.923</v>
      </c>
    </row>
    <row r="336" spans="1:6">
      <c r="A336" s="1">
        <v>44743</v>
      </c>
      <c r="B336" s="2">
        <v>1042.029</v>
      </c>
      <c r="C336" s="3"/>
      <c r="E336" s="1">
        <v>44743</v>
      </c>
      <c r="F336" s="4">
        <f t="shared" si="5"/>
        <v>1030.105</v>
      </c>
    </row>
    <row r="337" spans="1:6">
      <c r="A337" s="1">
        <v>44774</v>
      </c>
      <c r="B337" s="2">
        <v>1045.4690000000001</v>
      </c>
      <c r="C337" s="3"/>
      <c r="E337" s="1">
        <v>44774</v>
      </c>
      <c r="F337" s="4">
        <f t="shared" si="5"/>
        <v>1042.029</v>
      </c>
    </row>
    <row r="338" spans="1:6">
      <c r="A338" s="1">
        <v>44805</v>
      </c>
      <c r="B338" s="2">
        <v>1046.5070000000001</v>
      </c>
      <c r="C338" s="3"/>
      <c r="E338" s="1">
        <v>44805</v>
      </c>
      <c r="F338" s="4">
        <f t="shared" si="5"/>
        <v>1045.4690000000001</v>
      </c>
    </row>
    <row r="339" spans="1:6">
      <c r="A339" s="1">
        <v>44835</v>
      </c>
      <c r="B339" s="2">
        <v>1046.9559999999999</v>
      </c>
      <c r="C339" s="3"/>
      <c r="E339" s="1">
        <v>44835</v>
      </c>
      <c r="F339" s="4">
        <f t="shared" si="5"/>
        <v>1046.5070000000001</v>
      </c>
    </row>
    <row r="340" spans="1:6">
      <c r="A340" s="1">
        <v>44866</v>
      </c>
      <c r="B340" s="2">
        <v>1048.4290000000001</v>
      </c>
      <c r="C340" s="3"/>
      <c r="E340" s="1">
        <v>44866</v>
      </c>
      <c r="F340" s="4">
        <f t="shared" si="5"/>
        <v>1046.9559999999999</v>
      </c>
    </row>
    <row r="341" spans="1:6">
      <c r="A341" s="1">
        <v>44896</v>
      </c>
      <c r="B341" s="2">
        <v>1051.249</v>
      </c>
      <c r="C341" s="3"/>
      <c r="E341" s="1">
        <v>44896</v>
      </c>
      <c r="F341" s="4">
        <f t="shared" si="5"/>
        <v>1048.4290000000001</v>
      </c>
    </row>
    <row r="342" spans="1:6">
      <c r="A342" s="1">
        <v>44927</v>
      </c>
      <c r="B342" s="2">
        <v>1054.5609999999999</v>
      </c>
      <c r="C342" s="3"/>
      <c r="E342" s="1">
        <v>44927</v>
      </c>
      <c r="F342" s="4">
        <f t="shared" si="5"/>
        <v>1051.249</v>
      </c>
    </row>
    <row r="343" spans="1:6">
      <c r="A343" s="1">
        <v>44958</v>
      </c>
      <c r="B343" s="2">
        <v>1056.7750000000001</v>
      </c>
      <c r="C343" s="3"/>
      <c r="E343" s="1">
        <v>44958</v>
      </c>
      <c r="F343" s="4">
        <f t="shared" si="5"/>
        <v>1054.5609999999999</v>
      </c>
    </row>
    <row r="344" spans="1:6">
      <c r="A344" s="1">
        <v>44986</v>
      </c>
      <c r="B344" s="2">
        <v>1058.6500000000001</v>
      </c>
      <c r="C344" s="3"/>
      <c r="E344" s="1">
        <v>44986</v>
      </c>
      <c r="F344" s="4">
        <f t="shared" si="5"/>
        <v>1056.7750000000001</v>
      </c>
    </row>
    <row r="345" spans="1:6">
      <c r="A345" s="1">
        <v>45017</v>
      </c>
      <c r="B345" s="2">
        <v>1061.0709999999999</v>
      </c>
      <c r="C345" s="3"/>
      <c r="E345" s="1">
        <v>45017</v>
      </c>
      <c r="F345" s="4">
        <f t="shared" si="5"/>
        <v>1058.6500000000001</v>
      </c>
    </row>
    <row r="346" spans="1:6">
      <c r="A346" s="5">
        <v>45047</v>
      </c>
      <c r="B346" s="6">
        <v>1065.289</v>
      </c>
      <c r="C346" s="7"/>
      <c r="D346" s="8"/>
      <c r="E346" s="5">
        <v>45047</v>
      </c>
      <c r="F346" s="4">
        <f t="shared" si="5"/>
        <v>1061.0709999999999</v>
      </c>
    </row>
    <row r="347" spans="1:6">
      <c r="A347" s="5">
        <v>45078</v>
      </c>
      <c r="B347" s="6">
        <v>1074.2919999999999</v>
      </c>
      <c r="C347" s="10"/>
      <c r="E347" s="5">
        <v>45078</v>
      </c>
      <c r="F347" s="4">
        <f t="shared" si="5"/>
        <v>1065.289</v>
      </c>
    </row>
    <row r="348" spans="1:6">
      <c r="A348" s="5">
        <v>45108</v>
      </c>
      <c r="B348" s="6">
        <v>1074.895</v>
      </c>
      <c r="C348" s="10"/>
      <c r="E348" s="5">
        <v>45108</v>
      </c>
      <c r="F348" s="4">
        <f t="shared" si="5"/>
        <v>1074.2919999999999</v>
      </c>
    </row>
    <row r="349" spans="1:6">
      <c r="A349" s="5">
        <v>45139</v>
      </c>
      <c r="B349" s="6">
        <v>1077.4970000000001</v>
      </c>
      <c r="C349" s="10"/>
      <c r="E349" s="5">
        <v>45139</v>
      </c>
      <c r="F349" s="4">
        <f t="shared" si="5"/>
        <v>1074.895</v>
      </c>
    </row>
    <row r="350" spans="1:6">
      <c r="A350" s="5">
        <v>45170</v>
      </c>
      <c r="B350" s="6">
        <v>1080.0709999999999</v>
      </c>
      <c r="C350" s="10"/>
      <c r="E350" s="5">
        <v>45170</v>
      </c>
      <c r="F350" s="4">
        <f t="shared" si="5"/>
        <v>1077.4970000000001</v>
      </c>
    </row>
    <row r="351" spans="1:6">
      <c r="A351" s="1">
        <v>45200</v>
      </c>
      <c r="B351" s="2">
        <v>1082.251</v>
      </c>
      <c r="C351" s="3"/>
      <c r="E351" s="1">
        <v>45200</v>
      </c>
      <c r="F351" s="4">
        <f t="shared" si="5"/>
        <v>1080.0709999999999</v>
      </c>
    </row>
    <row r="352" spans="1:6">
      <c r="A352" s="1">
        <v>45231</v>
      </c>
      <c r="B352" s="2">
        <v>1083.335</v>
      </c>
      <c r="C352" s="10"/>
      <c r="E352" s="1">
        <v>45231</v>
      </c>
      <c r="F352" s="4">
        <f t="shared" si="5"/>
        <v>1082.251</v>
      </c>
    </row>
    <row r="353" spans="1:6">
      <c r="A353" s="1">
        <v>45261</v>
      </c>
      <c r="B353" s="2">
        <v>1086.1500000000001</v>
      </c>
      <c r="C353" s="3"/>
      <c r="E353" s="1">
        <v>45261</v>
      </c>
      <c r="F353" s="4">
        <f t="shared" si="5"/>
        <v>1083.335</v>
      </c>
    </row>
    <row r="354" spans="1:6">
      <c r="A354" s="5">
        <v>45292</v>
      </c>
      <c r="B354" s="6">
        <v>1088.663</v>
      </c>
      <c r="C354" s="7"/>
      <c r="D354" s="8"/>
      <c r="E354" s="5">
        <v>45292</v>
      </c>
      <c r="F354" s="4">
        <f t="shared" si="5"/>
        <v>1086.1500000000001</v>
      </c>
    </row>
    <row r="355" spans="1:6">
      <c r="A355" s="5">
        <v>45323</v>
      </c>
      <c r="B355" s="6">
        <v>1090.8710000000001</v>
      </c>
      <c r="C355" s="7"/>
      <c r="D355" s="8"/>
      <c r="E355" s="5">
        <v>45323</v>
      </c>
      <c r="F355" s="4">
        <f t="shared" si="5"/>
        <v>1088.663</v>
      </c>
    </row>
    <row r="356" spans="1:6">
      <c r="A356" s="5">
        <v>45352</v>
      </c>
      <c r="B356" s="6">
        <v>1093.5029999999999</v>
      </c>
      <c r="C356" s="7"/>
      <c r="D356" s="8"/>
      <c r="E356" s="5">
        <v>45352</v>
      </c>
      <c r="F356" s="4">
        <f t="shared" si="5"/>
        <v>1090.8710000000001</v>
      </c>
    </row>
    <row r="357" spans="1:6">
      <c r="A357" s="1">
        <v>45383</v>
      </c>
      <c r="B357" s="2">
        <v>1097.991</v>
      </c>
      <c r="C357" s="10"/>
      <c r="E357" s="1">
        <v>45383</v>
      </c>
      <c r="F357" s="4">
        <f t="shared" si="5"/>
        <v>1093.5029999999999</v>
      </c>
    </row>
    <row r="358" spans="1:6">
      <c r="A358" s="5">
        <v>45413</v>
      </c>
      <c r="B358" s="6">
        <v>1104.4570000000001</v>
      </c>
      <c r="C358" s="10"/>
      <c r="E358" s="5">
        <v>45413</v>
      </c>
      <c r="F358" s="4">
        <f t="shared" si="5"/>
        <v>1097.991</v>
      </c>
    </row>
    <row r="359" spans="1:6">
      <c r="A359" s="5">
        <v>45444</v>
      </c>
      <c r="B359" s="6">
        <v>1114.748</v>
      </c>
      <c r="C359" s="10"/>
      <c r="E359" s="5">
        <v>45444</v>
      </c>
      <c r="F359" s="4">
        <f t="shared" si="5"/>
        <v>1104.4570000000001</v>
      </c>
    </row>
    <row r="360" spans="1:6">
      <c r="A360" s="5">
        <v>45474</v>
      </c>
      <c r="B360" s="6">
        <v>1122.452</v>
      </c>
      <c r="C360" s="10"/>
      <c r="E360" s="5">
        <v>45474</v>
      </c>
      <c r="F360" s="4">
        <f t="shared" si="5"/>
        <v>1114.748</v>
      </c>
    </row>
    <row r="361" spans="1:6">
      <c r="A361" s="5">
        <v>45505</v>
      </c>
      <c r="B361" s="6">
        <v>1129.6389999999999</v>
      </c>
      <c r="C361" s="10"/>
      <c r="E361" s="5">
        <v>45505</v>
      </c>
      <c r="F361" s="4">
        <f t="shared" si="5"/>
        <v>1122.452</v>
      </c>
    </row>
    <row r="362" spans="1:6">
      <c r="A362" s="5">
        <v>45536</v>
      </c>
      <c r="B362" s="6">
        <v>1136.521</v>
      </c>
      <c r="C362" s="10"/>
      <c r="E362" s="5">
        <v>45536</v>
      </c>
      <c r="F362" s="4">
        <f t="shared" si="5"/>
        <v>1129.6389999999999</v>
      </c>
    </row>
    <row r="363" spans="1:6">
      <c r="A363" s="5">
        <v>45566</v>
      </c>
      <c r="B363" s="6">
        <v>1144.136</v>
      </c>
      <c r="C363" s="10"/>
      <c r="E363" s="5">
        <v>45566</v>
      </c>
      <c r="F363" s="9">
        <f t="shared" si="5"/>
        <v>1136.521</v>
      </c>
    </row>
    <row r="364" spans="1:6">
      <c r="A364" s="5">
        <v>45597</v>
      </c>
      <c r="B364" s="6">
        <v>1149.1579999999999</v>
      </c>
      <c r="C364" s="10"/>
      <c r="E364" s="5">
        <v>45597</v>
      </c>
      <c r="F364" s="4">
        <f t="shared" si="5"/>
        <v>1144.136</v>
      </c>
    </row>
    <row r="365" spans="1:6">
      <c r="A365" s="1">
        <v>45627</v>
      </c>
      <c r="B365" s="2">
        <v>1154.99</v>
      </c>
      <c r="C365" s="10"/>
      <c r="E365" s="5">
        <v>45627</v>
      </c>
      <c r="F365" s="4">
        <f t="shared" si="5"/>
        <v>1149.1579999999999</v>
      </c>
    </row>
    <row r="366" spans="1:6">
      <c r="A366" s="1">
        <v>45658</v>
      </c>
      <c r="B366" s="2">
        <v>1163.221</v>
      </c>
      <c r="C366" s="10"/>
      <c r="E366" s="1">
        <v>45658</v>
      </c>
      <c r="F366" s="4">
        <f t="shared" si="5"/>
        <v>1154.99</v>
      </c>
    </row>
    <row r="367" spans="1:6">
      <c r="A367" s="5">
        <v>45689</v>
      </c>
      <c r="B367" s="6">
        <v>1169.1559999999999</v>
      </c>
      <c r="C367" s="10"/>
      <c r="E367" s="1">
        <v>45689</v>
      </c>
      <c r="F367" s="4">
        <f t="shared" si="5"/>
        <v>1163.221</v>
      </c>
    </row>
    <row r="368" spans="1:6">
      <c r="A368" s="5">
        <v>45717</v>
      </c>
      <c r="B368" s="6">
        <v>1173.586</v>
      </c>
      <c r="C368" s="10"/>
      <c r="E368" s="5">
        <v>45717</v>
      </c>
      <c r="F368" s="4">
        <f t="shared" si="5"/>
        <v>1169.1559999999999</v>
      </c>
    </row>
    <row r="369" spans="1:6">
      <c r="A369" s="1">
        <v>45748</v>
      </c>
      <c r="B369" s="2">
        <v>1180.5640000000001</v>
      </c>
      <c r="C369" s="10"/>
      <c r="E369" s="5">
        <v>45748</v>
      </c>
      <c r="F369" s="4">
        <f t="shared" si="5"/>
        <v>1173.586</v>
      </c>
    </row>
    <row r="370" spans="1:6">
      <c r="A370" s="1">
        <v>45778</v>
      </c>
      <c r="B370" s="2">
        <v>1183.606</v>
      </c>
      <c r="C370" s="10"/>
      <c r="E370" s="1">
        <v>45778</v>
      </c>
      <c r="F370" s="4">
        <f t="shared" si="5"/>
        <v>1180.5640000000001</v>
      </c>
    </row>
    <row r="371" spans="1:6">
      <c r="A371" s="1">
        <v>45809</v>
      </c>
      <c r="B371" s="2">
        <v>1194.912</v>
      </c>
      <c r="C371" s="10"/>
      <c r="E371" s="1">
        <v>45809</v>
      </c>
      <c r="F371" s="4">
        <f t="shared" si="5"/>
        <v>1183.606</v>
      </c>
    </row>
    <row r="372" spans="1:6">
      <c r="A372" s="1">
        <v>45839</v>
      </c>
      <c r="B372" s="2">
        <v>1205.838</v>
      </c>
      <c r="C372" s="10"/>
      <c r="E372" s="1">
        <v>45839</v>
      </c>
      <c r="F372" s="4">
        <f t="shared" si="5"/>
        <v>1194.912</v>
      </c>
    </row>
    <row r="373" spans="1:6">
      <c r="A373" s="1">
        <v>45870</v>
      </c>
      <c r="B373" s="2">
        <v>1214.239</v>
      </c>
      <c r="C373" s="10"/>
      <c r="E373" s="1">
        <v>45870</v>
      </c>
      <c r="F373" s="4">
        <f t="shared" si="5"/>
        <v>1205.838</v>
      </c>
    </row>
    <row r="374" spans="1:6">
      <c r="A374" s="1">
        <v>45901</v>
      </c>
      <c r="B374" s="2">
        <v>1216.825</v>
      </c>
      <c r="C374" s="10"/>
      <c r="E374" s="1">
        <v>45901</v>
      </c>
      <c r="F374" s="4">
        <f t="shared" si="5"/>
        <v>1214.239</v>
      </c>
    </row>
    <row r="375" spans="1:6">
      <c r="A375" s="1">
        <v>45931</v>
      </c>
      <c r="B375" s="2">
        <v>1219.4069999999999</v>
      </c>
      <c r="C375" s="10"/>
      <c r="E375" s="1">
        <v>45931</v>
      </c>
      <c r="F375" s="4">
        <f t="shared" si="5"/>
        <v>1216.825</v>
      </c>
    </row>
    <row r="376" spans="1:6">
      <c r="A376" s="1">
        <v>45962</v>
      </c>
      <c r="B376" s="2">
        <v>1222.865</v>
      </c>
      <c r="C376" s="10"/>
      <c r="E376" s="1">
        <v>45962</v>
      </c>
      <c r="F376" s="4">
        <f t="shared" si="5"/>
        <v>1219.4069999999999</v>
      </c>
    </row>
    <row r="377" spans="1:6">
      <c r="A377" s="1">
        <v>45992</v>
      </c>
      <c r="B377" s="2">
        <v>1225.3979999999999</v>
      </c>
      <c r="C377" s="10"/>
      <c r="E377" s="1">
        <v>45992</v>
      </c>
      <c r="F377" s="4">
        <f t="shared" si="5"/>
        <v>1222.865</v>
      </c>
    </row>
    <row r="378" spans="1:6">
      <c r="A378" s="1">
        <v>46023</v>
      </c>
      <c r="B378" s="2">
        <v>1233.096</v>
      </c>
      <c r="C378" s="10"/>
      <c r="E378" s="1">
        <v>46023</v>
      </c>
      <c r="F378" s="4">
        <f t="shared" si="5"/>
        <v>1225.3979999999999</v>
      </c>
    </row>
    <row r="379" spans="1:6">
      <c r="A379" s="1">
        <v>46054</v>
      </c>
      <c r="B379" s="2">
        <v>1237.3119999999999</v>
      </c>
      <c r="C379" s="10"/>
      <c r="E379" s="1">
        <v>46054</v>
      </c>
      <c r="F379" s="4">
        <f t="shared" si="5"/>
        <v>1233.096</v>
      </c>
    </row>
    <row r="380" spans="1:6">
      <c r="A380" s="1">
        <v>46082</v>
      </c>
      <c r="B380" s="2">
        <v>1241.721</v>
      </c>
      <c r="C380" s="10"/>
      <c r="E380" s="1">
        <v>46082</v>
      </c>
      <c r="F380" s="4">
        <f t="shared" si="5"/>
        <v>1237.3119999999999</v>
      </c>
    </row>
    <row r="381" spans="1:6">
      <c r="A381" s="1">
        <v>46113</v>
      </c>
      <c r="B381" s="2">
        <v>1254.655</v>
      </c>
      <c r="C381" s="10"/>
      <c r="E381" s="1">
        <v>46113</v>
      </c>
      <c r="F381" s="4">
        <f t="shared" si="5"/>
        <v>1241.721</v>
      </c>
    </row>
    <row r="382" spans="1:6">
      <c r="A382" s="1">
        <v>46143</v>
      </c>
      <c r="B382" s="2">
        <v>1264.3530000000001</v>
      </c>
      <c r="C382" s="10"/>
      <c r="E382" s="1">
        <v>46143</v>
      </c>
      <c r="F382" s="4">
        <f t="shared" si="5"/>
        <v>1254.655</v>
      </c>
    </row>
    <row r="383" spans="1:6">
      <c r="A383" s="11">
        <v>46174</v>
      </c>
      <c r="B383" s="12">
        <f t="shared" ref="B383:B413" si="6">B382</f>
        <v>1264.3530000000001</v>
      </c>
      <c r="C383" s="10"/>
      <c r="E383" s="1">
        <v>46174</v>
      </c>
      <c r="F383" s="4">
        <f t="shared" si="5"/>
        <v>1264.3530000000001</v>
      </c>
    </row>
    <row r="384" spans="1:6">
      <c r="A384" s="11">
        <v>46204</v>
      </c>
      <c r="B384" s="12">
        <f t="shared" si="6"/>
        <v>1264.3530000000001</v>
      </c>
      <c r="C384" s="10"/>
      <c r="E384" s="11">
        <v>46204</v>
      </c>
      <c r="F384" s="4">
        <f t="shared" si="5"/>
        <v>1264.3530000000001</v>
      </c>
    </row>
    <row r="385" spans="1:6">
      <c r="A385" s="11">
        <v>46235</v>
      </c>
      <c r="B385" s="12">
        <f t="shared" si="6"/>
        <v>1264.3530000000001</v>
      </c>
      <c r="C385" s="10"/>
      <c r="E385" s="11">
        <v>46235</v>
      </c>
      <c r="F385" s="4">
        <f t="shared" si="5"/>
        <v>1264.3530000000001</v>
      </c>
    </row>
    <row r="386" spans="1:6">
      <c r="A386" s="11">
        <v>46266</v>
      </c>
      <c r="B386" s="12">
        <f t="shared" si="6"/>
        <v>1264.3530000000001</v>
      </c>
      <c r="C386" s="10"/>
      <c r="E386" s="11">
        <v>46266</v>
      </c>
      <c r="F386" s="4">
        <f t="shared" si="5"/>
        <v>1264.3530000000001</v>
      </c>
    </row>
    <row r="387" spans="1:6">
      <c r="A387" s="11">
        <v>46296</v>
      </c>
      <c r="B387" s="12">
        <f t="shared" si="6"/>
        <v>1264.3530000000001</v>
      </c>
      <c r="C387" s="10"/>
      <c r="E387" s="11">
        <v>46296</v>
      </c>
      <c r="F387" s="4">
        <f t="shared" ref="F387:F450" si="7">B386</f>
        <v>1264.3530000000001</v>
      </c>
    </row>
    <row r="388" spans="1:6">
      <c r="A388" s="11">
        <v>46327</v>
      </c>
      <c r="B388" s="12">
        <f t="shared" si="6"/>
        <v>1264.3530000000001</v>
      </c>
      <c r="C388" s="10"/>
      <c r="E388" s="11">
        <v>46327</v>
      </c>
      <c r="F388" s="4">
        <f t="shared" si="7"/>
        <v>1264.3530000000001</v>
      </c>
    </row>
    <row r="389" spans="1:6">
      <c r="A389" s="11">
        <v>46357</v>
      </c>
      <c r="B389" s="12">
        <f t="shared" si="6"/>
        <v>1264.3530000000001</v>
      </c>
      <c r="C389" s="10"/>
      <c r="E389" s="11">
        <v>46357</v>
      </c>
      <c r="F389" s="4">
        <f t="shared" si="7"/>
        <v>1264.3530000000001</v>
      </c>
    </row>
    <row r="390" spans="1:6">
      <c r="A390" s="11">
        <v>46388</v>
      </c>
      <c r="B390" s="12">
        <f t="shared" si="6"/>
        <v>1264.3530000000001</v>
      </c>
      <c r="C390" s="10"/>
      <c r="E390" s="11">
        <v>46388</v>
      </c>
      <c r="F390" s="4">
        <f t="shared" si="7"/>
        <v>1264.3530000000001</v>
      </c>
    </row>
    <row r="391" spans="1:6">
      <c r="A391" s="11">
        <v>46419</v>
      </c>
      <c r="B391" s="12">
        <f t="shared" si="6"/>
        <v>1264.3530000000001</v>
      </c>
      <c r="C391" s="10"/>
      <c r="E391" s="11">
        <v>46419</v>
      </c>
      <c r="F391" s="4">
        <f t="shared" si="7"/>
        <v>1264.3530000000001</v>
      </c>
    </row>
    <row r="392" spans="1:6">
      <c r="A392" s="11">
        <v>46447</v>
      </c>
      <c r="B392" s="12">
        <f t="shared" si="6"/>
        <v>1264.3530000000001</v>
      </c>
      <c r="C392" s="10"/>
      <c r="E392" s="11">
        <v>46447</v>
      </c>
      <c r="F392" s="4">
        <f t="shared" si="7"/>
        <v>1264.3530000000001</v>
      </c>
    </row>
    <row r="393" spans="1:6">
      <c r="A393" s="11">
        <v>46478</v>
      </c>
      <c r="B393" s="12">
        <f t="shared" si="6"/>
        <v>1264.3530000000001</v>
      </c>
      <c r="C393" s="10"/>
      <c r="E393" s="11">
        <v>46478</v>
      </c>
      <c r="F393" s="4">
        <f t="shared" si="7"/>
        <v>1264.3530000000001</v>
      </c>
    </row>
    <row r="394" spans="1:6">
      <c r="A394" s="11">
        <v>46508</v>
      </c>
      <c r="B394" s="12">
        <f t="shared" si="6"/>
        <v>1264.3530000000001</v>
      </c>
      <c r="C394" s="10"/>
      <c r="E394" s="11">
        <v>46508</v>
      </c>
      <c r="F394" s="4">
        <f t="shared" si="7"/>
        <v>1264.3530000000001</v>
      </c>
    </row>
    <row r="395" spans="1:6">
      <c r="A395" s="11">
        <v>46539</v>
      </c>
      <c r="B395" s="12">
        <f t="shared" si="6"/>
        <v>1264.3530000000001</v>
      </c>
      <c r="C395" s="10"/>
      <c r="E395" s="11">
        <v>46539</v>
      </c>
      <c r="F395" s="4">
        <f t="shared" si="7"/>
        <v>1264.3530000000001</v>
      </c>
    </row>
    <row r="396" spans="1:6">
      <c r="A396" s="11">
        <v>46569</v>
      </c>
      <c r="B396" s="12">
        <f t="shared" si="6"/>
        <v>1264.3530000000001</v>
      </c>
      <c r="C396" s="10"/>
      <c r="E396" s="11">
        <v>46569</v>
      </c>
      <c r="F396" s="4">
        <f t="shared" si="7"/>
        <v>1264.3530000000001</v>
      </c>
    </row>
    <row r="397" spans="1:6">
      <c r="A397" s="11">
        <v>46600</v>
      </c>
      <c r="B397" s="12">
        <f t="shared" si="6"/>
        <v>1264.3530000000001</v>
      </c>
      <c r="C397" s="10"/>
      <c r="E397" s="11">
        <v>46600</v>
      </c>
      <c r="F397" s="4">
        <f t="shared" si="7"/>
        <v>1264.3530000000001</v>
      </c>
    </row>
    <row r="398" spans="1:6">
      <c r="A398" s="11">
        <v>46631</v>
      </c>
      <c r="B398" s="12">
        <f t="shared" si="6"/>
        <v>1264.3530000000001</v>
      </c>
      <c r="C398" s="10"/>
      <c r="E398" s="11">
        <v>46631</v>
      </c>
      <c r="F398" s="4">
        <f t="shared" si="7"/>
        <v>1264.3530000000001</v>
      </c>
    </row>
    <row r="399" spans="1:6">
      <c r="A399" s="11">
        <v>46661</v>
      </c>
      <c r="B399" s="12">
        <f t="shared" si="6"/>
        <v>1264.3530000000001</v>
      </c>
      <c r="C399" s="10"/>
      <c r="E399" s="11">
        <v>46661</v>
      </c>
      <c r="F399" s="4">
        <f t="shared" si="7"/>
        <v>1264.3530000000001</v>
      </c>
    </row>
    <row r="400" spans="1:6">
      <c r="A400" s="11">
        <v>46692</v>
      </c>
      <c r="B400" s="12">
        <f t="shared" si="6"/>
        <v>1264.3530000000001</v>
      </c>
      <c r="C400" s="10"/>
      <c r="E400" s="11">
        <v>46692</v>
      </c>
      <c r="F400" s="4">
        <f t="shared" si="7"/>
        <v>1264.3530000000001</v>
      </c>
    </row>
    <row r="401" spans="1:6">
      <c r="A401" s="11">
        <v>46722</v>
      </c>
      <c r="B401" s="12">
        <f t="shared" si="6"/>
        <v>1264.3530000000001</v>
      </c>
      <c r="C401" s="10"/>
      <c r="E401" s="11">
        <v>46722</v>
      </c>
      <c r="F401" s="4">
        <f t="shared" si="7"/>
        <v>1264.3530000000001</v>
      </c>
    </row>
    <row r="402" spans="1:6">
      <c r="A402" s="11">
        <v>46753</v>
      </c>
      <c r="B402" s="12">
        <f t="shared" si="6"/>
        <v>1264.3530000000001</v>
      </c>
      <c r="C402" s="10"/>
      <c r="E402" s="11">
        <v>46753</v>
      </c>
      <c r="F402" s="4">
        <f t="shared" si="7"/>
        <v>1264.3530000000001</v>
      </c>
    </row>
    <row r="403" spans="1:6">
      <c r="A403" s="11">
        <v>46784</v>
      </c>
      <c r="B403" s="12">
        <f t="shared" si="6"/>
        <v>1264.3530000000001</v>
      </c>
      <c r="C403" s="10"/>
      <c r="E403" s="11">
        <v>46784</v>
      </c>
      <c r="F403" s="4">
        <f t="shared" si="7"/>
        <v>1264.3530000000001</v>
      </c>
    </row>
    <row r="404" spans="1:6">
      <c r="A404" s="11">
        <v>46813</v>
      </c>
      <c r="B404" s="12">
        <f t="shared" si="6"/>
        <v>1264.3530000000001</v>
      </c>
      <c r="C404" s="10"/>
      <c r="E404" s="11">
        <v>46813</v>
      </c>
      <c r="F404" s="4">
        <f t="shared" si="7"/>
        <v>1264.3530000000001</v>
      </c>
    </row>
    <row r="405" spans="1:6">
      <c r="A405" s="11">
        <v>46844</v>
      </c>
      <c r="B405" s="12">
        <f t="shared" si="6"/>
        <v>1264.3530000000001</v>
      </c>
      <c r="C405" s="10"/>
      <c r="E405" s="11">
        <v>46844</v>
      </c>
      <c r="F405" s="4">
        <f t="shared" si="7"/>
        <v>1264.3530000000001</v>
      </c>
    </row>
    <row r="406" spans="1:6">
      <c r="A406" s="11">
        <v>46874</v>
      </c>
      <c r="B406" s="12">
        <f t="shared" si="6"/>
        <v>1264.3530000000001</v>
      </c>
      <c r="C406" s="10"/>
      <c r="E406" s="11">
        <v>46874</v>
      </c>
      <c r="F406" s="4">
        <f t="shared" si="7"/>
        <v>1264.3530000000001</v>
      </c>
    </row>
    <row r="407" spans="1:6">
      <c r="A407" s="11">
        <v>46905</v>
      </c>
      <c r="B407" s="12">
        <f t="shared" si="6"/>
        <v>1264.3530000000001</v>
      </c>
      <c r="C407" s="10"/>
      <c r="E407" s="11">
        <v>46905</v>
      </c>
      <c r="F407" s="4">
        <f t="shared" si="7"/>
        <v>1264.3530000000001</v>
      </c>
    </row>
    <row r="408" spans="1:6">
      <c r="A408" s="11">
        <v>46935</v>
      </c>
      <c r="B408" s="12">
        <f t="shared" si="6"/>
        <v>1264.3530000000001</v>
      </c>
      <c r="C408" s="10"/>
      <c r="E408" s="11">
        <v>46935</v>
      </c>
      <c r="F408" s="4">
        <f t="shared" si="7"/>
        <v>1264.3530000000001</v>
      </c>
    </row>
    <row r="409" spans="1:6">
      <c r="A409" s="11">
        <v>46966</v>
      </c>
      <c r="B409" s="12">
        <f t="shared" si="6"/>
        <v>1264.3530000000001</v>
      </c>
      <c r="C409" s="10"/>
      <c r="E409" s="11">
        <v>46966</v>
      </c>
      <c r="F409" s="4">
        <f t="shared" si="7"/>
        <v>1264.3530000000001</v>
      </c>
    </row>
    <row r="410" spans="1:6">
      <c r="A410" s="11">
        <v>46997</v>
      </c>
      <c r="B410" s="12">
        <f t="shared" si="6"/>
        <v>1264.3530000000001</v>
      </c>
      <c r="C410" s="10"/>
      <c r="E410" s="11">
        <v>46997</v>
      </c>
      <c r="F410" s="4">
        <f t="shared" si="7"/>
        <v>1264.3530000000001</v>
      </c>
    </row>
    <row r="411" spans="1:6">
      <c r="A411" s="11">
        <v>47027</v>
      </c>
      <c r="B411" s="12">
        <f t="shared" si="6"/>
        <v>1264.3530000000001</v>
      </c>
      <c r="C411" s="10"/>
      <c r="E411" s="11">
        <v>47027</v>
      </c>
      <c r="F411" s="4">
        <f t="shared" si="7"/>
        <v>1264.3530000000001</v>
      </c>
    </row>
    <row r="412" spans="1:6">
      <c r="A412" s="11">
        <v>47058</v>
      </c>
      <c r="B412" s="12">
        <f t="shared" si="6"/>
        <v>1264.3530000000001</v>
      </c>
      <c r="C412" s="10"/>
      <c r="E412" s="11">
        <v>47058</v>
      </c>
      <c r="F412" s="4">
        <f t="shared" si="7"/>
        <v>1264.3530000000001</v>
      </c>
    </row>
    <row r="413" spans="1:6">
      <c r="A413" s="11">
        <v>47088</v>
      </c>
      <c r="B413" s="12">
        <f t="shared" si="6"/>
        <v>1264.3530000000001</v>
      </c>
      <c r="C413" s="10"/>
      <c r="E413" s="11">
        <v>47088</v>
      </c>
      <c r="F413" s="4">
        <f t="shared" si="7"/>
        <v>1264.3530000000001</v>
      </c>
    </row>
    <row r="414" spans="1:6">
      <c r="A414" s="11">
        <v>47119</v>
      </c>
      <c r="B414" s="12">
        <f t="shared" ref="B414:B477" si="8">B413</f>
        <v>1264.3530000000001</v>
      </c>
      <c r="C414" s="10"/>
      <c r="E414" s="11">
        <v>47119</v>
      </c>
      <c r="F414" s="4">
        <f t="shared" si="7"/>
        <v>1264.3530000000001</v>
      </c>
    </row>
    <row r="415" spans="1:6">
      <c r="A415" s="11">
        <v>47150</v>
      </c>
      <c r="B415" s="12">
        <f t="shared" si="8"/>
        <v>1264.3530000000001</v>
      </c>
      <c r="C415" s="10"/>
      <c r="E415" s="11">
        <v>47150</v>
      </c>
      <c r="F415" s="4">
        <f t="shared" si="7"/>
        <v>1264.3530000000001</v>
      </c>
    </row>
    <row r="416" spans="1:6">
      <c r="A416" s="11">
        <v>47178</v>
      </c>
      <c r="B416" s="12">
        <f t="shared" si="8"/>
        <v>1264.3530000000001</v>
      </c>
      <c r="C416" s="10"/>
      <c r="E416" s="11">
        <v>47178</v>
      </c>
      <c r="F416" s="4">
        <f t="shared" si="7"/>
        <v>1264.3530000000001</v>
      </c>
    </row>
    <row r="417" spans="1:6">
      <c r="A417" s="11">
        <v>47209</v>
      </c>
      <c r="B417" s="12">
        <f t="shared" si="8"/>
        <v>1264.3530000000001</v>
      </c>
      <c r="C417" s="10"/>
      <c r="E417" s="11">
        <v>47209</v>
      </c>
      <c r="F417" s="4">
        <f t="shared" si="7"/>
        <v>1264.3530000000001</v>
      </c>
    </row>
    <row r="418" spans="1:6">
      <c r="A418" s="11">
        <v>47239</v>
      </c>
      <c r="B418" s="12">
        <f t="shared" si="8"/>
        <v>1264.3530000000001</v>
      </c>
      <c r="C418" s="10"/>
      <c r="E418" s="11">
        <v>47239</v>
      </c>
      <c r="F418" s="4">
        <f t="shared" si="7"/>
        <v>1264.3530000000001</v>
      </c>
    </row>
    <row r="419" spans="1:6">
      <c r="A419" s="11">
        <v>47270</v>
      </c>
      <c r="B419" s="12">
        <f t="shared" si="8"/>
        <v>1264.3530000000001</v>
      </c>
      <c r="C419" s="10"/>
      <c r="E419" s="11">
        <v>47270</v>
      </c>
      <c r="F419" s="4">
        <f t="shared" si="7"/>
        <v>1264.3530000000001</v>
      </c>
    </row>
    <row r="420" spans="1:6">
      <c r="A420" s="11">
        <v>47300</v>
      </c>
      <c r="B420" s="12">
        <f t="shared" si="8"/>
        <v>1264.3530000000001</v>
      </c>
      <c r="C420" s="10"/>
      <c r="E420" s="11">
        <v>47300</v>
      </c>
      <c r="F420" s="4">
        <f t="shared" si="7"/>
        <v>1264.3530000000001</v>
      </c>
    </row>
    <row r="421" spans="1:6">
      <c r="A421" s="11">
        <v>47331</v>
      </c>
      <c r="B421" s="12">
        <f t="shared" si="8"/>
        <v>1264.3530000000001</v>
      </c>
      <c r="C421" s="10"/>
      <c r="E421" s="11">
        <v>47331</v>
      </c>
      <c r="F421" s="4">
        <f t="shared" si="7"/>
        <v>1264.3530000000001</v>
      </c>
    </row>
    <row r="422" spans="1:6">
      <c r="A422" s="11">
        <v>47362</v>
      </c>
      <c r="B422" s="12">
        <f t="shared" si="8"/>
        <v>1264.3530000000001</v>
      </c>
      <c r="C422" s="10"/>
      <c r="E422" s="11">
        <v>47362</v>
      </c>
      <c r="F422" s="4">
        <f t="shared" si="7"/>
        <v>1264.3530000000001</v>
      </c>
    </row>
    <row r="423" spans="1:6">
      <c r="A423" s="11">
        <v>47392</v>
      </c>
      <c r="B423" s="12">
        <f t="shared" si="8"/>
        <v>1264.3530000000001</v>
      </c>
      <c r="C423" s="10"/>
      <c r="E423" s="11">
        <v>47392</v>
      </c>
      <c r="F423" s="4">
        <f t="shared" si="7"/>
        <v>1264.3530000000001</v>
      </c>
    </row>
    <row r="424" spans="1:6">
      <c r="A424" s="11">
        <v>47423</v>
      </c>
      <c r="B424" s="12">
        <f t="shared" si="8"/>
        <v>1264.3530000000001</v>
      </c>
      <c r="C424" s="10"/>
      <c r="E424" s="11">
        <v>47423</v>
      </c>
      <c r="F424" s="4">
        <f t="shared" si="7"/>
        <v>1264.3530000000001</v>
      </c>
    </row>
    <row r="425" spans="1:6">
      <c r="A425" s="11">
        <v>47453</v>
      </c>
      <c r="B425" s="12">
        <f t="shared" si="8"/>
        <v>1264.3530000000001</v>
      </c>
      <c r="C425" s="10"/>
      <c r="E425" s="11">
        <v>47453</v>
      </c>
      <c r="F425" s="4">
        <f t="shared" si="7"/>
        <v>1264.3530000000001</v>
      </c>
    </row>
    <row r="426" spans="1:6">
      <c r="A426" s="11">
        <v>47484</v>
      </c>
      <c r="B426" s="12">
        <f t="shared" si="8"/>
        <v>1264.3530000000001</v>
      </c>
      <c r="C426" s="10"/>
      <c r="E426" s="11">
        <v>47484</v>
      </c>
      <c r="F426" s="4">
        <f t="shared" si="7"/>
        <v>1264.3530000000001</v>
      </c>
    </row>
    <row r="427" spans="1:6">
      <c r="A427" s="11">
        <v>47515</v>
      </c>
      <c r="B427" s="12">
        <f t="shared" si="8"/>
        <v>1264.3530000000001</v>
      </c>
      <c r="C427" s="10"/>
      <c r="E427" s="11">
        <v>47515</v>
      </c>
      <c r="F427" s="4">
        <f t="shared" si="7"/>
        <v>1264.3530000000001</v>
      </c>
    </row>
    <row r="428" spans="1:6">
      <c r="A428" s="11">
        <v>47543</v>
      </c>
      <c r="B428" s="12">
        <f t="shared" si="8"/>
        <v>1264.3530000000001</v>
      </c>
      <c r="C428" s="10"/>
      <c r="E428" s="11">
        <v>47543</v>
      </c>
      <c r="F428" s="4">
        <f t="shared" si="7"/>
        <v>1264.3530000000001</v>
      </c>
    </row>
    <row r="429" spans="1:6">
      <c r="A429" s="11">
        <v>47574</v>
      </c>
      <c r="B429" s="12">
        <f t="shared" si="8"/>
        <v>1264.3530000000001</v>
      </c>
      <c r="C429" s="10"/>
      <c r="E429" s="11">
        <v>47574</v>
      </c>
      <c r="F429" s="4">
        <f t="shared" si="7"/>
        <v>1264.3530000000001</v>
      </c>
    </row>
    <row r="430" spans="1:6">
      <c r="A430" s="11">
        <v>47604</v>
      </c>
      <c r="B430" s="12">
        <f t="shared" si="8"/>
        <v>1264.3530000000001</v>
      </c>
      <c r="C430" s="10"/>
      <c r="E430" s="11">
        <v>47604</v>
      </c>
      <c r="F430" s="4">
        <f t="shared" si="7"/>
        <v>1264.3530000000001</v>
      </c>
    </row>
    <row r="431" spans="1:6">
      <c r="A431" s="11">
        <v>47635</v>
      </c>
      <c r="B431" s="12">
        <f t="shared" si="8"/>
        <v>1264.3530000000001</v>
      </c>
      <c r="C431" s="10"/>
      <c r="E431" s="11">
        <v>47635</v>
      </c>
      <c r="F431" s="4">
        <f t="shared" si="7"/>
        <v>1264.3530000000001</v>
      </c>
    </row>
    <row r="432" spans="1:6">
      <c r="A432" s="11">
        <v>47665</v>
      </c>
      <c r="B432" s="12">
        <f t="shared" si="8"/>
        <v>1264.3530000000001</v>
      </c>
      <c r="C432" s="10"/>
      <c r="E432" s="11">
        <v>47665</v>
      </c>
      <c r="F432" s="4">
        <f t="shared" si="7"/>
        <v>1264.3530000000001</v>
      </c>
    </row>
    <row r="433" spans="1:6">
      <c r="A433" s="11">
        <v>47696</v>
      </c>
      <c r="B433" s="12">
        <f t="shared" si="8"/>
        <v>1264.3530000000001</v>
      </c>
      <c r="C433" s="10"/>
      <c r="E433" s="11">
        <v>47696</v>
      </c>
      <c r="F433" s="4">
        <f t="shared" si="7"/>
        <v>1264.3530000000001</v>
      </c>
    </row>
    <row r="434" spans="1:6">
      <c r="A434" s="11">
        <v>47727</v>
      </c>
      <c r="B434" s="12">
        <f t="shared" si="8"/>
        <v>1264.3530000000001</v>
      </c>
      <c r="C434" s="10"/>
      <c r="E434" s="11">
        <v>47727</v>
      </c>
      <c r="F434" s="4">
        <f t="shared" si="7"/>
        <v>1264.3530000000001</v>
      </c>
    </row>
    <row r="435" spans="1:6">
      <c r="A435" s="11">
        <v>47757</v>
      </c>
      <c r="B435" s="12">
        <f t="shared" si="8"/>
        <v>1264.3530000000001</v>
      </c>
      <c r="C435" s="10"/>
      <c r="E435" s="11">
        <v>47757</v>
      </c>
      <c r="F435" s="4">
        <f t="shared" si="7"/>
        <v>1264.3530000000001</v>
      </c>
    </row>
    <row r="436" spans="1:6">
      <c r="A436" s="11">
        <v>47788</v>
      </c>
      <c r="B436" s="12">
        <f t="shared" si="8"/>
        <v>1264.3530000000001</v>
      </c>
      <c r="C436" s="10"/>
      <c r="E436" s="11">
        <v>47788</v>
      </c>
      <c r="F436" s="4">
        <f t="shared" si="7"/>
        <v>1264.3530000000001</v>
      </c>
    </row>
    <row r="437" spans="1:6">
      <c r="A437" s="11">
        <v>47818</v>
      </c>
      <c r="B437" s="12">
        <f t="shared" si="8"/>
        <v>1264.3530000000001</v>
      </c>
      <c r="C437" s="10"/>
      <c r="E437" s="11">
        <v>47818</v>
      </c>
      <c r="F437" s="4">
        <f t="shared" si="7"/>
        <v>1264.3530000000001</v>
      </c>
    </row>
    <row r="438" spans="1:6">
      <c r="A438" s="11">
        <v>47849</v>
      </c>
      <c r="B438" s="12">
        <f t="shared" si="8"/>
        <v>1264.3530000000001</v>
      </c>
      <c r="C438" s="10"/>
      <c r="E438" s="11">
        <v>47849</v>
      </c>
      <c r="F438" s="4">
        <f t="shared" si="7"/>
        <v>1264.3530000000001</v>
      </c>
    </row>
    <row r="439" spans="1:6">
      <c r="A439" s="11">
        <v>47880</v>
      </c>
      <c r="B439" s="12">
        <f t="shared" si="8"/>
        <v>1264.3530000000001</v>
      </c>
      <c r="C439" s="10"/>
      <c r="E439" s="11">
        <v>47880</v>
      </c>
      <c r="F439" s="4">
        <f t="shared" si="7"/>
        <v>1264.3530000000001</v>
      </c>
    </row>
    <row r="440" spans="1:6">
      <c r="A440" s="11">
        <v>47908</v>
      </c>
      <c r="B440" s="12">
        <f t="shared" si="8"/>
        <v>1264.3530000000001</v>
      </c>
      <c r="C440" s="10"/>
      <c r="E440" s="11">
        <v>47908</v>
      </c>
      <c r="F440" s="4">
        <f t="shared" si="7"/>
        <v>1264.3530000000001</v>
      </c>
    </row>
    <row r="441" spans="1:6">
      <c r="A441" s="11">
        <v>47939</v>
      </c>
      <c r="B441" s="12">
        <f t="shared" si="8"/>
        <v>1264.3530000000001</v>
      </c>
      <c r="C441" s="10"/>
      <c r="E441" s="11">
        <v>47939</v>
      </c>
      <c r="F441" s="4">
        <f t="shared" si="7"/>
        <v>1264.3530000000001</v>
      </c>
    </row>
    <row r="442" spans="1:6">
      <c r="A442" s="11">
        <v>47969</v>
      </c>
      <c r="B442" s="12">
        <f t="shared" si="8"/>
        <v>1264.3530000000001</v>
      </c>
      <c r="C442" s="10"/>
      <c r="E442" s="11">
        <v>47969</v>
      </c>
      <c r="F442" s="4">
        <f t="shared" si="7"/>
        <v>1264.3530000000001</v>
      </c>
    </row>
    <row r="443" spans="1:6">
      <c r="A443" s="11">
        <v>48000</v>
      </c>
      <c r="B443" s="12">
        <f t="shared" si="8"/>
        <v>1264.3530000000001</v>
      </c>
      <c r="C443" s="10"/>
      <c r="E443" s="11">
        <v>48000</v>
      </c>
      <c r="F443" s="4">
        <f t="shared" si="7"/>
        <v>1264.3530000000001</v>
      </c>
    </row>
    <row r="444" spans="1:6">
      <c r="A444" s="11">
        <v>48030</v>
      </c>
      <c r="B444" s="12">
        <f t="shared" si="8"/>
        <v>1264.3530000000001</v>
      </c>
      <c r="C444" s="10"/>
      <c r="E444" s="11">
        <v>48030</v>
      </c>
      <c r="F444" s="4">
        <f t="shared" si="7"/>
        <v>1264.3530000000001</v>
      </c>
    </row>
    <row r="445" spans="1:6">
      <c r="A445" s="11">
        <v>48061</v>
      </c>
      <c r="B445" s="12">
        <f t="shared" si="8"/>
        <v>1264.3530000000001</v>
      </c>
      <c r="C445" s="10"/>
      <c r="E445" s="11">
        <v>48061</v>
      </c>
      <c r="F445" s="4">
        <f t="shared" si="7"/>
        <v>1264.3530000000001</v>
      </c>
    </row>
    <row r="446" spans="1:6">
      <c r="A446" s="11">
        <v>48092</v>
      </c>
      <c r="B446" s="12">
        <f t="shared" si="8"/>
        <v>1264.3530000000001</v>
      </c>
      <c r="C446" s="10"/>
      <c r="E446" s="11">
        <v>48092</v>
      </c>
      <c r="F446" s="4">
        <f t="shared" si="7"/>
        <v>1264.3530000000001</v>
      </c>
    </row>
    <row r="447" spans="1:6">
      <c r="A447" s="11">
        <v>48122</v>
      </c>
      <c r="B447" s="12">
        <f t="shared" si="8"/>
        <v>1264.3530000000001</v>
      </c>
      <c r="C447" s="10"/>
      <c r="E447" s="11">
        <v>48122</v>
      </c>
      <c r="F447" s="4">
        <f t="shared" si="7"/>
        <v>1264.3530000000001</v>
      </c>
    </row>
    <row r="448" spans="1:6">
      <c r="A448" s="11">
        <v>48153</v>
      </c>
      <c r="B448" s="12">
        <f t="shared" si="8"/>
        <v>1264.3530000000001</v>
      </c>
      <c r="C448" s="10"/>
      <c r="E448" s="11">
        <v>48153</v>
      </c>
      <c r="F448" s="4">
        <f t="shared" si="7"/>
        <v>1264.3530000000001</v>
      </c>
    </row>
    <row r="449" spans="1:6">
      <c r="A449" s="11">
        <v>48183</v>
      </c>
      <c r="B449" s="12">
        <f t="shared" si="8"/>
        <v>1264.3530000000001</v>
      </c>
      <c r="C449" s="10"/>
      <c r="E449" s="11">
        <v>48183</v>
      </c>
      <c r="F449" s="4">
        <f t="shared" si="7"/>
        <v>1264.3530000000001</v>
      </c>
    </row>
    <row r="450" spans="1:6">
      <c r="A450" s="11">
        <v>48214</v>
      </c>
      <c r="B450" s="12">
        <f t="shared" si="8"/>
        <v>1264.3530000000001</v>
      </c>
      <c r="C450" s="10"/>
      <c r="E450" s="11">
        <v>48214</v>
      </c>
      <c r="F450" s="4">
        <f t="shared" si="7"/>
        <v>1264.3530000000001</v>
      </c>
    </row>
    <row r="451" spans="1:6">
      <c r="A451" s="11">
        <v>48245</v>
      </c>
      <c r="B451" s="12">
        <f t="shared" si="8"/>
        <v>1264.3530000000001</v>
      </c>
      <c r="C451" s="10"/>
      <c r="E451" s="11">
        <v>48245</v>
      </c>
      <c r="F451" s="4">
        <f t="shared" ref="F451:F514" si="9">B450</f>
        <v>1264.3530000000001</v>
      </c>
    </row>
    <row r="452" spans="1:6">
      <c r="A452" s="11">
        <v>48274</v>
      </c>
      <c r="B452" s="12">
        <f t="shared" si="8"/>
        <v>1264.3530000000001</v>
      </c>
      <c r="C452" s="10"/>
      <c r="E452" s="11">
        <v>48274</v>
      </c>
      <c r="F452" s="4">
        <f t="shared" si="9"/>
        <v>1264.3530000000001</v>
      </c>
    </row>
    <row r="453" spans="1:6">
      <c r="A453" s="11">
        <v>48305</v>
      </c>
      <c r="B453" s="12">
        <f t="shared" si="8"/>
        <v>1264.3530000000001</v>
      </c>
      <c r="C453" s="10"/>
      <c r="E453" s="11">
        <v>48305</v>
      </c>
      <c r="F453" s="4">
        <f t="shared" si="9"/>
        <v>1264.3530000000001</v>
      </c>
    </row>
    <row r="454" spans="1:6">
      <c r="A454" s="11">
        <v>48335</v>
      </c>
      <c r="B454" s="12">
        <f t="shared" si="8"/>
        <v>1264.3530000000001</v>
      </c>
      <c r="C454" s="10"/>
      <c r="E454" s="11">
        <v>48335</v>
      </c>
      <c r="F454" s="4">
        <f t="shared" si="9"/>
        <v>1264.3530000000001</v>
      </c>
    </row>
    <row r="455" spans="1:6">
      <c r="A455" s="11">
        <v>48366</v>
      </c>
      <c r="B455" s="12">
        <f t="shared" si="8"/>
        <v>1264.3530000000001</v>
      </c>
      <c r="C455" s="10"/>
      <c r="E455" s="11">
        <v>48366</v>
      </c>
      <c r="F455" s="4">
        <f t="shared" si="9"/>
        <v>1264.3530000000001</v>
      </c>
    </row>
    <row r="456" spans="1:6">
      <c r="A456" s="11">
        <v>48396</v>
      </c>
      <c r="B456" s="12">
        <f t="shared" si="8"/>
        <v>1264.3530000000001</v>
      </c>
      <c r="C456" s="10"/>
      <c r="E456" s="11">
        <v>48396</v>
      </c>
      <c r="F456" s="4">
        <f t="shared" si="9"/>
        <v>1264.3530000000001</v>
      </c>
    </row>
    <row r="457" spans="1:6">
      <c r="A457" s="11">
        <v>48427</v>
      </c>
      <c r="B457" s="12">
        <f t="shared" si="8"/>
        <v>1264.3530000000001</v>
      </c>
      <c r="C457" s="10"/>
      <c r="E457" s="11">
        <v>48427</v>
      </c>
      <c r="F457" s="4">
        <f t="shared" si="9"/>
        <v>1264.3530000000001</v>
      </c>
    </row>
    <row r="458" spans="1:6">
      <c r="A458" s="11">
        <v>48458</v>
      </c>
      <c r="B458" s="12">
        <f t="shared" si="8"/>
        <v>1264.3530000000001</v>
      </c>
      <c r="C458" s="10"/>
      <c r="E458" s="11">
        <v>48458</v>
      </c>
      <c r="F458" s="4">
        <f t="shared" si="9"/>
        <v>1264.3530000000001</v>
      </c>
    </row>
    <row r="459" spans="1:6">
      <c r="A459" s="11">
        <v>48488</v>
      </c>
      <c r="B459" s="12">
        <f t="shared" si="8"/>
        <v>1264.3530000000001</v>
      </c>
      <c r="C459" s="10"/>
      <c r="E459" s="11">
        <v>48488</v>
      </c>
      <c r="F459" s="4">
        <f t="shared" si="9"/>
        <v>1264.3530000000001</v>
      </c>
    </row>
    <row r="460" spans="1:6">
      <c r="A460" s="11">
        <v>48519</v>
      </c>
      <c r="B460" s="12">
        <f t="shared" si="8"/>
        <v>1264.3530000000001</v>
      </c>
      <c r="C460" s="10"/>
      <c r="E460" s="11">
        <v>48519</v>
      </c>
      <c r="F460" s="4">
        <f t="shared" si="9"/>
        <v>1264.3530000000001</v>
      </c>
    </row>
    <row r="461" spans="1:6">
      <c r="A461" s="11">
        <v>48549</v>
      </c>
      <c r="B461" s="12">
        <f t="shared" si="8"/>
        <v>1264.3530000000001</v>
      </c>
      <c r="C461" s="10"/>
      <c r="E461" s="11">
        <v>48549</v>
      </c>
      <c r="F461" s="4">
        <f t="shared" si="9"/>
        <v>1264.3530000000001</v>
      </c>
    </row>
    <row r="462" spans="1:6">
      <c r="A462" s="11">
        <v>48580</v>
      </c>
      <c r="B462" s="12">
        <f t="shared" si="8"/>
        <v>1264.3530000000001</v>
      </c>
      <c r="C462" s="10"/>
      <c r="E462" s="11">
        <v>48580</v>
      </c>
      <c r="F462" s="4">
        <f t="shared" si="9"/>
        <v>1264.3530000000001</v>
      </c>
    </row>
    <row r="463" spans="1:6">
      <c r="A463" s="11">
        <v>48611</v>
      </c>
      <c r="B463" s="12">
        <f t="shared" si="8"/>
        <v>1264.3530000000001</v>
      </c>
      <c r="C463" s="10"/>
      <c r="E463" s="11">
        <v>48611</v>
      </c>
      <c r="F463" s="4">
        <f t="shared" si="9"/>
        <v>1264.3530000000001</v>
      </c>
    </row>
    <row r="464" spans="1:6">
      <c r="A464" s="11">
        <v>48639</v>
      </c>
      <c r="B464" s="12">
        <f t="shared" si="8"/>
        <v>1264.3530000000001</v>
      </c>
      <c r="C464" s="10"/>
      <c r="E464" s="11">
        <v>48639</v>
      </c>
      <c r="F464" s="4">
        <f t="shared" si="9"/>
        <v>1264.3530000000001</v>
      </c>
    </row>
    <row r="465" spans="1:6">
      <c r="A465" s="11">
        <v>48670</v>
      </c>
      <c r="B465" s="12">
        <f t="shared" si="8"/>
        <v>1264.3530000000001</v>
      </c>
      <c r="C465" s="10"/>
      <c r="E465" s="11">
        <v>48670</v>
      </c>
      <c r="F465" s="4">
        <f t="shared" si="9"/>
        <v>1264.3530000000001</v>
      </c>
    </row>
    <row r="466" spans="1:6">
      <c r="A466" s="11">
        <v>48700</v>
      </c>
      <c r="B466" s="12">
        <f t="shared" si="8"/>
        <v>1264.3530000000001</v>
      </c>
      <c r="C466" s="10"/>
      <c r="E466" s="11">
        <v>48700</v>
      </c>
      <c r="F466" s="4">
        <f t="shared" si="9"/>
        <v>1264.3530000000001</v>
      </c>
    </row>
    <row r="467" spans="1:6">
      <c r="A467" s="11">
        <v>48731</v>
      </c>
      <c r="B467" s="12">
        <f t="shared" si="8"/>
        <v>1264.3530000000001</v>
      </c>
      <c r="C467" s="10"/>
      <c r="E467" s="11">
        <v>48731</v>
      </c>
      <c r="F467" s="4">
        <f t="shared" si="9"/>
        <v>1264.3530000000001</v>
      </c>
    </row>
    <row r="468" spans="1:6">
      <c r="A468" s="11">
        <v>48761</v>
      </c>
      <c r="B468" s="12">
        <f t="shared" si="8"/>
        <v>1264.3530000000001</v>
      </c>
      <c r="C468" s="10"/>
      <c r="E468" s="11">
        <v>48761</v>
      </c>
      <c r="F468" s="4">
        <f t="shared" si="9"/>
        <v>1264.3530000000001</v>
      </c>
    </row>
    <row r="469" spans="1:6">
      <c r="A469" s="11">
        <v>48792</v>
      </c>
      <c r="B469" s="12">
        <f t="shared" si="8"/>
        <v>1264.3530000000001</v>
      </c>
      <c r="C469" s="10"/>
      <c r="E469" s="11">
        <v>48792</v>
      </c>
      <c r="F469" s="4">
        <f t="shared" si="9"/>
        <v>1264.3530000000001</v>
      </c>
    </row>
    <row r="470" spans="1:6">
      <c r="A470" s="11">
        <v>48823</v>
      </c>
      <c r="B470" s="12">
        <f t="shared" si="8"/>
        <v>1264.3530000000001</v>
      </c>
      <c r="C470" s="10"/>
      <c r="E470" s="11">
        <v>48823</v>
      </c>
      <c r="F470" s="4">
        <f t="shared" si="9"/>
        <v>1264.3530000000001</v>
      </c>
    </row>
    <row r="471" spans="1:6">
      <c r="A471" s="11">
        <v>48853</v>
      </c>
      <c r="B471" s="12">
        <f t="shared" si="8"/>
        <v>1264.3530000000001</v>
      </c>
      <c r="C471" s="10"/>
      <c r="E471" s="11">
        <v>48853</v>
      </c>
      <c r="F471" s="4">
        <f t="shared" si="9"/>
        <v>1264.3530000000001</v>
      </c>
    </row>
    <row r="472" spans="1:6">
      <c r="A472" s="11">
        <v>48884</v>
      </c>
      <c r="B472" s="12">
        <f t="shared" si="8"/>
        <v>1264.3530000000001</v>
      </c>
      <c r="C472" s="10"/>
      <c r="E472" s="11">
        <v>48884</v>
      </c>
      <c r="F472" s="4">
        <f t="shared" si="9"/>
        <v>1264.3530000000001</v>
      </c>
    </row>
    <row r="473" spans="1:6">
      <c r="A473" s="11">
        <v>48914</v>
      </c>
      <c r="B473" s="12">
        <f t="shared" si="8"/>
        <v>1264.3530000000001</v>
      </c>
      <c r="C473" s="10"/>
      <c r="E473" s="11">
        <v>48914</v>
      </c>
      <c r="F473" s="4">
        <f t="shared" si="9"/>
        <v>1264.3530000000001</v>
      </c>
    </row>
    <row r="474" spans="1:6">
      <c r="A474" s="11">
        <v>48945</v>
      </c>
      <c r="B474" s="12">
        <f t="shared" si="8"/>
        <v>1264.3530000000001</v>
      </c>
      <c r="C474" s="10"/>
      <c r="E474" s="11">
        <v>48945</v>
      </c>
      <c r="F474" s="4">
        <f t="shared" si="9"/>
        <v>1264.3530000000001</v>
      </c>
    </row>
    <row r="475" spans="1:6">
      <c r="A475" s="11">
        <v>48976</v>
      </c>
      <c r="B475" s="12">
        <f t="shared" si="8"/>
        <v>1264.3530000000001</v>
      </c>
      <c r="C475" s="10"/>
      <c r="E475" s="11">
        <v>48976</v>
      </c>
      <c r="F475" s="4">
        <f t="shared" si="9"/>
        <v>1264.3530000000001</v>
      </c>
    </row>
    <row r="476" spans="1:6">
      <c r="A476" s="11">
        <v>49004</v>
      </c>
      <c r="B476" s="12">
        <f t="shared" si="8"/>
        <v>1264.3530000000001</v>
      </c>
      <c r="C476" s="10"/>
      <c r="E476" s="11">
        <v>49004</v>
      </c>
      <c r="F476" s="4">
        <f t="shared" si="9"/>
        <v>1264.3530000000001</v>
      </c>
    </row>
    <row r="477" spans="1:6">
      <c r="A477" s="11">
        <v>49035</v>
      </c>
      <c r="B477" s="12">
        <f t="shared" si="8"/>
        <v>1264.3530000000001</v>
      </c>
      <c r="C477" s="10"/>
      <c r="E477" s="11">
        <v>49035</v>
      </c>
      <c r="F477" s="4">
        <f t="shared" si="9"/>
        <v>1264.3530000000001</v>
      </c>
    </row>
    <row r="478" spans="1:6">
      <c r="A478" s="11">
        <v>49065</v>
      </c>
      <c r="B478" s="12">
        <f t="shared" ref="B478:B541" si="10">B477</f>
        <v>1264.3530000000001</v>
      </c>
      <c r="C478" s="10"/>
      <c r="E478" s="11">
        <v>49065</v>
      </c>
      <c r="F478" s="4">
        <f t="shared" si="9"/>
        <v>1264.3530000000001</v>
      </c>
    </row>
    <row r="479" spans="1:6">
      <c r="A479" s="11">
        <v>49096</v>
      </c>
      <c r="B479" s="12">
        <f t="shared" si="10"/>
        <v>1264.3530000000001</v>
      </c>
      <c r="C479" s="10"/>
      <c r="E479" s="11">
        <v>49096</v>
      </c>
      <c r="F479" s="4">
        <f t="shared" si="9"/>
        <v>1264.3530000000001</v>
      </c>
    </row>
    <row r="480" spans="1:6">
      <c r="A480" s="11">
        <v>49126</v>
      </c>
      <c r="B480" s="12">
        <f t="shared" si="10"/>
        <v>1264.3530000000001</v>
      </c>
      <c r="C480" s="10"/>
      <c r="E480" s="11">
        <v>49126</v>
      </c>
      <c r="F480" s="4">
        <f t="shared" si="9"/>
        <v>1264.3530000000001</v>
      </c>
    </row>
    <row r="481" spans="1:6">
      <c r="A481" s="11">
        <v>49157</v>
      </c>
      <c r="B481" s="12">
        <f t="shared" si="10"/>
        <v>1264.3530000000001</v>
      </c>
      <c r="C481" s="10"/>
      <c r="E481" s="11">
        <v>49157</v>
      </c>
      <c r="F481" s="4">
        <f t="shared" si="9"/>
        <v>1264.3530000000001</v>
      </c>
    </row>
    <row r="482" spans="1:6">
      <c r="A482" s="11">
        <v>49188</v>
      </c>
      <c r="B482" s="12">
        <f t="shared" si="10"/>
        <v>1264.3530000000001</v>
      </c>
      <c r="C482" s="10"/>
      <c r="E482" s="11">
        <v>49188</v>
      </c>
      <c r="F482" s="4">
        <f t="shared" si="9"/>
        <v>1264.3530000000001</v>
      </c>
    </row>
    <row r="483" spans="1:6">
      <c r="A483" s="11">
        <v>49218</v>
      </c>
      <c r="B483" s="12">
        <f t="shared" si="10"/>
        <v>1264.3530000000001</v>
      </c>
      <c r="C483" s="10"/>
      <c r="E483" s="11">
        <v>49218</v>
      </c>
      <c r="F483" s="4">
        <f t="shared" si="9"/>
        <v>1264.3530000000001</v>
      </c>
    </row>
    <row r="484" spans="1:6">
      <c r="A484" s="11">
        <v>49249</v>
      </c>
      <c r="B484" s="12">
        <f t="shared" si="10"/>
        <v>1264.3530000000001</v>
      </c>
      <c r="C484" s="10"/>
      <c r="E484" s="11">
        <v>49249</v>
      </c>
      <c r="F484" s="4">
        <f t="shared" si="9"/>
        <v>1264.3530000000001</v>
      </c>
    </row>
    <row r="485" spans="1:6">
      <c r="A485" s="11">
        <v>49279</v>
      </c>
      <c r="B485" s="12">
        <f t="shared" si="10"/>
        <v>1264.3530000000001</v>
      </c>
      <c r="C485" s="10"/>
      <c r="E485" s="11">
        <v>49279</v>
      </c>
      <c r="F485" s="4">
        <f t="shared" si="9"/>
        <v>1264.3530000000001</v>
      </c>
    </row>
    <row r="486" spans="1:6">
      <c r="A486" s="11">
        <v>49310</v>
      </c>
      <c r="B486" s="12">
        <f t="shared" si="10"/>
        <v>1264.3530000000001</v>
      </c>
      <c r="C486" s="10"/>
      <c r="E486" s="11">
        <v>49310</v>
      </c>
      <c r="F486" s="4">
        <f t="shared" si="9"/>
        <v>1264.3530000000001</v>
      </c>
    </row>
    <row r="487" spans="1:6">
      <c r="A487" s="11">
        <v>49341</v>
      </c>
      <c r="B487" s="12">
        <f t="shared" si="10"/>
        <v>1264.3530000000001</v>
      </c>
      <c r="C487" s="10"/>
      <c r="E487" s="11">
        <v>49341</v>
      </c>
      <c r="F487" s="4">
        <f t="shared" si="9"/>
        <v>1264.3530000000001</v>
      </c>
    </row>
    <row r="488" spans="1:6">
      <c r="A488" s="11">
        <v>49369</v>
      </c>
      <c r="B488" s="12">
        <f t="shared" si="10"/>
        <v>1264.3530000000001</v>
      </c>
      <c r="C488" s="10"/>
      <c r="E488" s="11">
        <v>49369</v>
      </c>
      <c r="F488" s="4">
        <f t="shared" si="9"/>
        <v>1264.3530000000001</v>
      </c>
    </row>
    <row r="489" spans="1:6">
      <c r="A489" s="11">
        <v>49400</v>
      </c>
      <c r="B489" s="12">
        <f t="shared" si="10"/>
        <v>1264.3530000000001</v>
      </c>
      <c r="C489" s="10"/>
      <c r="E489" s="11">
        <v>49400</v>
      </c>
      <c r="F489" s="4">
        <f t="shared" si="9"/>
        <v>1264.3530000000001</v>
      </c>
    </row>
    <row r="490" spans="1:6">
      <c r="A490" s="11">
        <v>49430</v>
      </c>
      <c r="B490" s="12">
        <f t="shared" si="10"/>
        <v>1264.3530000000001</v>
      </c>
      <c r="C490" s="10"/>
      <c r="E490" s="11">
        <v>49430</v>
      </c>
      <c r="F490" s="4">
        <f t="shared" si="9"/>
        <v>1264.3530000000001</v>
      </c>
    </row>
    <row r="491" spans="1:6">
      <c r="A491" s="11">
        <v>49461</v>
      </c>
      <c r="B491" s="12">
        <f t="shared" si="10"/>
        <v>1264.3530000000001</v>
      </c>
      <c r="C491" s="10"/>
      <c r="E491" s="11">
        <v>49461</v>
      </c>
      <c r="F491" s="4">
        <f t="shared" si="9"/>
        <v>1264.3530000000001</v>
      </c>
    </row>
    <row r="492" spans="1:6">
      <c r="A492" s="11">
        <v>49491</v>
      </c>
      <c r="B492" s="12">
        <f t="shared" si="10"/>
        <v>1264.3530000000001</v>
      </c>
      <c r="C492" s="10"/>
      <c r="E492" s="11">
        <v>49491</v>
      </c>
      <c r="F492" s="4">
        <f t="shared" si="9"/>
        <v>1264.3530000000001</v>
      </c>
    </row>
    <row r="493" spans="1:6">
      <c r="A493" s="11">
        <v>49522</v>
      </c>
      <c r="B493" s="12">
        <f t="shared" si="10"/>
        <v>1264.3530000000001</v>
      </c>
      <c r="C493" s="10"/>
      <c r="E493" s="11">
        <v>49522</v>
      </c>
      <c r="F493" s="4">
        <f t="shared" si="9"/>
        <v>1264.3530000000001</v>
      </c>
    </row>
    <row r="494" spans="1:6">
      <c r="A494" s="11">
        <v>49553</v>
      </c>
      <c r="B494" s="12">
        <f t="shared" si="10"/>
        <v>1264.3530000000001</v>
      </c>
      <c r="C494" s="10"/>
      <c r="E494" s="11">
        <v>49553</v>
      </c>
      <c r="F494" s="4">
        <f t="shared" si="9"/>
        <v>1264.3530000000001</v>
      </c>
    </row>
    <row r="495" spans="1:6">
      <c r="A495" s="11">
        <v>49583</v>
      </c>
      <c r="B495" s="12">
        <f t="shared" si="10"/>
        <v>1264.3530000000001</v>
      </c>
      <c r="C495" s="10"/>
      <c r="E495" s="11">
        <v>49583</v>
      </c>
      <c r="F495" s="4">
        <f t="shared" si="9"/>
        <v>1264.3530000000001</v>
      </c>
    </row>
    <row r="496" spans="1:6">
      <c r="A496" s="11">
        <v>49614</v>
      </c>
      <c r="B496" s="12">
        <f t="shared" si="10"/>
        <v>1264.3530000000001</v>
      </c>
      <c r="C496" s="10"/>
      <c r="E496" s="11">
        <v>49614</v>
      </c>
      <c r="F496" s="4">
        <f t="shared" si="9"/>
        <v>1264.3530000000001</v>
      </c>
    </row>
    <row r="497" spans="1:6">
      <c r="A497" s="11">
        <v>49644</v>
      </c>
      <c r="B497" s="12">
        <f t="shared" si="10"/>
        <v>1264.3530000000001</v>
      </c>
      <c r="C497" s="10"/>
      <c r="E497" s="11">
        <v>49644</v>
      </c>
      <c r="F497" s="4">
        <f t="shared" si="9"/>
        <v>1264.3530000000001</v>
      </c>
    </row>
    <row r="498" spans="1:6">
      <c r="A498" s="11">
        <v>49675</v>
      </c>
      <c r="B498" s="12">
        <f t="shared" si="10"/>
        <v>1264.3530000000001</v>
      </c>
      <c r="C498" s="10"/>
      <c r="E498" s="11">
        <v>49675</v>
      </c>
      <c r="F498" s="4">
        <f t="shared" si="9"/>
        <v>1264.3530000000001</v>
      </c>
    </row>
    <row r="499" spans="1:6">
      <c r="A499" s="11">
        <v>49706</v>
      </c>
      <c r="B499" s="12">
        <f t="shared" si="10"/>
        <v>1264.3530000000001</v>
      </c>
      <c r="C499" s="10"/>
      <c r="E499" s="11">
        <v>49706</v>
      </c>
      <c r="F499" s="4">
        <f t="shared" si="9"/>
        <v>1264.3530000000001</v>
      </c>
    </row>
    <row r="500" spans="1:6">
      <c r="A500" s="11">
        <v>49735</v>
      </c>
      <c r="B500" s="12">
        <f t="shared" si="10"/>
        <v>1264.3530000000001</v>
      </c>
      <c r="C500" s="10"/>
      <c r="E500" s="11">
        <v>49735</v>
      </c>
      <c r="F500" s="4">
        <f t="shared" si="9"/>
        <v>1264.3530000000001</v>
      </c>
    </row>
    <row r="501" spans="1:6">
      <c r="A501" s="11">
        <v>49766</v>
      </c>
      <c r="B501" s="12">
        <f t="shared" si="10"/>
        <v>1264.3530000000001</v>
      </c>
      <c r="C501" s="10"/>
      <c r="E501" s="11">
        <v>49766</v>
      </c>
      <c r="F501" s="4">
        <f t="shared" si="9"/>
        <v>1264.3530000000001</v>
      </c>
    </row>
    <row r="502" spans="1:6">
      <c r="A502" s="11">
        <v>49796</v>
      </c>
      <c r="B502" s="12">
        <f t="shared" si="10"/>
        <v>1264.3530000000001</v>
      </c>
      <c r="C502" s="10"/>
      <c r="E502" s="11">
        <v>49796</v>
      </c>
      <c r="F502" s="4">
        <f t="shared" si="9"/>
        <v>1264.3530000000001</v>
      </c>
    </row>
    <row r="503" spans="1:6">
      <c r="A503" s="11">
        <v>49827</v>
      </c>
      <c r="B503" s="12">
        <f t="shared" si="10"/>
        <v>1264.3530000000001</v>
      </c>
      <c r="C503" s="10"/>
      <c r="E503" s="11">
        <v>49827</v>
      </c>
      <c r="F503" s="4">
        <f t="shared" si="9"/>
        <v>1264.3530000000001</v>
      </c>
    </row>
    <row r="504" spans="1:6">
      <c r="A504" s="11">
        <v>49857</v>
      </c>
      <c r="B504" s="12">
        <f t="shared" si="10"/>
        <v>1264.3530000000001</v>
      </c>
      <c r="C504" s="10"/>
      <c r="E504" s="11">
        <v>49857</v>
      </c>
      <c r="F504" s="4">
        <f t="shared" si="9"/>
        <v>1264.3530000000001</v>
      </c>
    </row>
    <row r="505" spans="1:6">
      <c r="A505" s="11">
        <v>49888</v>
      </c>
      <c r="B505" s="12">
        <f t="shared" si="10"/>
        <v>1264.3530000000001</v>
      </c>
      <c r="C505" s="10"/>
      <c r="E505" s="11">
        <v>49888</v>
      </c>
      <c r="F505" s="4">
        <f t="shared" si="9"/>
        <v>1264.3530000000001</v>
      </c>
    </row>
    <row r="506" spans="1:6">
      <c r="A506" s="11">
        <v>49919</v>
      </c>
      <c r="B506" s="12">
        <f t="shared" si="10"/>
        <v>1264.3530000000001</v>
      </c>
      <c r="C506" s="10"/>
      <c r="E506" s="11">
        <v>49919</v>
      </c>
      <c r="F506" s="4">
        <f t="shared" si="9"/>
        <v>1264.3530000000001</v>
      </c>
    </row>
    <row r="507" spans="1:6">
      <c r="A507" s="11">
        <v>49949</v>
      </c>
      <c r="B507" s="12">
        <f t="shared" si="10"/>
        <v>1264.3530000000001</v>
      </c>
      <c r="C507" s="10"/>
      <c r="E507" s="11">
        <v>49949</v>
      </c>
      <c r="F507" s="4">
        <f t="shared" si="9"/>
        <v>1264.3530000000001</v>
      </c>
    </row>
    <row r="508" spans="1:6">
      <c r="A508" s="11">
        <v>49980</v>
      </c>
      <c r="B508" s="12">
        <f t="shared" si="10"/>
        <v>1264.3530000000001</v>
      </c>
      <c r="C508" s="10"/>
      <c r="E508" s="11">
        <v>49980</v>
      </c>
      <c r="F508" s="4">
        <f t="shared" si="9"/>
        <v>1264.3530000000001</v>
      </c>
    </row>
    <row r="509" spans="1:6">
      <c r="A509" s="11">
        <v>50010</v>
      </c>
      <c r="B509" s="12">
        <f t="shared" si="10"/>
        <v>1264.3530000000001</v>
      </c>
      <c r="C509" s="10"/>
      <c r="E509" s="11">
        <v>50010</v>
      </c>
      <c r="F509" s="4">
        <f t="shared" si="9"/>
        <v>1264.3530000000001</v>
      </c>
    </row>
    <row r="510" spans="1:6">
      <c r="A510" s="11">
        <v>50041</v>
      </c>
      <c r="B510" s="12">
        <f t="shared" si="10"/>
        <v>1264.3530000000001</v>
      </c>
      <c r="C510" s="10"/>
      <c r="E510" s="11">
        <v>50041</v>
      </c>
      <c r="F510" s="4">
        <f t="shared" si="9"/>
        <v>1264.3530000000001</v>
      </c>
    </row>
    <row r="511" spans="1:6">
      <c r="A511" s="11">
        <v>50072</v>
      </c>
      <c r="B511" s="12">
        <f t="shared" si="10"/>
        <v>1264.3530000000001</v>
      </c>
      <c r="C511" s="10"/>
      <c r="E511" s="11">
        <v>50072</v>
      </c>
      <c r="F511" s="4">
        <f t="shared" si="9"/>
        <v>1264.3530000000001</v>
      </c>
    </row>
    <row r="512" spans="1:6">
      <c r="A512" s="11">
        <v>50100</v>
      </c>
      <c r="B512" s="12">
        <f t="shared" si="10"/>
        <v>1264.3530000000001</v>
      </c>
      <c r="C512" s="10"/>
      <c r="E512" s="11">
        <v>50100</v>
      </c>
      <c r="F512" s="4">
        <f t="shared" si="9"/>
        <v>1264.3530000000001</v>
      </c>
    </row>
    <row r="513" spans="1:6">
      <c r="A513" s="11">
        <v>50131</v>
      </c>
      <c r="B513" s="12">
        <f t="shared" si="10"/>
        <v>1264.3530000000001</v>
      </c>
      <c r="C513" s="10"/>
      <c r="E513" s="11">
        <v>50131</v>
      </c>
      <c r="F513" s="4">
        <f t="shared" si="9"/>
        <v>1264.3530000000001</v>
      </c>
    </row>
    <row r="514" spans="1:6">
      <c r="A514" s="11">
        <v>50161</v>
      </c>
      <c r="B514" s="12">
        <f t="shared" si="10"/>
        <v>1264.3530000000001</v>
      </c>
      <c r="C514" s="10"/>
      <c r="E514" s="11">
        <v>50161</v>
      </c>
      <c r="F514" s="4">
        <f t="shared" si="9"/>
        <v>1264.3530000000001</v>
      </c>
    </row>
    <row r="515" spans="1:6">
      <c r="A515" s="11">
        <v>50192</v>
      </c>
      <c r="B515" s="12">
        <f t="shared" si="10"/>
        <v>1264.3530000000001</v>
      </c>
      <c r="C515" s="10"/>
      <c r="E515" s="11">
        <v>50192</v>
      </c>
      <c r="F515" s="4">
        <f t="shared" ref="F515:F578" si="11">B514</f>
        <v>1264.3530000000001</v>
      </c>
    </row>
    <row r="516" spans="1:6">
      <c r="A516" s="11">
        <v>50222</v>
      </c>
      <c r="B516" s="12">
        <f t="shared" si="10"/>
        <v>1264.3530000000001</v>
      </c>
      <c r="C516" s="10"/>
      <c r="E516" s="11">
        <v>50222</v>
      </c>
      <c r="F516" s="4">
        <f t="shared" si="11"/>
        <v>1264.3530000000001</v>
      </c>
    </row>
    <row r="517" spans="1:6">
      <c r="A517" s="11">
        <v>50253</v>
      </c>
      <c r="B517" s="12">
        <f t="shared" si="10"/>
        <v>1264.3530000000001</v>
      </c>
      <c r="C517" s="10"/>
      <c r="E517" s="11">
        <v>50253</v>
      </c>
      <c r="F517" s="4">
        <f t="shared" si="11"/>
        <v>1264.3530000000001</v>
      </c>
    </row>
    <row r="518" spans="1:6">
      <c r="A518" s="11">
        <v>50284</v>
      </c>
      <c r="B518" s="12">
        <f t="shared" si="10"/>
        <v>1264.3530000000001</v>
      </c>
      <c r="C518" s="10"/>
      <c r="E518" s="11">
        <v>50284</v>
      </c>
      <c r="F518" s="4">
        <f t="shared" si="11"/>
        <v>1264.3530000000001</v>
      </c>
    </row>
    <row r="519" spans="1:6">
      <c r="A519" s="11">
        <v>50314</v>
      </c>
      <c r="B519" s="12">
        <f t="shared" si="10"/>
        <v>1264.3530000000001</v>
      </c>
      <c r="C519" s="10"/>
      <c r="E519" s="11">
        <v>50314</v>
      </c>
      <c r="F519" s="4">
        <f t="shared" si="11"/>
        <v>1264.3530000000001</v>
      </c>
    </row>
    <row r="520" spans="1:6">
      <c r="A520" s="11">
        <v>50345</v>
      </c>
      <c r="B520" s="12">
        <f t="shared" si="10"/>
        <v>1264.3530000000001</v>
      </c>
      <c r="C520" s="10"/>
      <c r="E520" s="11">
        <v>50345</v>
      </c>
      <c r="F520" s="4">
        <f t="shared" si="11"/>
        <v>1264.3530000000001</v>
      </c>
    </row>
    <row r="521" spans="1:6">
      <c r="A521" s="11">
        <v>50375</v>
      </c>
      <c r="B521" s="12">
        <f t="shared" si="10"/>
        <v>1264.3530000000001</v>
      </c>
      <c r="C521" s="10"/>
      <c r="E521" s="11">
        <v>50375</v>
      </c>
      <c r="F521" s="4">
        <f t="shared" si="11"/>
        <v>1264.3530000000001</v>
      </c>
    </row>
    <row r="522" spans="1:6">
      <c r="A522" s="11">
        <v>50406</v>
      </c>
      <c r="B522" s="12">
        <f t="shared" si="10"/>
        <v>1264.3530000000001</v>
      </c>
      <c r="C522" s="10"/>
      <c r="E522" s="11">
        <v>50406</v>
      </c>
      <c r="F522" s="4">
        <f t="shared" si="11"/>
        <v>1264.3530000000001</v>
      </c>
    </row>
    <row r="523" spans="1:6">
      <c r="A523" s="11">
        <v>50437</v>
      </c>
      <c r="B523" s="12">
        <f t="shared" si="10"/>
        <v>1264.3530000000001</v>
      </c>
      <c r="C523" s="10"/>
      <c r="E523" s="11">
        <v>50437</v>
      </c>
      <c r="F523" s="4">
        <f t="shared" si="11"/>
        <v>1264.3530000000001</v>
      </c>
    </row>
    <row r="524" spans="1:6">
      <c r="A524" s="11">
        <v>50465</v>
      </c>
      <c r="B524" s="12">
        <f t="shared" si="10"/>
        <v>1264.3530000000001</v>
      </c>
      <c r="C524" s="10"/>
      <c r="E524" s="11">
        <v>50465</v>
      </c>
      <c r="F524" s="4">
        <f t="shared" si="11"/>
        <v>1264.3530000000001</v>
      </c>
    </row>
    <row r="525" spans="1:6">
      <c r="A525" s="11">
        <v>50496</v>
      </c>
      <c r="B525" s="12">
        <f t="shared" si="10"/>
        <v>1264.3530000000001</v>
      </c>
      <c r="C525" s="10"/>
      <c r="E525" s="11">
        <v>50496</v>
      </c>
      <c r="F525" s="4">
        <f t="shared" si="11"/>
        <v>1264.3530000000001</v>
      </c>
    </row>
    <row r="526" spans="1:6">
      <c r="A526" s="11">
        <v>50526</v>
      </c>
      <c r="B526" s="12">
        <f t="shared" si="10"/>
        <v>1264.3530000000001</v>
      </c>
      <c r="C526" s="10"/>
      <c r="E526" s="11">
        <v>50526</v>
      </c>
      <c r="F526" s="4">
        <f t="shared" si="11"/>
        <v>1264.3530000000001</v>
      </c>
    </row>
    <row r="527" spans="1:6">
      <c r="A527" s="11">
        <v>50557</v>
      </c>
      <c r="B527" s="12">
        <f t="shared" si="10"/>
        <v>1264.3530000000001</v>
      </c>
      <c r="C527" s="10"/>
      <c r="E527" s="11">
        <v>50557</v>
      </c>
      <c r="F527" s="4">
        <f t="shared" si="11"/>
        <v>1264.3530000000001</v>
      </c>
    </row>
    <row r="528" spans="1:6">
      <c r="A528" s="11">
        <v>50587</v>
      </c>
      <c r="B528" s="12">
        <f t="shared" si="10"/>
        <v>1264.3530000000001</v>
      </c>
      <c r="C528" s="10"/>
      <c r="E528" s="11">
        <v>50587</v>
      </c>
      <c r="F528" s="4">
        <f t="shared" si="11"/>
        <v>1264.3530000000001</v>
      </c>
    </row>
    <row r="529" spans="1:6">
      <c r="A529" s="11">
        <v>50618</v>
      </c>
      <c r="B529" s="12">
        <f t="shared" si="10"/>
        <v>1264.3530000000001</v>
      </c>
      <c r="C529" s="10"/>
      <c r="E529" s="11">
        <v>50618</v>
      </c>
      <c r="F529" s="4">
        <f t="shared" si="11"/>
        <v>1264.3530000000001</v>
      </c>
    </row>
    <row r="530" spans="1:6">
      <c r="A530" s="11">
        <v>50649</v>
      </c>
      <c r="B530" s="12">
        <f t="shared" si="10"/>
        <v>1264.3530000000001</v>
      </c>
      <c r="C530" s="10"/>
      <c r="E530" s="11">
        <v>50649</v>
      </c>
      <c r="F530" s="4">
        <f t="shared" si="11"/>
        <v>1264.3530000000001</v>
      </c>
    </row>
    <row r="531" spans="1:6">
      <c r="A531" s="11">
        <v>50679</v>
      </c>
      <c r="B531" s="12">
        <f t="shared" si="10"/>
        <v>1264.3530000000001</v>
      </c>
      <c r="C531" s="10"/>
      <c r="E531" s="11">
        <v>50679</v>
      </c>
      <c r="F531" s="4">
        <f t="shared" si="11"/>
        <v>1264.3530000000001</v>
      </c>
    </row>
    <row r="532" spans="1:6">
      <c r="A532" s="11">
        <v>50710</v>
      </c>
      <c r="B532" s="12">
        <f t="shared" si="10"/>
        <v>1264.3530000000001</v>
      </c>
      <c r="C532" s="10"/>
      <c r="E532" s="11">
        <v>50710</v>
      </c>
      <c r="F532" s="4">
        <f t="shared" si="11"/>
        <v>1264.3530000000001</v>
      </c>
    </row>
    <row r="533" spans="1:6">
      <c r="A533" s="11">
        <v>50740</v>
      </c>
      <c r="B533" s="12">
        <f t="shared" si="10"/>
        <v>1264.3530000000001</v>
      </c>
      <c r="C533" s="10"/>
      <c r="E533" s="11">
        <v>50740</v>
      </c>
      <c r="F533" s="4">
        <f t="shared" si="11"/>
        <v>1264.3530000000001</v>
      </c>
    </row>
    <row r="534" spans="1:6">
      <c r="A534" s="11">
        <v>50771</v>
      </c>
      <c r="B534" s="12">
        <f t="shared" si="10"/>
        <v>1264.3530000000001</v>
      </c>
      <c r="C534" s="10"/>
      <c r="E534" s="11">
        <v>50771</v>
      </c>
      <c r="F534" s="4">
        <f t="shared" si="11"/>
        <v>1264.3530000000001</v>
      </c>
    </row>
    <row r="535" spans="1:6">
      <c r="A535" s="11">
        <v>50802</v>
      </c>
      <c r="B535" s="12">
        <f t="shared" si="10"/>
        <v>1264.3530000000001</v>
      </c>
      <c r="C535" s="10"/>
      <c r="E535" s="11">
        <v>50802</v>
      </c>
      <c r="F535" s="4">
        <f t="shared" si="11"/>
        <v>1264.3530000000001</v>
      </c>
    </row>
    <row r="536" spans="1:6">
      <c r="A536" s="11">
        <v>50830</v>
      </c>
      <c r="B536" s="12">
        <f t="shared" si="10"/>
        <v>1264.3530000000001</v>
      </c>
      <c r="C536" s="10"/>
      <c r="E536" s="11">
        <v>50830</v>
      </c>
      <c r="F536" s="4">
        <f t="shared" si="11"/>
        <v>1264.3530000000001</v>
      </c>
    </row>
    <row r="537" spans="1:6">
      <c r="A537" s="11">
        <v>50861</v>
      </c>
      <c r="B537" s="12">
        <f t="shared" si="10"/>
        <v>1264.3530000000001</v>
      </c>
      <c r="C537" s="10"/>
      <c r="E537" s="11">
        <v>50861</v>
      </c>
      <c r="F537" s="4">
        <f t="shared" si="11"/>
        <v>1264.3530000000001</v>
      </c>
    </row>
    <row r="538" spans="1:6">
      <c r="A538" s="11">
        <v>50891</v>
      </c>
      <c r="B538" s="12">
        <f t="shared" si="10"/>
        <v>1264.3530000000001</v>
      </c>
      <c r="C538" s="10"/>
      <c r="E538" s="11">
        <v>50891</v>
      </c>
      <c r="F538" s="4">
        <f t="shared" si="11"/>
        <v>1264.3530000000001</v>
      </c>
    </row>
    <row r="539" spans="1:6">
      <c r="A539" s="11">
        <v>50922</v>
      </c>
      <c r="B539" s="12">
        <f t="shared" si="10"/>
        <v>1264.3530000000001</v>
      </c>
      <c r="C539" s="10"/>
      <c r="E539" s="11">
        <v>50922</v>
      </c>
      <c r="F539" s="4">
        <f t="shared" si="11"/>
        <v>1264.3530000000001</v>
      </c>
    </row>
    <row r="540" spans="1:6">
      <c r="A540" s="11">
        <v>50952</v>
      </c>
      <c r="B540" s="12">
        <f t="shared" si="10"/>
        <v>1264.3530000000001</v>
      </c>
      <c r="C540" s="10"/>
      <c r="E540" s="11">
        <v>50952</v>
      </c>
      <c r="F540" s="4">
        <f t="shared" si="11"/>
        <v>1264.3530000000001</v>
      </c>
    </row>
    <row r="541" spans="1:6">
      <c r="A541" s="11">
        <v>50983</v>
      </c>
      <c r="B541" s="12">
        <f t="shared" si="10"/>
        <v>1264.3530000000001</v>
      </c>
      <c r="C541" s="10"/>
      <c r="E541" s="11">
        <v>50983</v>
      </c>
      <c r="F541" s="4">
        <f t="shared" si="11"/>
        <v>1264.3530000000001</v>
      </c>
    </row>
    <row r="542" spans="1:6">
      <c r="A542" s="11">
        <v>51014</v>
      </c>
      <c r="B542" s="12">
        <f t="shared" ref="B542:B605" si="12">B541</f>
        <v>1264.3530000000001</v>
      </c>
      <c r="C542" s="10"/>
      <c r="E542" s="11">
        <v>51014</v>
      </c>
      <c r="F542" s="4">
        <f t="shared" si="11"/>
        <v>1264.3530000000001</v>
      </c>
    </row>
    <row r="543" spans="1:6">
      <c r="A543" s="11">
        <v>51044</v>
      </c>
      <c r="B543" s="12">
        <f t="shared" si="12"/>
        <v>1264.3530000000001</v>
      </c>
      <c r="C543" s="10"/>
      <c r="E543" s="11">
        <v>51044</v>
      </c>
      <c r="F543" s="4">
        <f t="shared" si="11"/>
        <v>1264.3530000000001</v>
      </c>
    </row>
    <row r="544" spans="1:6">
      <c r="A544" s="11">
        <v>51075</v>
      </c>
      <c r="B544" s="12">
        <f t="shared" si="12"/>
        <v>1264.3530000000001</v>
      </c>
      <c r="C544" s="10"/>
      <c r="E544" s="11">
        <v>51075</v>
      </c>
      <c r="F544" s="4">
        <f t="shared" si="11"/>
        <v>1264.3530000000001</v>
      </c>
    </row>
    <row r="545" spans="1:6">
      <c r="A545" s="11">
        <v>51105</v>
      </c>
      <c r="B545" s="12">
        <f t="shared" si="12"/>
        <v>1264.3530000000001</v>
      </c>
      <c r="C545" s="10"/>
      <c r="E545" s="11">
        <v>51105</v>
      </c>
      <c r="F545" s="4">
        <f t="shared" si="11"/>
        <v>1264.3530000000001</v>
      </c>
    </row>
    <row r="546" spans="1:6">
      <c r="A546" s="11">
        <v>51136</v>
      </c>
      <c r="B546" s="12">
        <f t="shared" si="12"/>
        <v>1264.3530000000001</v>
      </c>
      <c r="C546" s="10"/>
      <c r="E546" s="11">
        <v>51136</v>
      </c>
      <c r="F546" s="4">
        <f t="shared" si="11"/>
        <v>1264.3530000000001</v>
      </c>
    </row>
    <row r="547" spans="1:6">
      <c r="A547" s="11">
        <v>51167</v>
      </c>
      <c r="B547" s="12">
        <f t="shared" si="12"/>
        <v>1264.3530000000001</v>
      </c>
      <c r="C547" s="10"/>
      <c r="E547" s="11">
        <v>51167</v>
      </c>
      <c r="F547" s="4">
        <f t="shared" si="11"/>
        <v>1264.3530000000001</v>
      </c>
    </row>
    <row r="548" spans="1:6">
      <c r="A548" s="11">
        <v>51196</v>
      </c>
      <c r="B548" s="12">
        <f t="shared" si="12"/>
        <v>1264.3530000000001</v>
      </c>
      <c r="C548" s="10"/>
      <c r="E548" s="11">
        <v>51196</v>
      </c>
      <c r="F548" s="4">
        <f t="shared" si="11"/>
        <v>1264.3530000000001</v>
      </c>
    </row>
    <row r="549" spans="1:6">
      <c r="A549" s="11">
        <v>51227</v>
      </c>
      <c r="B549" s="12">
        <f t="shared" si="12"/>
        <v>1264.3530000000001</v>
      </c>
      <c r="C549" s="10"/>
      <c r="E549" s="11">
        <v>51227</v>
      </c>
      <c r="F549" s="4">
        <f t="shared" si="11"/>
        <v>1264.3530000000001</v>
      </c>
    </row>
    <row r="550" spans="1:6">
      <c r="A550" s="11">
        <v>51257</v>
      </c>
      <c r="B550" s="12">
        <f t="shared" si="12"/>
        <v>1264.3530000000001</v>
      </c>
      <c r="C550" s="10"/>
      <c r="E550" s="11">
        <v>51257</v>
      </c>
      <c r="F550" s="4">
        <f t="shared" si="11"/>
        <v>1264.3530000000001</v>
      </c>
    </row>
    <row r="551" spans="1:6">
      <c r="A551" s="11">
        <v>51288</v>
      </c>
      <c r="B551" s="12">
        <f t="shared" si="12"/>
        <v>1264.3530000000001</v>
      </c>
      <c r="C551" s="10"/>
      <c r="E551" s="11">
        <v>51288</v>
      </c>
      <c r="F551" s="4">
        <f t="shared" si="11"/>
        <v>1264.3530000000001</v>
      </c>
    </row>
    <row r="552" spans="1:6">
      <c r="A552" s="11">
        <v>51318</v>
      </c>
      <c r="B552" s="12">
        <f t="shared" si="12"/>
        <v>1264.3530000000001</v>
      </c>
      <c r="C552" s="10"/>
      <c r="E552" s="11">
        <v>51318</v>
      </c>
      <c r="F552" s="4">
        <f t="shared" si="11"/>
        <v>1264.3530000000001</v>
      </c>
    </row>
    <row r="553" spans="1:6">
      <c r="A553" s="11">
        <v>51349</v>
      </c>
      <c r="B553" s="12">
        <f t="shared" si="12"/>
        <v>1264.3530000000001</v>
      </c>
      <c r="C553" s="10"/>
      <c r="E553" s="11">
        <v>51349</v>
      </c>
      <c r="F553" s="4">
        <f t="shared" si="11"/>
        <v>1264.3530000000001</v>
      </c>
    </row>
    <row r="554" spans="1:6">
      <c r="A554" s="11">
        <v>51380</v>
      </c>
      <c r="B554" s="12">
        <f t="shared" si="12"/>
        <v>1264.3530000000001</v>
      </c>
      <c r="C554" s="10"/>
      <c r="E554" s="11">
        <v>51380</v>
      </c>
      <c r="F554" s="4">
        <f t="shared" si="11"/>
        <v>1264.3530000000001</v>
      </c>
    </row>
    <row r="555" spans="1:6">
      <c r="A555" s="11">
        <v>51410</v>
      </c>
      <c r="B555" s="12">
        <f t="shared" si="12"/>
        <v>1264.3530000000001</v>
      </c>
      <c r="C555" s="10"/>
      <c r="E555" s="11">
        <v>51410</v>
      </c>
      <c r="F555" s="4">
        <f t="shared" si="11"/>
        <v>1264.3530000000001</v>
      </c>
    </row>
    <row r="556" spans="1:6">
      <c r="A556" s="11">
        <v>51441</v>
      </c>
      <c r="B556" s="12">
        <f t="shared" si="12"/>
        <v>1264.3530000000001</v>
      </c>
      <c r="C556" s="10"/>
      <c r="E556" s="11">
        <v>51441</v>
      </c>
      <c r="F556" s="4">
        <f t="shared" si="11"/>
        <v>1264.3530000000001</v>
      </c>
    </row>
    <row r="557" spans="1:6">
      <c r="A557" s="11">
        <v>51471</v>
      </c>
      <c r="B557" s="12">
        <f t="shared" si="12"/>
        <v>1264.3530000000001</v>
      </c>
      <c r="C557" s="10"/>
      <c r="E557" s="11">
        <v>51471</v>
      </c>
      <c r="F557" s="4">
        <f t="shared" si="11"/>
        <v>1264.3530000000001</v>
      </c>
    </row>
    <row r="558" spans="1:6">
      <c r="A558" s="11">
        <v>51502</v>
      </c>
      <c r="B558" s="12">
        <f t="shared" si="12"/>
        <v>1264.3530000000001</v>
      </c>
      <c r="C558" s="10"/>
      <c r="E558" s="11">
        <v>51502</v>
      </c>
      <c r="F558" s="4">
        <f t="shared" si="11"/>
        <v>1264.3530000000001</v>
      </c>
    </row>
    <row r="559" spans="1:6">
      <c r="A559" s="11">
        <v>51533</v>
      </c>
      <c r="B559" s="12">
        <f t="shared" si="12"/>
        <v>1264.3530000000001</v>
      </c>
      <c r="C559" s="10"/>
      <c r="E559" s="11">
        <v>51533</v>
      </c>
      <c r="F559" s="4">
        <f t="shared" si="11"/>
        <v>1264.3530000000001</v>
      </c>
    </row>
    <row r="560" spans="1:6">
      <c r="A560" s="11">
        <v>51561</v>
      </c>
      <c r="B560" s="12">
        <f t="shared" si="12"/>
        <v>1264.3530000000001</v>
      </c>
      <c r="C560" s="10"/>
      <c r="E560" s="11">
        <v>51561</v>
      </c>
      <c r="F560" s="4">
        <f t="shared" si="11"/>
        <v>1264.3530000000001</v>
      </c>
    </row>
    <row r="561" spans="1:6">
      <c r="A561" s="11">
        <v>51592</v>
      </c>
      <c r="B561" s="12">
        <f t="shared" si="12"/>
        <v>1264.3530000000001</v>
      </c>
      <c r="C561" s="10"/>
      <c r="E561" s="11">
        <v>51592</v>
      </c>
      <c r="F561" s="4">
        <f t="shared" si="11"/>
        <v>1264.3530000000001</v>
      </c>
    </row>
    <row r="562" spans="1:6">
      <c r="A562" s="11">
        <v>51622</v>
      </c>
      <c r="B562" s="12">
        <f t="shared" si="12"/>
        <v>1264.3530000000001</v>
      </c>
      <c r="C562" s="10"/>
      <c r="E562" s="11">
        <v>51622</v>
      </c>
      <c r="F562" s="4">
        <f t="shared" si="11"/>
        <v>1264.3530000000001</v>
      </c>
    </row>
    <row r="563" spans="1:6">
      <c r="A563" s="11">
        <v>51653</v>
      </c>
      <c r="B563" s="12">
        <f t="shared" si="12"/>
        <v>1264.3530000000001</v>
      </c>
      <c r="C563" s="10"/>
      <c r="E563" s="11">
        <v>51653</v>
      </c>
      <c r="F563" s="4">
        <f t="shared" si="11"/>
        <v>1264.3530000000001</v>
      </c>
    </row>
    <row r="564" spans="1:6">
      <c r="A564" s="11">
        <v>51683</v>
      </c>
      <c r="B564" s="12">
        <f t="shared" si="12"/>
        <v>1264.3530000000001</v>
      </c>
      <c r="C564" s="10"/>
      <c r="E564" s="11">
        <v>51683</v>
      </c>
      <c r="F564" s="4">
        <f t="shared" si="11"/>
        <v>1264.3530000000001</v>
      </c>
    </row>
    <row r="565" spans="1:6">
      <c r="A565" s="11">
        <v>51714</v>
      </c>
      <c r="B565" s="12">
        <f t="shared" si="12"/>
        <v>1264.3530000000001</v>
      </c>
      <c r="C565" s="10"/>
      <c r="E565" s="11">
        <v>51714</v>
      </c>
      <c r="F565" s="4">
        <f t="shared" si="11"/>
        <v>1264.3530000000001</v>
      </c>
    </row>
    <row r="566" spans="1:6">
      <c r="A566" s="11">
        <v>51745</v>
      </c>
      <c r="B566" s="12">
        <f t="shared" si="12"/>
        <v>1264.3530000000001</v>
      </c>
      <c r="C566" s="10"/>
      <c r="E566" s="11">
        <v>51745</v>
      </c>
      <c r="F566" s="4">
        <f t="shared" si="11"/>
        <v>1264.3530000000001</v>
      </c>
    </row>
    <row r="567" spans="1:6">
      <c r="A567" s="11">
        <v>51775</v>
      </c>
      <c r="B567" s="12">
        <f t="shared" si="12"/>
        <v>1264.3530000000001</v>
      </c>
      <c r="C567" s="10"/>
      <c r="E567" s="11">
        <v>51775</v>
      </c>
      <c r="F567" s="4">
        <f t="shared" si="11"/>
        <v>1264.3530000000001</v>
      </c>
    </row>
    <row r="568" spans="1:6">
      <c r="A568" s="11">
        <v>51806</v>
      </c>
      <c r="B568" s="12">
        <f t="shared" si="12"/>
        <v>1264.3530000000001</v>
      </c>
      <c r="C568" s="10"/>
      <c r="E568" s="11">
        <v>51806</v>
      </c>
      <c r="F568" s="4">
        <f t="shared" si="11"/>
        <v>1264.3530000000001</v>
      </c>
    </row>
    <row r="569" spans="1:6">
      <c r="A569" s="11">
        <v>51836</v>
      </c>
      <c r="B569" s="12">
        <f t="shared" si="12"/>
        <v>1264.3530000000001</v>
      </c>
      <c r="C569" s="10"/>
      <c r="E569" s="11">
        <v>51836</v>
      </c>
      <c r="F569" s="4">
        <f t="shared" si="11"/>
        <v>1264.3530000000001</v>
      </c>
    </row>
    <row r="570" spans="1:6">
      <c r="A570" s="11">
        <v>51867</v>
      </c>
      <c r="B570" s="12">
        <f t="shared" si="12"/>
        <v>1264.3530000000001</v>
      </c>
      <c r="C570" s="10"/>
      <c r="E570" s="11">
        <v>51867</v>
      </c>
      <c r="F570" s="4">
        <f t="shared" si="11"/>
        <v>1264.3530000000001</v>
      </c>
    </row>
    <row r="571" spans="1:6">
      <c r="A571" s="11">
        <v>51898</v>
      </c>
      <c r="B571" s="12">
        <f t="shared" si="12"/>
        <v>1264.3530000000001</v>
      </c>
      <c r="C571" s="10"/>
      <c r="E571" s="11">
        <v>51898</v>
      </c>
      <c r="F571" s="4">
        <f t="shared" si="11"/>
        <v>1264.3530000000001</v>
      </c>
    </row>
    <row r="572" spans="1:6">
      <c r="A572" s="11">
        <v>51926</v>
      </c>
      <c r="B572" s="12">
        <f t="shared" si="12"/>
        <v>1264.3530000000001</v>
      </c>
      <c r="C572" s="10"/>
      <c r="E572" s="11">
        <v>51926</v>
      </c>
      <c r="F572" s="4">
        <f t="shared" si="11"/>
        <v>1264.3530000000001</v>
      </c>
    </row>
    <row r="573" spans="1:6">
      <c r="A573" s="11">
        <v>51957</v>
      </c>
      <c r="B573" s="12">
        <f t="shared" si="12"/>
        <v>1264.3530000000001</v>
      </c>
      <c r="C573" s="10"/>
      <c r="E573" s="11">
        <v>51957</v>
      </c>
      <c r="F573" s="4">
        <f t="shared" si="11"/>
        <v>1264.3530000000001</v>
      </c>
    </row>
    <row r="574" spans="1:6">
      <c r="A574" s="11">
        <v>51987</v>
      </c>
      <c r="B574" s="12">
        <f t="shared" si="12"/>
        <v>1264.3530000000001</v>
      </c>
      <c r="C574" s="10"/>
      <c r="E574" s="11">
        <v>51987</v>
      </c>
      <c r="F574" s="4">
        <f t="shared" si="11"/>
        <v>1264.3530000000001</v>
      </c>
    </row>
    <row r="575" spans="1:6">
      <c r="A575" s="11">
        <v>52018</v>
      </c>
      <c r="B575" s="12">
        <f t="shared" si="12"/>
        <v>1264.3530000000001</v>
      </c>
      <c r="C575" s="10"/>
      <c r="E575" s="11">
        <v>52018</v>
      </c>
      <c r="F575" s="4">
        <f t="shared" si="11"/>
        <v>1264.3530000000001</v>
      </c>
    </row>
    <row r="576" spans="1:6">
      <c r="A576" s="11">
        <v>52048</v>
      </c>
      <c r="B576" s="12">
        <f t="shared" si="12"/>
        <v>1264.3530000000001</v>
      </c>
      <c r="C576" s="10"/>
      <c r="E576" s="11">
        <v>52048</v>
      </c>
      <c r="F576" s="4">
        <f t="shared" si="11"/>
        <v>1264.3530000000001</v>
      </c>
    </row>
    <row r="577" spans="1:6">
      <c r="A577" s="11">
        <v>52079</v>
      </c>
      <c r="B577" s="12">
        <f t="shared" si="12"/>
        <v>1264.3530000000001</v>
      </c>
      <c r="C577" s="10"/>
      <c r="E577" s="11">
        <v>52079</v>
      </c>
      <c r="F577" s="4">
        <f t="shared" si="11"/>
        <v>1264.3530000000001</v>
      </c>
    </row>
    <row r="578" spans="1:6">
      <c r="A578" s="11">
        <v>52110</v>
      </c>
      <c r="B578" s="12">
        <f t="shared" si="12"/>
        <v>1264.3530000000001</v>
      </c>
      <c r="C578" s="10"/>
      <c r="E578" s="11">
        <v>52110</v>
      </c>
      <c r="F578" s="4">
        <f t="shared" si="11"/>
        <v>1264.3530000000001</v>
      </c>
    </row>
    <row r="579" spans="1:6">
      <c r="A579" s="11">
        <v>52140</v>
      </c>
      <c r="B579" s="12">
        <f t="shared" si="12"/>
        <v>1264.3530000000001</v>
      </c>
      <c r="C579" s="10"/>
      <c r="E579" s="11">
        <v>52140</v>
      </c>
      <c r="F579" s="4">
        <f t="shared" ref="F579:F642" si="13">B578</f>
        <v>1264.3530000000001</v>
      </c>
    </row>
    <row r="580" spans="1:6">
      <c r="A580" s="11">
        <v>52171</v>
      </c>
      <c r="B580" s="12">
        <f t="shared" si="12"/>
        <v>1264.3530000000001</v>
      </c>
      <c r="C580" s="10"/>
      <c r="E580" s="11">
        <v>52171</v>
      </c>
      <c r="F580" s="4">
        <f t="shared" si="13"/>
        <v>1264.3530000000001</v>
      </c>
    </row>
    <row r="581" spans="1:6">
      <c r="A581" s="11">
        <v>52201</v>
      </c>
      <c r="B581" s="12">
        <f t="shared" si="12"/>
        <v>1264.3530000000001</v>
      </c>
      <c r="C581" s="10"/>
      <c r="E581" s="11">
        <v>52201</v>
      </c>
      <c r="F581" s="4">
        <f t="shared" si="13"/>
        <v>1264.3530000000001</v>
      </c>
    </row>
    <row r="582" spans="1:6">
      <c r="A582" s="11">
        <v>52232</v>
      </c>
      <c r="B582" s="12">
        <f t="shared" si="12"/>
        <v>1264.3530000000001</v>
      </c>
      <c r="C582" s="10"/>
      <c r="E582" s="11">
        <v>52232</v>
      </c>
      <c r="F582" s="4">
        <f t="shared" si="13"/>
        <v>1264.3530000000001</v>
      </c>
    </row>
    <row r="583" spans="1:6">
      <c r="A583" s="11">
        <v>52263</v>
      </c>
      <c r="B583" s="12">
        <f t="shared" si="12"/>
        <v>1264.3530000000001</v>
      </c>
      <c r="C583" s="10"/>
      <c r="E583" s="11">
        <v>52263</v>
      </c>
      <c r="F583" s="4">
        <f t="shared" si="13"/>
        <v>1264.3530000000001</v>
      </c>
    </row>
    <row r="584" spans="1:6">
      <c r="A584" s="11">
        <v>52291</v>
      </c>
      <c r="B584" s="12">
        <f t="shared" si="12"/>
        <v>1264.3530000000001</v>
      </c>
      <c r="C584" s="10"/>
      <c r="E584" s="11">
        <v>52291</v>
      </c>
      <c r="F584" s="4">
        <f t="shared" si="13"/>
        <v>1264.3530000000001</v>
      </c>
    </row>
    <row r="585" spans="1:6">
      <c r="A585" s="11">
        <v>52322</v>
      </c>
      <c r="B585" s="12">
        <f t="shared" si="12"/>
        <v>1264.3530000000001</v>
      </c>
      <c r="C585" s="10"/>
      <c r="E585" s="11">
        <v>52322</v>
      </c>
      <c r="F585" s="4">
        <f t="shared" si="13"/>
        <v>1264.3530000000001</v>
      </c>
    </row>
    <row r="586" spans="1:6">
      <c r="A586" s="11">
        <v>52352</v>
      </c>
      <c r="B586" s="12">
        <f t="shared" si="12"/>
        <v>1264.3530000000001</v>
      </c>
      <c r="C586" s="10"/>
      <c r="E586" s="11">
        <v>52352</v>
      </c>
      <c r="F586" s="4">
        <f t="shared" si="13"/>
        <v>1264.3530000000001</v>
      </c>
    </row>
    <row r="587" spans="1:6">
      <c r="A587" s="11">
        <v>52383</v>
      </c>
      <c r="B587" s="12">
        <f t="shared" si="12"/>
        <v>1264.3530000000001</v>
      </c>
      <c r="C587" s="10"/>
      <c r="E587" s="11">
        <v>52383</v>
      </c>
      <c r="F587" s="4">
        <f t="shared" si="13"/>
        <v>1264.3530000000001</v>
      </c>
    </row>
    <row r="588" spans="1:6">
      <c r="A588" s="11">
        <v>52413</v>
      </c>
      <c r="B588" s="12">
        <f t="shared" si="12"/>
        <v>1264.3530000000001</v>
      </c>
      <c r="C588" s="10"/>
      <c r="E588" s="11">
        <v>52413</v>
      </c>
      <c r="F588" s="4">
        <f t="shared" si="13"/>
        <v>1264.3530000000001</v>
      </c>
    </row>
    <row r="589" spans="1:6">
      <c r="A589" s="11">
        <v>52444</v>
      </c>
      <c r="B589" s="12">
        <f t="shared" si="12"/>
        <v>1264.3530000000001</v>
      </c>
      <c r="C589" s="10"/>
      <c r="E589" s="11">
        <v>52444</v>
      </c>
      <c r="F589" s="4">
        <f t="shared" si="13"/>
        <v>1264.3530000000001</v>
      </c>
    </row>
    <row r="590" spans="1:6">
      <c r="A590" s="11">
        <v>52475</v>
      </c>
      <c r="B590" s="12">
        <f t="shared" si="12"/>
        <v>1264.3530000000001</v>
      </c>
      <c r="C590" s="10"/>
      <c r="E590" s="11">
        <v>52475</v>
      </c>
      <c r="F590" s="4">
        <f t="shared" si="13"/>
        <v>1264.3530000000001</v>
      </c>
    </row>
    <row r="591" spans="1:6">
      <c r="A591" s="11">
        <v>52505</v>
      </c>
      <c r="B591" s="12">
        <f t="shared" si="12"/>
        <v>1264.3530000000001</v>
      </c>
      <c r="C591" s="10"/>
      <c r="E591" s="11">
        <v>52505</v>
      </c>
      <c r="F591" s="4">
        <f t="shared" si="13"/>
        <v>1264.3530000000001</v>
      </c>
    </row>
    <row r="592" spans="1:6">
      <c r="A592" s="11">
        <v>52536</v>
      </c>
      <c r="B592" s="12">
        <f t="shared" si="12"/>
        <v>1264.3530000000001</v>
      </c>
      <c r="C592" s="10"/>
      <c r="E592" s="11">
        <v>52536</v>
      </c>
      <c r="F592" s="4">
        <f t="shared" si="13"/>
        <v>1264.3530000000001</v>
      </c>
    </row>
    <row r="593" spans="1:6">
      <c r="A593" s="11">
        <v>52566</v>
      </c>
      <c r="B593" s="12">
        <f t="shared" si="12"/>
        <v>1264.3530000000001</v>
      </c>
      <c r="C593" s="10"/>
      <c r="E593" s="11">
        <v>52566</v>
      </c>
      <c r="F593" s="4">
        <f t="shared" si="13"/>
        <v>1264.3530000000001</v>
      </c>
    </row>
    <row r="594" spans="1:6">
      <c r="A594" s="11">
        <v>52597</v>
      </c>
      <c r="B594" s="12">
        <f t="shared" si="12"/>
        <v>1264.3530000000001</v>
      </c>
      <c r="C594" s="10"/>
      <c r="E594" s="11">
        <v>52597</v>
      </c>
      <c r="F594" s="4">
        <f t="shared" si="13"/>
        <v>1264.3530000000001</v>
      </c>
    </row>
    <row r="595" spans="1:6">
      <c r="A595" s="11">
        <v>52628</v>
      </c>
      <c r="B595" s="12">
        <f t="shared" si="12"/>
        <v>1264.3530000000001</v>
      </c>
      <c r="C595" s="10"/>
      <c r="E595" s="11">
        <v>52628</v>
      </c>
      <c r="F595" s="4">
        <f t="shared" si="13"/>
        <v>1264.3530000000001</v>
      </c>
    </row>
    <row r="596" spans="1:6">
      <c r="A596" s="11">
        <v>52657</v>
      </c>
      <c r="B596" s="12">
        <f t="shared" si="12"/>
        <v>1264.3530000000001</v>
      </c>
      <c r="C596" s="10"/>
      <c r="E596" s="11">
        <v>52657</v>
      </c>
      <c r="F596" s="4">
        <f t="shared" si="13"/>
        <v>1264.3530000000001</v>
      </c>
    </row>
    <row r="597" spans="1:6">
      <c r="A597" s="11">
        <v>52688</v>
      </c>
      <c r="B597" s="12">
        <f t="shared" si="12"/>
        <v>1264.3530000000001</v>
      </c>
      <c r="C597" s="10"/>
      <c r="E597" s="11">
        <v>52688</v>
      </c>
      <c r="F597" s="4">
        <f t="shared" si="13"/>
        <v>1264.3530000000001</v>
      </c>
    </row>
    <row r="598" spans="1:6">
      <c r="A598" s="11">
        <v>52718</v>
      </c>
      <c r="B598" s="12">
        <f t="shared" si="12"/>
        <v>1264.3530000000001</v>
      </c>
      <c r="C598" s="10"/>
      <c r="E598" s="11">
        <v>52718</v>
      </c>
      <c r="F598" s="4">
        <f t="shared" si="13"/>
        <v>1264.3530000000001</v>
      </c>
    </row>
    <row r="599" spans="1:6">
      <c r="A599" s="11">
        <v>52749</v>
      </c>
      <c r="B599" s="12">
        <f t="shared" si="12"/>
        <v>1264.3530000000001</v>
      </c>
      <c r="C599" s="10"/>
      <c r="E599" s="11">
        <v>52749</v>
      </c>
      <c r="F599" s="4">
        <f t="shared" si="13"/>
        <v>1264.3530000000001</v>
      </c>
    </row>
    <row r="600" spans="1:6">
      <c r="A600" s="11">
        <v>52779</v>
      </c>
      <c r="B600" s="12">
        <f t="shared" si="12"/>
        <v>1264.3530000000001</v>
      </c>
      <c r="C600" s="10"/>
      <c r="E600" s="11">
        <v>52779</v>
      </c>
      <c r="F600" s="4">
        <f t="shared" si="13"/>
        <v>1264.3530000000001</v>
      </c>
    </row>
    <row r="601" spans="1:6">
      <c r="A601" s="11">
        <v>52810</v>
      </c>
      <c r="B601" s="12">
        <f t="shared" si="12"/>
        <v>1264.3530000000001</v>
      </c>
      <c r="C601" s="10"/>
      <c r="E601" s="11">
        <v>52810</v>
      </c>
      <c r="F601" s="4">
        <f t="shared" si="13"/>
        <v>1264.3530000000001</v>
      </c>
    </row>
    <row r="602" spans="1:6">
      <c r="A602" s="11">
        <v>52841</v>
      </c>
      <c r="B602" s="12">
        <f t="shared" si="12"/>
        <v>1264.3530000000001</v>
      </c>
      <c r="C602" s="10"/>
      <c r="E602" s="11">
        <v>52841</v>
      </c>
      <c r="F602" s="4">
        <f t="shared" si="13"/>
        <v>1264.3530000000001</v>
      </c>
    </row>
    <row r="603" spans="1:6">
      <c r="A603" s="11">
        <v>52871</v>
      </c>
      <c r="B603" s="12">
        <f t="shared" si="12"/>
        <v>1264.3530000000001</v>
      </c>
      <c r="C603" s="10"/>
      <c r="E603" s="11">
        <v>52871</v>
      </c>
      <c r="F603" s="4">
        <f t="shared" si="13"/>
        <v>1264.3530000000001</v>
      </c>
    </row>
    <row r="604" spans="1:6">
      <c r="A604" s="11">
        <v>52902</v>
      </c>
      <c r="B604" s="12">
        <f t="shared" si="12"/>
        <v>1264.3530000000001</v>
      </c>
      <c r="C604" s="10"/>
      <c r="E604" s="11">
        <v>52902</v>
      </c>
      <c r="F604" s="4">
        <f t="shared" si="13"/>
        <v>1264.3530000000001</v>
      </c>
    </row>
    <row r="605" spans="1:6">
      <c r="A605" s="11">
        <v>52932</v>
      </c>
      <c r="B605" s="12">
        <f t="shared" si="12"/>
        <v>1264.3530000000001</v>
      </c>
      <c r="C605" s="10"/>
      <c r="E605" s="11">
        <v>52932</v>
      </c>
      <c r="F605" s="4">
        <f t="shared" si="13"/>
        <v>1264.3530000000001</v>
      </c>
    </row>
    <row r="606" spans="1:6">
      <c r="A606" s="11">
        <v>52963</v>
      </c>
      <c r="B606" s="12">
        <f t="shared" ref="B606:B669" si="14">B605</f>
        <v>1264.3530000000001</v>
      </c>
      <c r="C606" s="10"/>
      <c r="E606" s="11">
        <v>52963</v>
      </c>
      <c r="F606" s="4">
        <f t="shared" si="13"/>
        <v>1264.3530000000001</v>
      </c>
    </row>
    <row r="607" spans="1:6">
      <c r="A607" s="11">
        <v>52994</v>
      </c>
      <c r="B607" s="12">
        <f t="shared" si="14"/>
        <v>1264.3530000000001</v>
      </c>
      <c r="C607" s="10"/>
      <c r="E607" s="11">
        <v>52994</v>
      </c>
      <c r="F607" s="4">
        <f t="shared" si="13"/>
        <v>1264.3530000000001</v>
      </c>
    </row>
    <row r="608" spans="1:6">
      <c r="A608" s="11">
        <v>53022</v>
      </c>
      <c r="B608" s="12">
        <f t="shared" si="14"/>
        <v>1264.3530000000001</v>
      </c>
      <c r="C608" s="10"/>
      <c r="E608" s="11">
        <v>53022</v>
      </c>
      <c r="F608" s="4">
        <f t="shared" si="13"/>
        <v>1264.3530000000001</v>
      </c>
    </row>
    <row r="609" spans="1:6">
      <c r="A609" s="11">
        <v>53053</v>
      </c>
      <c r="B609" s="12">
        <f t="shared" si="14"/>
        <v>1264.3530000000001</v>
      </c>
      <c r="C609" s="10"/>
      <c r="E609" s="11">
        <v>53053</v>
      </c>
      <c r="F609" s="4">
        <f t="shared" si="13"/>
        <v>1264.3530000000001</v>
      </c>
    </row>
    <row r="610" spans="1:6">
      <c r="A610" s="11">
        <v>53083</v>
      </c>
      <c r="B610" s="12">
        <f t="shared" si="14"/>
        <v>1264.3530000000001</v>
      </c>
      <c r="C610" s="10"/>
      <c r="E610" s="11">
        <v>53083</v>
      </c>
      <c r="F610" s="4">
        <f t="shared" si="13"/>
        <v>1264.3530000000001</v>
      </c>
    </row>
    <row r="611" spans="1:6">
      <c r="A611" s="11">
        <v>53114</v>
      </c>
      <c r="B611" s="12">
        <f t="shared" si="14"/>
        <v>1264.3530000000001</v>
      </c>
      <c r="C611" s="10"/>
      <c r="E611" s="11">
        <v>53114</v>
      </c>
      <c r="F611" s="4">
        <f t="shared" si="13"/>
        <v>1264.3530000000001</v>
      </c>
    </row>
    <row r="612" spans="1:6">
      <c r="A612" s="11">
        <v>53144</v>
      </c>
      <c r="B612" s="12">
        <f t="shared" si="14"/>
        <v>1264.3530000000001</v>
      </c>
      <c r="C612" s="10"/>
      <c r="E612" s="11">
        <v>53144</v>
      </c>
      <c r="F612" s="4">
        <f t="shared" si="13"/>
        <v>1264.3530000000001</v>
      </c>
    </row>
    <row r="613" spans="1:6">
      <c r="A613" s="11">
        <v>53175</v>
      </c>
      <c r="B613" s="12">
        <f t="shared" si="14"/>
        <v>1264.3530000000001</v>
      </c>
      <c r="C613" s="10"/>
      <c r="E613" s="11">
        <v>53175</v>
      </c>
      <c r="F613" s="4">
        <f t="shared" si="13"/>
        <v>1264.3530000000001</v>
      </c>
    </row>
    <row r="614" spans="1:6">
      <c r="A614" s="11">
        <v>53206</v>
      </c>
      <c r="B614" s="12">
        <f t="shared" si="14"/>
        <v>1264.3530000000001</v>
      </c>
      <c r="C614" s="10"/>
      <c r="E614" s="11">
        <v>53206</v>
      </c>
      <c r="F614" s="4">
        <f t="shared" si="13"/>
        <v>1264.3530000000001</v>
      </c>
    </row>
    <row r="615" spans="1:6">
      <c r="A615" s="11">
        <v>53236</v>
      </c>
      <c r="B615" s="12">
        <f t="shared" si="14"/>
        <v>1264.3530000000001</v>
      </c>
      <c r="C615" s="10"/>
      <c r="E615" s="11">
        <v>53236</v>
      </c>
      <c r="F615" s="4">
        <f t="shared" si="13"/>
        <v>1264.3530000000001</v>
      </c>
    </row>
    <row r="616" spans="1:6">
      <c r="A616" s="11">
        <v>53267</v>
      </c>
      <c r="B616" s="12">
        <f t="shared" si="14"/>
        <v>1264.3530000000001</v>
      </c>
      <c r="C616" s="10"/>
      <c r="E616" s="11">
        <v>53267</v>
      </c>
      <c r="F616" s="4">
        <f t="shared" si="13"/>
        <v>1264.3530000000001</v>
      </c>
    </row>
    <row r="617" spans="1:6">
      <c r="A617" s="11">
        <v>53297</v>
      </c>
      <c r="B617" s="12">
        <f t="shared" si="14"/>
        <v>1264.3530000000001</v>
      </c>
      <c r="C617" s="10"/>
      <c r="E617" s="11">
        <v>53297</v>
      </c>
      <c r="F617" s="4">
        <f t="shared" si="13"/>
        <v>1264.3530000000001</v>
      </c>
    </row>
    <row r="618" spans="1:6">
      <c r="A618" s="11">
        <v>53328</v>
      </c>
      <c r="B618" s="12">
        <f t="shared" si="14"/>
        <v>1264.3530000000001</v>
      </c>
      <c r="C618" s="10"/>
      <c r="E618" s="11">
        <v>53328</v>
      </c>
      <c r="F618" s="4">
        <f t="shared" si="13"/>
        <v>1264.3530000000001</v>
      </c>
    </row>
    <row r="619" spans="1:6">
      <c r="A619" s="11">
        <v>53359</v>
      </c>
      <c r="B619" s="12">
        <f t="shared" si="14"/>
        <v>1264.3530000000001</v>
      </c>
      <c r="C619" s="10"/>
      <c r="E619" s="11">
        <v>53359</v>
      </c>
      <c r="F619" s="4">
        <f t="shared" si="13"/>
        <v>1264.3530000000001</v>
      </c>
    </row>
    <row r="620" spans="1:6">
      <c r="A620" s="11">
        <v>53387</v>
      </c>
      <c r="B620" s="12">
        <f t="shared" si="14"/>
        <v>1264.3530000000001</v>
      </c>
      <c r="C620" s="10"/>
      <c r="E620" s="11">
        <v>53387</v>
      </c>
      <c r="F620" s="4">
        <f t="shared" si="13"/>
        <v>1264.3530000000001</v>
      </c>
    </row>
    <row r="621" spans="1:6">
      <c r="A621" s="11">
        <v>53418</v>
      </c>
      <c r="B621" s="12">
        <f t="shared" si="14"/>
        <v>1264.3530000000001</v>
      </c>
      <c r="C621" s="10"/>
      <c r="E621" s="11">
        <v>53418</v>
      </c>
      <c r="F621" s="4">
        <f t="shared" si="13"/>
        <v>1264.3530000000001</v>
      </c>
    </row>
    <row r="622" spans="1:6">
      <c r="A622" s="11">
        <v>53448</v>
      </c>
      <c r="B622" s="12">
        <f t="shared" si="14"/>
        <v>1264.3530000000001</v>
      </c>
      <c r="C622" s="10"/>
      <c r="E622" s="11">
        <v>53448</v>
      </c>
      <c r="F622" s="4">
        <f t="shared" si="13"/>
        <v>1264.3530000000001</v>
      </c>
    </row>
    <row r="623" spans="1:6">
      <c r="A623" s="11">
        <v>53479</v>
      </c>
      <c r="B623" s="12">
        <f t="shared" si="14"/>
        <v>1264.3530000000001</v>
      </c>
      <c r="C623" s="10"/>
      <c r="E623" s="11">
        <v>53479</v>
      </c>
      <c r="F623" s="4">
        <f t="shared" si="13"/>
        <v>1264.3530000000001</v>
      </c>
    </row>
    <row r="624" spans="1:6">
      <c r="A624" s="11">
        <v>53509</v>
      </c>
      <c r="B624" s="12">
        <f t="shared" si="14"/>
        <v>1264.3530000000001</v>
      </c>
      <c r="C624" s="10"/>
      <c r="E624" s="11">
        <v>53509</v>
      </c>
      <c r="F624" s="4">
        <f t="shared" si="13"/>
        <v>1264.3530000000001</v>
      </c>
    </row>
    <row r="625" spans="1:6">
      <c r="A625" s="11">
        <v>53540</v>
      </c>
      <c r="B625" s="12">
        <f t="shared" si="14"/>
        <v>1264.3530000000001</v>
      </c>
      <c r="C625" s="10"/>
      <c r="E625" s="11">
        <v>53540</v>
      </c>
      <c r="F625" s="4">
        <f t="shared" si="13"/>
        <v>1264.3530000000001</v>
      </c>
    </row>
    <row r="626" spans="1:6">
      <c r="A626" s="11">
        <v>53571</v>
      </c>
      <c r="B626" s="12">
        <f t="shared" si="14"/>
        <v>1264.3530000000001</v>
      </c>
      <c r="C626" s="10"/>
      <c r="E626" s="11">
        <v>53571</v>
      </c>
      <c r="F626" s="4">
        <f t="shared" si="13"/>
        <v>1264.3530000000001</v>
      </c>
    </row>
    <row r="627" spans="1:6">
      <c r="A627" s="11">
        <v>53601</v>
      </c>
      <c r="B627" s="12">
        <f t="shared" si="14"/>
        <v>1264.3530000000001</v>
      </c>
      <c r="C627" s="10"/>
      <c r="E627" s="11">
        <v>53601</v>
      </c>
      <c r="F627" s="4">
        <f t="shared" si="13"/>
        <v>1264.3530000000001</v>
      </c>
    </row>
    <row r="628" spans="1:6">
      <c r="A628" s="11">
        <v>53632</v>
      </c>
      <c r="B628" s="12">
        <f t="shared" si="14"/>
        <v>1264.3530000000001</v>
      </c>
      <c r="C628" s="10"/>
      <c r="E628" s="11">
        <v>53632</v>
      </c>
      <c r="F628" s="4">
        <f t="shared" si="13"/>
        <v>1264.3530000000001</v>
      </c>
    </row>
    <row r="629" spans="1:6">
      <c r="A629" s="11">
        <v>53662</v>
      </c>
      <c r="B629" s="12">
        <f t="shared" si="14"/>
        <v>1264.3530000000001</v>
      </c>
      <c r="C629" s="10"/>
      <c r="E629" s="11">
        <v>53662</v>
      </c>
      <c r="F629" s="4">
        <f t="shared" si="13"/>
        <v>1264.3530000000001</v>
      </c>
    </row>
    <row r="630" spans="1:6">
      <c r="A630" s="11">
        <v>53693</v>
      </c>
      <c r="B630" s="12">
        <f t="shared" si="14"/>
        <v>1264.3530000000001</v>
      </c>
      <c r="C630" s="10"/>
      <c r="E630" s="11">
        <v>53693</v>
      </c>
      <c r="F630" s="4">
        <f t="shared" si="13"/>
        <v>1264.3530000000001</v>
      </c>
    </row>
    <row r="631" spans="1:6">
      <c r="A631" s="11">
        <v>53724</v>
      </c>
      <c r="B631" s="12">
        <f t="shared" si="14"/>
        <v>1264.3530000000001</v>
      </c>
      <c r="C631" s="10"/>
      <c r="E631" s="11">
        <v>53724</v>
      </c>
      <c r="F631" s="4">
        <f t="shared" si="13"/>
        <v>1264.3530000000001</v>
      </c>
    </row>
    <row r="632" spans="1:6">
      <c r="A632" s="11">
        <v>53752</v>
      </c>
      <c r="B632" s="12">
        <f t="shared" si="14"/>
        <v>1264.3530000000001</v>
      </c>
      <c r="C632" s="10"/>
      <c r="E632" s="11">
        <v>53752</v>
      </c>
      <c r="F632" s="4">
        <f t="shared" si="13"/>
        <v>1264.3530000000001</v>
      </c>
    </row>
    <row r="633" spans="1:6">
      <c r="A633" s="11">
        <v>53783</v>
      </c>
      <c r="B633" s="12">
        <f t="shared" si="14"/>
        <v>1264.3530000000001</v>
      </c>
      <c r="C633" s="10"/>
      <c r="E633" s="11">
        <v>53783</v>
      </c>
      <c r="F633" s="4">
        <f t="shared" si="13"/>
        <v>1264.3530000000001</v>
      </c>
    </row>
    <row r="634" spans="1:6">
      <c r="A634" s="11">
        <v>53813</v>
      </c>
      <c r="B634" s="12">
        <f t="shared" si="14"/>
        <v>1264.3530000000001</v>
      </c>
      <c r="C634" s="10"/>
      <c r="E634" s="11">
        <v>53813</v>
      </c>
      <c r="F634" s="4">
        <f t="shared" si="13"/>
        <v>1264.3530000000001</v>
      </c>
    </row>
    <row r="635" spans="1:6">
      <c r="A635" s="11">
        <v>53844</v>
      </c>
      <c r="B635" s="12">
        <f t="shared" si="14"/>
        <v>1264.3530000000001</v>
      </c>
      <c r="C635" s="10"/>
      <c r="E635" s="11">
        <v>53844</v>
      </c>
      <c r="F635" s="4">
        <f t="shared" si="13"/>
        <v>1264.3530000000001</v>
      </c>
    </row>
    <row r="636" spans="1:6">
      <c r="A636" s="11">
        <v>53874</v>
      </c>
      <c r="B636" s="12">
        <f t="shared" si="14"/>
        <v>1264.3530000000001</v>
      </c>
      <c r="C636" s="10"/>
      <c r="E636" s="11">
        <v>53874</v>
      </c>
      <c r="F636" s="4">
        <f t="shared" si="13"/>
        <v>1264.3530000000001</v>
      </c>
    </row>
    <row r="637" spans="1:6">
      <c r="A637" s="11">
        <v>53905</v>
      </c>
      <c r="B637" s="12">
        <f t="shared" si="14"/>
        <v>1264.3530000000001</v>
      </c>
      <c r="C637" s="10"/>
      <c r="E637" s="11">
        <v>53905</v>
      </c>
      <c r="F637" s="4">
        <f t="shared" si="13"/>
        <v>1264.3530000000001</v>
      </c>
    </row>
    <row r="638" spans="1:6">
      <c r="A638" s="11">
        <v>53936</v>
      </c>
      <c r="B638" s="12">
        <f t="shared" si="14"/>
        <v>1264.3530000000001</v>
      </c>
      <c r="C638" s="10"/>
      <c r="E638" s="11">
        <v>53936</v>
      </c>
      <c r="F638" s="4">
        <f t="shared" si="13"/>
        <v>1264.3530000000001</v>
      </c>
    </row>
    <row r="639" spans="1:6">
      <c r="A639" s="11">
        <v>53966</v>
      </c>
      <c r="B639" s="12">
        <f t="shared" si="14"/>
        <v>1264.3530000000001</v>
      </c>
      <c r="C639" s="10"/>
      <c r="E639" s="11">
        <v>53966</v>
      </c>
      <c r="F639" s="4">
        <f t="shared" si="13"/>
        <v>1264.3530000000001</v>
      </c>
    </row>
    <row r="640" spans="1:6">
      <c r="A640" s="11">
        <v>53997</v>
      </c>
      <c r="B640" s="12">
        <f t="shared" si="14"/>
        <v>1264.3530000000001</v>
      </c>
      <c r="C640" s="10"/>
      <c r="E640" s="11">
        <v>53997</v>
      </c>
      <c r="F640" s="4">
        <f t="shared" si="13"/>
        <v>1264.3530000000001</v>
      </c>
    </row>
    <row r="641" spans="1:6">
      <c r="A641" s="11">
        <v>54027</v>
      </c>
      <c r="B641" s="12">
        <f t="shared" si="14"/>
        <v>1264.3530000000001</v>
      </c>
      <c r="C641" s="10"/>
      <c r="E641" s="11">
        <v>54027</v>
      </c>
      <c r="F641" s="4">
        <f t="shared" si="13"/>
        <v>1264.3530000000001</v>
      </c>
    </row>
    <row r="642" spans="1:6">
      <c r="A642" s="11">
        <v>54058</v>
      </c>
      <c r="B642" s="12">
        <f t="shared" si="14"/>
        <v>1264.3530000000001</v>
      </c>
      <c r="C642" s="10"/>
      <c r="E642" s="11">
        <v>54058</v>
      </c>
      <c r="F642" s="4">
        <f t="shared" si="13"/>
        <v>1264.3530000000001</v>
      </c>
    </row>
    <row r="643" spans="1:6">
      <c r="A643" s="11">
        <v>54089</v>
      </c>
      <c r="B643" s="12">
        <f t="shared" si="14"/>
        <v>1264.3530000000001</v>
      </c>
      <c r="C643" s="10"/>
      <c r="E643" s="11">
        <v>54089</v>
      </c>
      <c r="F643" s="4">
        <f t="shared" ref="F643:F706" si="15">B642</f>
        <v>1264.3530000000001</v>
      </c>
    </row>
    <row r="644" spans="1:6">
      <c r="A644" s="11">
        <v>54118</v>
      </c>
      <c r="B644" s="12">
        <f t="shared" si="14"/>
        <v>1264.3530000000001</v>
      </c>
      <c r="C644" s="10"/>
      <c r="E644" s="11">
        <v>54118</v>
      </c>
      <c r="F644" s="4">
        <f t="shared" si="15"/>
        <v>1264.3530000000001</v>
      </c>
    </row>
    <row r="645" spans="1:6">
      <c r="A645" s="11">
        <v>54149</v>
      </c>
      <c r="B645" s="12">
        <f t="shared" si="14"/>
        <v>1264.3530000000001</v>
      </c>
      <c r="C645" s="10"/>
      <c r="E645" s="11">
        <v>54149</v>
      </c>
      <c r="F645" s="4">
        <f t="shared" si="15"/>
        <v>1264.3530000000001</v>
      </c>
    </row>
    <row r="646" spans="1:6">
      <c r="A646" s="11">
        <v>54179</v>
      </c>
      <c r="B646" s="12">
        <f t="shared" si="14"/>
        <v>1264.3530000000001</v>
      </c>
      <c r="C646" s="10"/>
      <c r="E646" s="11">
        <v>54179</v>
      </c>
      <c r="F646" s="4">
        <f t="shared" si="15"/>
        <v>1264.3530000000001</v>
      </c>
    </row>
    <row r="647" spans="1:6">
      <c r="A647" s="11">
        <v>54210</v>
      </c>
      <c r="B647" s="12">
        <f t="shared" si="14"/>
        <v>1264.3530000000001</v>
      </c>
      <c r="C647" s="10"/>
      <c r="E647" s="11">
        <v>54210</v>
      </c>
      <c r="F647" s="4">
        <f t="shared" si="15"/>
        <v>1264.3530000000001</v>
      </c>
    </row>
    <row r="648" spans="1:6">
      <c r="A648" s="11">
        <v>54240</v>
      </c>
      <c r="B648" s="12">
        <f t="shared" si="14"/>
        <v>1264.3530000000001</v>
      </c>
      <c r="C648" s="10"/>
      <c r="E648" s="11">
        <v>54240</v>
      </c>
      <c r="F648" s="4">
        <f t="shared" si="15"/>
        <v>1264.3530000000001</v>
      </c>
    </row>
    <row r="649" spans="1:6">
      <c r="A649" s="11">
        <v>54271</v>
      </c>
      <c r="B649" s="12">
        <f t="shared" si="14"/>
        <v>1264.3530000000001</v>
      </c>
      <c r="C649" s="10"/>
      <c r="E649" s="11">
        <v>54271</v>
      </c>
      <c r="F649" s="4">
        <f t="shared" si="15"/>
        <v>1264.3530000000001</v>
      </c>
    </row>
    <row r="650" spans="1:6">
      <c r="A650" s="11">
        <v>54302</v>
      </c>
      <c r="B650" s="12">
        <f t="shared" si="14"/>
        <v>1264.3530000000001</v>
      </c>
      <c r="C650" s="10"/>
      <c r="E650" s="11">
        <v>54302</v>
      </c>
      <c r="F650" s="4">
        <f t="shared" si="15"/>
        <v>1264.3530000000001</v>
      </c>
    </row>
    <row r="651" spans="1:6">
      <c r="A651" s="11">
        <v>54332</v>
      </c>
      <c r="B651" s="12">
        <f t="shared" si="14"/>
        <v>1264.3530000000001</v>
      </c>
      <c r="C651" s="10"/>
      <c r="E651" s="11">
        <v>54332</v>
      </c>
      <c r="F651" s="4">
        <f t="shared" si="15"/>
        <v>1264.3530000000001</v>
      </c>
    </row>
    <row r="652" spans="1:6">
      <c r="A652" s="11">
        <v>54363</v>
      </c>
      <c r="B652" s="12">
        <f t="shared" si="14"/>
        <v>1264.3530000000001</v>
      </c>
      <c r="C652" s="10"/>
      <c r="E652" s="11">
        <v>54363</v>
      </c>
      <c r="F652" s="4">
        <f t="shared" si="15"/>
        <v>1264.3530000000001</v>
      </c>
    </row>
    <row r="653" spans="1:6">
      <c r="A653" s="11">
        <v>54393</v>
      </c>
      <c r="B653" s="12">
        <f t="shared" si="14"/>
        <v>1264.3530000000001</v>
      </c>
      <c r="C653" s="10"/>
      <c r="E653" s="11">
        <v>54393</v>
      </c>
      <c r="F653" s="4">
        <f t="shared" si="15"/>
        <v>1264.3530000000001</v>
      </c>
    </row>
    <row r="654" spans="1:6">
      <c r="A654" s="11">
        <v>54424</v>
      </c>
      <c r="B654" s="12">
        <f t="shared" si="14"/>
        <v>1264.3530000000001</v>
      </c>
      <c r="C654" s="10"/>
      <c r="E654" s="11">
        <v>54424</v>
      </c>
      <c r="F654" s="4">
        <f t="shared" si="15"/>
        <v>1264.3530000000001</v>
      </c>
    </row>
    <row r="655" spans="1:6">
      <c r="A655" s="11">
        <v>54455</v>
      </c>
      <c r="B655" s="12">
        <f t="shared" si="14"/>
        <v>1264.3530000000001</v>
      </c>
      <c r="C655" s="10"/>
      <c r="E655" s="11">
        <v>54455</v>
      </c>
      <c r="F655" s="4">
        <f t="shared" si="15"/>
        <v>1264.3530000000001</v>
      </c>
    </row>
    <row r="656" spans="1:6">
      <c r="A656" s="11">
        <v>54483</v>
      </c>
      <c r="B656" s="12">
        <f t="shared" si="14"/>
        <v>1264.3530000000001</v>
      </c>
      <c r="C656" s="10"/>
      <c r="E656" s="11">
        <v>54483</v>
      </c>
      <c r="F656" s="4">
        <f t="shared" si="15"/>
        <v>1264.3530000000001</v>
      </c>
    </row>
    <row r="657" spans="1:6">
      <c r="A657" s="11">
        <v>54514</v>
      </c>
      <c r="B657" s="12">
        <f t="shared" si="14"/>
        <v>1264.3530000000001</v>
      </c>
      <c r="C657" s="10"/>
      <c r="E657" s="11">
        <v>54514</v>
      </c>
      <c r="F657" s="4">
        <f t="shared" si="15"/>
        <v>1264.3530000000001</v>
      </c>
    </row>
    <row r="658" spans="1:6">
      <c r="A658" s="11">
        <v>54544</v>
      </c>
      <c r="B658" s="12">
        <f t="shared" si="14"/>
        <v>1264.3530000000001</v>
      </c>
      <c r="C658" s="10"/>
      <c r="E658" s="11">
        <v>54544</v>
      </c>
      <c r="F658" s="4">
        <f t="shared" si="15"/>
        <v>1264.3530000000001</v>
      </c>
    </row>
    <row r="659" spans="1:6">
      <c r="A659" s="11">
        <v>54575</v>
      </c>
      <c r="B659" s="12">
        <f t="shared" si="14"/>
        <v>1264.3530000000001</v>
      </c>
      <c r="C659" s="10"/>
      <c r="E659" s="11">
        <v>54575</v>
      </c>
      <c r="F659" s="4">
        <f t="shared" si="15"/>
        <v>1264.3530000000001</v>
      </c>
    </row>
    <row r="660" spans="1:6">
      <c r="A660" s="11">
        <v>54605</v>
      </c>
      <c r="B660" s="12">
        <f t="shared" si="14"/>
        <v>1264.3530000000001</v>
      </c>
      <c r="C660" s="10"/>
      <c r="E660" s="11">
        <v>54605</v>
      </c>
      <c r="F660" s="4">
        <f t="shared" si="15"/>
        <v>1264.3530000000001</v>
      </c>
    </row>
    <row r="661" spans="1:6">
      <c r="A661" s="11">
        <v>54636</v>
      </c>
      <c r="B661" s="12">
        <f t="shared" si="14"/>
        <v>1264.3530000000001</v>
      </c>
      <c r="C661" s="10"/>
      <c r="E661" s="11">
        <v>54636</v>
      </c>
      <c r="F661" s="4">
        <f t="shared" si="15"/>
        <v>1264.3530000000001</v>
      </c>
    </row>
    <row r="662" spans="1:6">
      <c r="A662" s="11">
        <v>54667</v>
      </c>
      <c r="B662" s="12">
        <f t="shared" si="14"/>
        <v>1264.3530000000001</v>
      </c>
      <c r="C662" s="10"/>
      <c r="E662" s="11">
        <v>54667</v>
      </c>
      <c r="F662" s="4">
        <f t="shared" si="15"/>
        <v>1264.3530000000001</v>
      </c>
    </row>
    <row r="663" spans="1:6">
      <c r="A663" s="11">
        <v>54697</v>
      </c>
      <c r="B663" s="12">
        <f t="shared" si="14"/>
        <v>1264.3530000000001</v>
      </c>
      <c r="C663" s="10"/>
      <c r="E663" s="11">
        <v>54697</v>
      </c>
      <c r="F663" s="4">
        <f t="shared" si="15"/>
        <v>1264.3530000000001</v>
      </c>
    </row>
    <row r="664" spans="1:6">
      <c r="A664" s="11">
        <v>54728</v>
      </c>
      <c r="B664" s="12">
        <f t="shared" si="14"/>
        <v>1264.3530000000001</v>
      </c>
      <c r="C664" s="10"/>
      <c r="E664" s="11">
        <v>54728</v>
      </c>
      <c r="F664" s="4">
        <f t="shared" si="15"/>
        <v>1264.3530000000001</v>
      </c>
    </row>
    <row r="665" spans="1:6">
      <c r="A665" s="11">
        <v>54758</v>
      </c>
      <c r="B665" s="12">
        <f t="shared" si="14"/>
        <v>1264.3530000000001</v>
      </c>
      <c r="C665" s="10"/>
      <c r="E665" s="11">
        <v>54758</v>
      </c>
      <c r="F665" s="4">
        <f t="shared" si="15"/>
        <v>1264.3530000000001</v>
      </c>
    </row>
    <row r="666" spans="1:6">
      <c r="A666" s="11">
        <v>54789</v>
      </c>
      <c r="B666" s="12">
        <f t="shared" si="14"/>
        <v>1264.3530000000001</v>
      </c>
      <c r="C666" s="10"/>
      <c r="E666" s="11">
        <v>54789</v>
      </c>
      <c r="F666" s="4">
        <f t="shared" si="15"/>
        <v>1264.3530000000001</v>
      </c>
    </row>
    <row r="667" spans="1:6">
      <c r="A667" s="11">
        <v>54820</v>
      </c>
      <c r="B667" s="12">
        <f t="shared" si="14"/>
        <v>1264.3530000000001</v>
      </c>
      <c r="C667" s="10"/>
      <c r="E667" s="11">
        <v>54820</v>
      </c>
      <c r="F667" s="4">
        <f t="shared" si="15"/>
        <v>1264.3530000000001</v>
      </c>
    </row>
    <row r="668" spans="1:6">
      <c r="A668" s="11">
        <v>54848</v>
      </c>
      <c r="B668" s="12">
        <f t="shared" si="14"/>
        <v>1264.3530000000001</v>
      </c>
      <c r="C668" s="10"/>
      <c r="E668" s="11">
        <v>54848</v>
      </c>
      <c r="F668" s="4">
        <f t="shared" si="15"/>
        <v>1264.3530000000001</v>
      </c>
    </row>
    <row r="669" spans="1:6">
      <c r="A669" s="11">
        <v>54879</v>
      </c>
      <c r="B669" s="12">
        <f t="shared" si="14"/>
        <v>1264.3530000000001</v>
      </c>
      <c r="C669" s="10"/>
      <c r="E669" s="11">
        <v>54879</v>
      </c>
      <c r="F669" s="4">
        <f t="shared" si="15"/>
        <v>1264.3530000000001</v>
      </c>
    </row>
    <row r="670" spans="1:6">
      <c r="A670" s="11">
        <v>54909</v>
      </c>
      <c r="B670" s="12">
        <f t="shared" ref="B670:B733" si="16">B669</f>
        <v>1264.3530000000001</v>
      </c>
      <c r="C670" s="10"/>
      <c r="E670" s="11">
        <v>54909</v>
      </c>
      <c r="F670" s="4">
        <f t="shared" si="15"/>
        <v>1264.3530000000001</v>
      </c>
    </row>
    <row r="671" spans="1:6">
      <c r="A671" s="11">
        <v>54940</v>
      </c>
      <c r="B671" s="12">
        <f t="shared" si="16"/>
        <v>1264.3530000000001</v>
      </c>
      <c r="C671" s="10"/>
      <c r="E671" s="11">
        <v>54940</v>
      </c>
      <c r="F671" s="4">
        <f t="shared" si="15"/>
        <v>1264.3530000000001</v>
      </c>
    </row>
    <row r="672" spans="1:6">
      <c r="A672" s="11">
        <v>54970</v>
      </c>
      <c r="B672" s="12">
        <f t="shared" si="16"/>
        <v>1264.3530000000001</v>
      </c>
      <c r="C672" s="10"/>
      <c r="E672" s="11">
        <v>54970</v>
      </c>
      <c r="F672" s="4">
        <f t="shared" si="15"/>
        <v>1264.3530000000001</v>
      </c>
    </row>
    <row r="673" spans="1:6">
      <c r="A673" s="11">
        <v>55001</v>
      </c>
      <c r="B673" s="12">
        <f t="shared" si="16"/>
        <v>1264.3530000000001</v>
      </c>
      <c r="C673" s="10"/>
      <c r="E673" s="11">
        <v>55001</v>
      </c>
      <c r="F673" s="4">
        <f t="shared" si="15"/>
        <v>1264.3530000000001</v>
      </c>
    </row>
    <row r="674" spans="1:6">
      <c r="A674" s="11">
        <v>55032</v>
      </c>
      <c r="B674" s="12">
        <f t="shared" si="16"/>
        <v>1264.3530000000001</v>
      </c>
      <c r="C674" s="10"/>
      <c r="E674" s="11">
        <v>55032</v>
      </c>
      <c r="F674" s="4">
        <f t="shared" si="15"/>
        <v>1264.3530000000001</v>
      </c>
    </row>
    <row r="675" spans="1:6">
      <c r="A675" s="11">
        <v>55062</v>
      </c>
      <c r="B675" s="12">
        <f t="shared" si="16"/>
        <v>1264.3530000000001</v>
      </c>
      <c r="C675" s="10"/>
      <c r="E675" s="11">
        <v>55062</v>
      </c>
      <c r="F675" s="4">
        <f t="shared" si="15"/>
        <v>1264.3530000000001</v>
      </c>
    </row>
    <row r="676" spans="1:6">
      <c r="A676" s="11">
        <v>55093</v>
      </c>
      <c r="B676" s="12">
        <f t="shared" si="16"/>
        <v>1264.3530000000001</v>
      </c>
      <c r="C676" s="10"/>
      <c r="E676" s="11">
        <v>55093</v>
      </c>
      <c r="F676" s="4">
        <f t="shared" si="15"/>
        <v>1264.3530000000001</v>
      </c>
    </row>
    <row r="677" spans="1:6">
      <c r="A677" s="11">
        <v>55123</v>
      </c>
      <c r="B677" s="12">
        <f t="shared" si="16"/>
        <v>1264.3530000000001</v>
      </c>
      <c r="C677" s="10"/>
      <c r="E677" s="11">
        <v>55123</v>
      </c>
      <c r="F677" s="4">
        <f t="shared" si="15"/>
        <v>1264.3530000000001</v>
      </c>
    </row>
    <row r="678" spans="1:6">
      <c r="A678" s="11">
        <v>55154</v>
      </c>
      <c r="B678" s="12">
        <f t="shared" si="16"/>
        <v>1264.3530000000001</v>
      </c>
      <c r="C678" s="10"/>
      <c r="E678" s="11">
        <v>55154</v>
      </c>
      <c r="F678" s="4">
        <f t="shared" si="15"/>
        <v>1264.3530000000001</v>
      </c>
    </row>
    <row r="679" spans="1:6">
      <c r="A679" s="11">
        <v>55185</v>
      </c>
      <c r="B679" s="12">
        <f t="shared" si="16"/>
        <v>1264.3530000000001</v>
      </c>
      <c r="C679" s="10"/>
      <c r="E679" s="11">
        <v>55185</v>
      </c>
      <c r="F679" s="4">
        <f t="shared" si="15"/>
        <v>1264.3530000000001</v>
      </c>
    </row>
    <row r="680" spans="1:6">
      <c r="A680" s="11">
        <v>55213</v>
      </c>
      <c r="B680" s="12">
        <f t="shared" si="16"/>
        <v>1264.3530000000001</v>
      </c>
      <c r="C680" s="10"/>
      <c r="E680" s="11">
        <v>55213</v>
      </c>
      <c r="F680" s="4">
        <f t="shared" si="15"/>
        <v>1264.3530000000001</v>
      </c>
    </row>
    <row r="681" spans="1:6">
      <c r="A681" s="11">
        <v>55244</v>
      </c>
      <c r="B681" s="12">
        <f t="shared" si="16"/>
        <v>1264.3530000000001</v>
      </c>
      <c r="C681" s="10"/>
      <c r="E681" s="11">
        <v>55244</v>
      </c>
      <c r="F681" s="4">
        <f t="shared" si="15"/>
        <v>1264.3530000000001</v>
      </c>
    </row>
    <row r="682" spans="1:6">
      <c r="A682" s="11">
        <v>55274</v>
      </c>
      <c r="B682" s="12">
        <f t="shared" si="16"/>
        <v>1264.3530000000001</v>
      </c>
      <c r="C682" s="10"/>
      <c r="E682" s="11">
        <v>55274</v>
      </c>
      <c r="F682" s="4">
        <f t="shared" si="15"/>
        <v>1264.3530000000001</v>
      </c>
    </row>
    <row r="683" spans="1:6">
      <c r="A683" s="11">
        <v>55305</v>
      </c>
      <c r="B683" s="12">
        <f t="shared" si="16"/>
        <v>1264.3530000000001</v>
      </c>
      <c r="C683" s="10"/>
      <c r="E683" s="11">
        <v>55305</v>
      </c>
      <c r="F683" s="4">
        <f t="shared" si="15"/>
        <v>1264.3530000000001</v>
      </c>
    </row>
    <row r="684" spans="1:6">
      <c r="A684" s="11">
        <v>55335</v>
      </c>
      <c r="B684" s="12">
        <f t="shared" si="16"/>
        <v>1264.3530000000001</v>
      </c>
      <c r="C684" s="10"/>
      <c r="E684" s="11">
        <v>55335</v>
      </c>
      <c r="F684" s="4">
        <f t="shared" si="15"/>
        <v>1264.3530000000001</v>
      </c>
    </row>
    <row r="685" spans="1:6">
      <c r="A685" s="11">
        <v>55366</v>
      </c>
      <c r="B685" s="12">
        <f t="shared" si="16"/>
        <v>1264.3530000000001</v>
      </c>
      <c r="C685" s="10"/>
      <c r="E685" s="11">
        <v>55366</v>
      </c>
      <c r="F685" s="4">
        <f t="shared" si="15"/>
        <v>1264.3530000000001</v>
      </c>
    </row>
    <row r="686" spans="1:6">
      <c r="A686" s="11">
        <v>55397</v>
      </c>
      <c r="B686" s="12">
        <f t="shared" si="16"/>
        <v>1264.3530000000001</v>
      </c>
      <c r="C686" s="10"/>
      <c r="E686" s="11">
        <v>55397</v>
      </c>
      <c r="F686" s="4">
        <f t="shared" si="15"/>
        <v>1264.3530000000001</v>
      </c>
    </row>
    <row r="687" spans="1:6">
      <c r="A687" s="11">
        <v>55427</v>
      </c>
      <c r="B687" s="12">
        <f t="shared" si="16"/>
        <v>1264.3530000000001</v>
      </c>
      <c r="C687" s="10"/>
      <c r="E687" s="11">
        <v>55427</v>
      </c>
      <c r="F687" s="4">
        <f t="shared" si="15"/>
        <v>1264.3530000000001</v>
      </c>
    </row>
    <row r="688" spans="1:6">
      <c r="A688" s="11">
        <v>55458</v>
      </c>
      <c r="B688" s="12">
        <f t="shared" si="16"/>
        <v>1264.3530000000001</v>
      </c>
      <c r="C688" s="10"/>
      <c r="E688" s="11">
        <v>55458</v>
      </c>
      <c r="F688" s="4">
        <f t="shared" si="15"/>
        <v>1264.3530000000001</v>
      </c>
    </row>
    <row r="689" spans="1:6">
      <c r="A689" s="11">
        <v>55488</v>
      </c>
      <c r="B689" s="12">
        <f t="shared" si="16"/>
        <v>1264.3530000000001</v>
      </c>
      <c r="C689" s="10"/>
      <c r="E689" s="11">
        <v>55488</v>
      </c>
      <c r="F689" s="4">
        <f t="shared" si="15"/>
        <v>1264.3530000000001</v>
      </c>
    </row>
    <row r="690" spans="1:6">
      <c r="A690" s="11">
        <v>55519</v>
      </c>
      <c r="B690" s="12">
        <f t="shared" si="16"/>
        <v>1264.3530000000001</v>
      </c>
      <c r="C690" s="10"/>
      <c r="E690" s="11">
        <v>55519</v>
      </c>
      <c r="F690" s="4">
        <f t="shared" si="15"/>
        <v>1264.3530000000001</v>
      </c>
    </row>
    <row r="691" spans="1:6">
      <c r="A691" s="11">
        <v>55550</v>
      </c>
      <c r="B691" s="12">
        <f t="shared" si="16"/>
        <v>1264.3530000000001</v>
      </c>
      <c r="C691" s="10"/>
      <c r="E691" s="11">
        <v>55550</v>
      </c>
      <c r="F691" s="4">
        <f t="shared" si="15"/>
        <v>1264.3530000000001</v>
      </c>
    </row>
    <row r="692" spans="1:6">
      <c r="A692" s="11">
        <v>55579</v>
      </c>
      <c r="B692" s="12">
        <f t="shared" si="16"/>
        <v>1264.3530000000001</v>
      </c>
      <c r="C692" s="10"/>
      <c r="E692" s="11">
        <v>55579</v>
      </c>
      <c r="F692" s="4">
        <f t="shared" si="15"/>
        <v>1264.3530000000001</v>
      </c>
    </row>
    <row r="693" spans="1:6">
      <c r="A693" s="11">
        <v>55610</v>
      </c>
      <c r="B693" s="12">
        <f t="shared" si="16"/>
        <v>1264.3530000000001</v>
      </c>
      <c r="C693" s="10"/>
      <c r="E693" s="11">
        <v>55610</v>
      </c>
      <c r="F693" s="4">
        <f t="shared" si="15"/>
        <v>1264.3530000000001</v>
      </c>
    </row>
    <row r="694" spans="1:6">
      <c r="A694" s="11">
        <v>55640</v>
      </c>
      <c r="B694" s="12">
        <f t="shared" si="16"/>
        <v>1264.3530000000001</v>
      </c>
      <c r="C694" s="10"/>
      <c r="E694" s="11">
        <v>55640</v>
      </c>
      <c r="F694" s="4">
        <f t="shared" si="15"/>
        <v>1264.3530000000001</v>
      </c>
    </row>
    <row r="695" spans="1:6">
      <c r="A695" s="11">
        <v>55671</v>
      </c>
      <c r="B695" s="12">
        <f t="shared" si="16"/>
        <v>1264.3530000000001</v>
      </c>
      <c r="C695" s="10"/>
      <c r="E695" s="11">
        <v>55671</v>
      </c>
      <c r="F695" s="4">
        <f t="shared" si="15"/>
        <v>1264.3530000000001</v>
      </c>
    </row>
    <row r="696" spans="1:6">
      <c r="A696" s="11">
        <v>55701</v>
      </c>
      <c r="B696" s="12">
        <f t="shared" si="16"/>
        <v>1264.3530000000001</v>
      </c>
      <c r="C696" s="10"/>
      <c r="E696" s="11">
        <v>55701</v>
      </c>
      <c r="F696" s="4">
        <f t="shared" si="15"/>
        <v>1264.3530000000001</v>
      </c>
    </row>
    <row r="697" spans="1:6">
      <c r="A697" s="11">
        <v>55732</v>
      </c>
      <c r="B697" s="12">
        <f t="shared" si="16"/>
        <v>1264.3530000000001</v>
      </c>
      <c r="C697" s="10"/>
      <c r="E697" s="11">
        <v>55732</v>
      </c>
      <c r="F697" s="4">
        <f t="shared" si="15"/>
        <v>1264.3530000000001</v>
      </c>
    </row>
    <row r="698" spans="1:6">
      <c r="A698" s="11">
        <v>55763</v>
      </c>
      <c r="B698" s="12">
        <f t="shared" si="16"/>
        <v>1264.3530000000001</v>
      </c>
      <c r="C698" s="10"/>
      <c r="E698" s="11">
        <v>55763</v>
      </c>
      <c r="F698" s="4">
        <f t="shared" si="15"/>
        <v>1264.3530000000001</v>
      </c>
    </row>
    <row r="699" spans="1:6">
      <c r="A699" s="11">
        <v>55793</v>
      </c>
      <c r="B699" s="12">
        <f t="shared" si="16"/>
        <v>1264.3530000000001</v>
      </c>
      <c r="C699" s="10"/>
      <c r="E699" s="11">
        <v>55793</v>
      </c>
      <c r="F699" s="4">
        <f t="shared" si="15"/>
        <v>1264.3530000000001</v>
      </c>
    </row>
    <row r="700" spans="1:6">
      <c r="A700" s="11">
        <v>55824</v>
      </c>
      <c r="B700" s="12">
        <f t="shared" si="16"/>
        <v>1264.3530000000001</v>
      </c>
      <c r="C700" s="10"/>
      <c r="E700" s="11">
        <v>55824</v>
      </c>
      <c r="F700" s="4">
        <f t="shared" si="15"/>
        <v>1264.3530000000001</v>
      </c>
    </row>
    <row r="701" spans="1:6">
      <c r="A701" s="11">
        <v>55854</v>
      </c>
      <c r="B701" s="12">
        <f t="shared" si="16"/>
        <v>1264.3530000000001</v>
      </c>
      <c r="C701" s="10"/>
      <c r="E701" s="11">
        <v>55854</v>
      </c>
      <c r="F701" s="4">
        <f t="shared" si="15"/>
        <v>1264.3530000000001</v>
      </c>
    </row>
    <row r="702" spans="1:6">
      <c r="A702" s="11">
        <v>55885</v>
      </c>
      <c r="B702" s="12">
        <f t="shared" si="16"/>
        <v>1264.3530000000001</v>
      </c>
      <c r="C702" s="10"/>
      <c r="E702" s="11">
        <v>55885</v>
      </c>
      <c r="F702" s="4">
        <f t="shared" si="15"/>
        <v>1264.3530000000001</v>
      </c>
    </row>
    <row r="703" spans="1:6">
      <c r="A703" s="11">
        <v>55916</v>
      </c>
      <c r="B703" s="12">
        <f t="shared" si="16"/>
        <v>1264.3530000000001</v>
      </c>
      <c r="C703" s="10"/>
      <c r="E703" s="11">
        <v>55916</v>
      </c>
      <c r="F703" s="4">
        <f t="shared" si="15"/>
        <v>1264.3530000000001</v>
      </c>
    </row>
    <row r="704" spans="1:6">
      <c r="A704" s="11">
        <v>55944</v>
      </c>
      <c r="B704" s="12">
        <f t="shared" si="16"/>
        <v>1264.3530000000001</v>
      </c>
      <c r="C704" s="10"/>
      <c r="E704" s="11">
        <v>55944</v>
      </c>
      <c r="F704" s="4">
        <f t="shared" si="15"/>
        <v>1264.3530000000001</v>
      </c>
    </row>
    <row r="705" spans="1:6">
      <c r="A705" s="11">
        <v>55975</v>
      </c>
      <c r="B705" s="12">
        <f t="shared" si="16"/>
        <v>1264.3530000000001</v>
      </c>
      <c r="C705" s="10"/>
      <c r="E705" s="11">
        <v>55975</v>
      </c>
      <c r="F705" s="4">
        <f t="shared" si="15"/>
        <v>1264.3530000000001</v>
      </c>
    </row>
    <row r="706" spans="1:6">
      <c r="A706" s="11">
        <v>56005</v>
      </c>
      <c r="B706" s="12">
        <f t="shared" si="16"/>
        <v>1264.3530000000001</v>
      </c>
      <c r="C706" s="10"/>
      <c r="E706" s="11">
        <v>56005</v>
      </c>
      <c r="F706" s="4">
        <f t="shared" si="15"/>
        <v>1264.3530000000001</v>
      </c>
    </row>
    <row r="707" spans="1:6">
      <c r="A707" s="11">
        <v>56036</v>
      </c>
      <c r="B707" s="12">
        <f t="shared" si="16"/>
        <v>1264.3530000000001</v>
      </c>
      <c r="C707" s="10"/>
      <c r="E707" s="11">
        <v>56036</v>
      </c>
      <c r="F707" s="4">
        <f t="shared" ref="F707:F770" si="17">B706</f>
        <v>1264.3530000000001</v>
      </c>
    </row>
    <row r="708" spans="1:6">
      <c r="A708" s="11">
        <v>56066</v>
      </c>
      <c r="B708" s="12">
        <f t="shared" si="16"/>
        <v>1264.3530000000001</v>
      </c>
      <c r="C708" s="10"/>
      <c r="E708" s="11">
        <v>56066</v>
      </c>
      <c r="F708" s="4">
        <f t="shared" si="17"/>
        <v>1264.3530000000001</v>
      </c>
    </row>
    <row r="709" spans="1:6">
      <c r="A709" s="11">
        <v>56097</v>
      </c>
      <c r="B709" s="12">
        <f t="shared" si="16"/>
        <v>1264.3530000000001</v>
      </c>
      <c r="C709" s="10"/>
      <c r="E709" s="11">
        <v>56097</v>
      </c>
      <c r="F709" s="4">
        <f t="shared" si="17"/>
        <v>1264.3530000000001</v>
      </c>
    </row>
    <row r="710" spans="1:6">
      <c r="A710" s="11">
        <v>56128</v>
      </c>
      <c r="B710" s="12">
        <f t="shared" si="16"/>
        <v>1264.3530000000001</v>
      </c>
      <c r="C710" s="10"/>
      <c r="E710" s="11">
        <v>56128</v>
      </c>
      <c r="F710" s="4">
        <f t="shared" si="17"/>
        <v>1264.3530000000001</v>
      </c>
    </row>
    <row r="711" spans="1:6">
      <c r="A711" s="11">
        <v>56158</v>
      </c>
      <c r="B711" s="12">
        <f t="shared" si="16"/>
        <v>1264.3530000000001</v>
      </c>
      <c r="C711" s="10"/>
      <c r="E711" s="11">
        <v>56158</v>
      </c>
      <c r="F711" s="4">
        <f t="shared" si="17"/>
        <v>1264.3530000000001</v>
      </c>
    </row>
    <row r="712" spans="1:6">
      <c r="A712" s="11">
        <v>56189</v>
      </c>
      <c r="B712" s="12">
        <f t="shared" si="16"/>
        <v>1264.3530000000001</v>
      </c>
      <c r="C712" s="10"/>
      <c r="E712" s="11">
        <v>56189</v>
      </c>
      <c r="F712" s="4">
        <f t="shared" si="17"/>
        <v>1264.3530000000001</v>
      </c>
    </row>
    <row r="713" spans="1:6">
      <c r="A713" s="11">
        <v>56219</v>
      </c>
      <c r="B713" s="12">
        <f t="shared" si="16"/>
        <v>1264.3530000000001</v>
      </c>
      <c r="C713" s="10"/>
      <c r="E713" s="11">
        <v>56219</v>
      </c>
      <c r="F713" s="4">
        <f t="shared" si="17"/>
        <v>1264.3530000000001</v>
      </c>
    </row>
    <row r="714" spans="1:6">
      <c r="A714" s="11">
        <v>56250</v>
      </c>
      <c r="B714" s="12">
        <f t="shared" si="16"/>
        <v>1264.3530000000001</v>
      </c>
      <c r="C714" s="10"/>
      <c r="E714" s="11">
        <v>56250</v>
      </c>
      <c r="F714" s="4">
        <f t="shared" si="17"/>
        <v>1264.3530000000001</v>
      </c>
    </row>
    <row r="715" spans="1:6">
      <c r="A715" s="11">
        <v>56281</v>
      </c>
      <c r="B715" s="12">
        <f t="shared" si="16"/>
        <v>1264.3530000000001</v>
      </c>
      <c r="C715" s="10"/>
      <c r="E715" s="11">
        <v>56281</v>
      </c>
      <c r="F715" s="4">
        <f t="shared" si="17"/>
        <v>1264.3530000000001</v>
      </c>
    </row>
    <row r="716" spans="1:6">
      <c r="A716" s="11">
        <v>56309</v>
      </c>
      <c r="B716" s="12">
        <f t="shared" si="16"/>
        <v>1264.3530000000001</v>
      </c>
      <c r="C716" s="10"/>
      <c r="E716" s="11">
        <v>56309</v>
      </c>
      <c r="F716" s="4">
        <f t="shared" si="17"/>
        <v>1264.3530000000001</v>
      </c>
    </row>
    <row r="717" spans="1:6">
      <c r="A717" s="11">
        <v>56340</v>
      </c>
      <c r="B717" s="12">
        <f t="shared" si="16"/>
        <v>1264.3530000000001</v>
      </c>
      <c r="C717" s="10"/>
      <c r="E717" s="11">
        <v>56340</v>
      </c>
      <c r="F717" s="4">
        <f t="shared" si="17"/>
        <v>1264.3530000000001</v>
      </c>
    </row>
    <row r="718" spans="1:6">
      <c r="A718" s="11">
        <v>56370</v>
      </c>
      <c r="B718" s="12">
        <f t="shared" si="16"/>
        <v>1264.3530000000001</v>
      </c>
      <c r="C718" s="10"/>
      <c r="E718" s="11">
        <v>56370</v>
      </c>
      <c r="F718" s="4">
        <f t="shared" si="17"/>
        <v>1264.3530000000001</v>
      </c>
    </row>
    <row r="719" spans="1:6">
      <c r="A719" s="11">
        <v>56401</v>
      </c>
      <c r="B719" s="12">
        <f t="shared" si="16"/>
        <v>1264.3530000000001</v>
      </c>
      <c r="C719" s="10"/>
      <c r="E719" s="11">
        <v>56401</v>
      </c>
      <c r="F719" s="4">
        <f t="shared" si="17"/>
        <v>1264.3530000000001</v>
      </c>
    </row>
    <row r="720" spans="1:6">
      <c r="A720" s="11">
        <v>56431</v>
      </c>
      <c r="B720" s="12">
        <f t="shared" si="16"/>
        <v>1264.3530000000001</v>
      </c>
      <c r="C720" s="10"/>
      <c r="E720" s="11">
        <v>56431</v>
      </c>
      <c r="F720" s="4">
        <f t="shared" si="17"/>
        <v>1264.3530000000001</v>
      </c>
    </row>
    <row r="721" spans="1:6">
      <c r="A721" s="11">
        <v>56462</v>
      </c>
      <c r="B721" s="12">
        <f t="shared" si="16"/>
        <v>1264.3530000000001</v>
      </c>
      <c r="C721" s="10"/>
      <c r="E721" s="11">
        <v>56462</v>
      </c>
      <c r="F721" s="4">
        <f t="shared" si="17"/>
        <v>1264.3530000000001</v>
      </c>
    </row>
    <row r="722" spans="1:6">
      <c r="A722" s="11">
        <v>56493</v>
      </c>
      <c r="B722" s="12">
        <f t="shared" si="16"/>
        <v>1264.3530000000001</v>
      </c>
      <c r="C722" s="10"/>
      <c r="E722" s="11">
        <v>56493</v>
      </c>
      <c r="F722" s="4">
        <f t="shared" si="17"/>
        <v>1264.3530000000001</v>
      </c>
    </row>
    <row r="723" spans="1:6">
      <c r="A723" s="11">
        <v>56523</v>
      </c>
      <c r="B723" s="12">
        <f t="shared" si="16"/>
        <v>1264.3530000000001</v>
      </c>
      <c r="C723" s="10"/>
      <c r="E723" s="11">
        <v>56523</v>
      </c>
      <c r="F723" s="4">
        <f t="shared" si="17"/>
        <v>1264.3530000000001</v>
      </c>
    </row>
    <row r="724" spans="1:6">
      <c r="A724" s="11">
        <v>56554</v>
      </c>
      <c r="B724" s="12">
        <f t="shared" si="16"/>
        <v>1264.3530000000001</v>
      </c>
      <c r="C724" s="10"/>
      <c r="E724" s="11">
        <v>56554</v>
      </c>
      <c r="F724" s="4">
        <f t="shared" si="17"/>
        <v>1264.3530000000001</v>
      </c>
    </row>
    <row r="725" spans="1:6">
      <c r="A725" s="11">
        <v>56584</v>
      </c>
      <c r="B725" s="12">
        <f t="shared" si="16"/>
        <v>1264.3530000000001</v>
      </c>
      <c r="C725" s="10"/>
      <c r="E725" s="11">
        <v>56584</v>
      </c>
      <c r="F725" s="4">
        <f t="shared" si="17"/>
        <v>1264.3530000000001</v>
      </c>
    </row>
    <row r="726" spans="1:6">
      <c r="A726" s="11">
        <v>56615</v>
      </c>
      <c r="B726" s="12">
        <f t="shared" si="16"/>
        <v>1264.3530000000001</v>
      </c>
      <c r="C726" s="10"/>
      <c r="E726" s="11">
        <v>56615</v>
      </c>
      <c r="F726" s="4">
        <f t="shared" si="17"/>
        <v>1264.3530000000001</v>
      </c>
    </row>
    <row r="727" spans="1:6">
      <c r="A727" s="11">
        <v>56646</v>
      </c>
      <c r="B727" s="12">
        <f t="shared" si="16"/>
        <v>1264.3530000000001</v>
      </c>
      <c r="C727" s="10"/>
      <c r="E727" s="11">
        <v>56646</v>
      </c>
      <c r="F727" s="4">
        <f t="shared" si="17"/>
        <v>1264.3530000000001</v>
      </c>
    </row>
    <row r="728" spans="1:6">
      <c r="A728" s="11">
        <v>56674</v>
      </c>
      <c r="B728" s="12">
        <f t="shared" si="16"/>
        <v>1264.3530000000001</v>
      </c>
      <c r="C728" s="10"/>
      <c r="E728" s="11">
        <v>56674</v>
      </c>
      <c r="F728" s="4">
        <f t="shared" si="17"/>
        <v>1264.3530000000001</v>
      </c>
    </row>
    <row r="729" spans="1:6">
      <c r="A729" s="11">
        <v>56705</v>
      </c>
      <c r="B729" s="12">
        <f t="shared" si="16"/>
        <v>1264.3530000000001</v>
      </c>
      <c r="C729" s="10"/>
      <c r="E729" s="11">
        <v>56705</v>
      </c>
      <c r="F729" s="4">
        <f t="shared" si="17"/>
        <v>1264.3530000000001</v>
      </c>
    </row>
    <row r="730" spans="1:6">
      <c r="A730" s="11">
        <v>56735</v>
      </c>
      <c r="B730" s="12">
        <f t="shared" si="16"/>
        <v>1264.3530000000001</v>
      </c>
      <c r="C730" s="10"/>
      <c r="E730" s="11">
        <v>56735</v>
      </c>
      <c r="F730" s="4">
        <f t="shared" si="17"/>
        <v>1264.3530000000001</v>
      </c>
    </row>
    <row r="731" spans="1:6">
      <c r="A731" s="11">
        <v>56766</v>
      </c>
      <c r="B731" s="12">
        <f t="shared" si="16"/>
        <v>1264.3530000000001</v>
      </c>
      <c r="C731" s="10"/>
      <c r="E731" s="11">
        <v>56766</v>
      </c>
      <c r="F731" s="4">
        <f t="shared" si="17"/>
        <v>1264.3530000000001</v>
      </c>
    </row>
    <row r="732" spans="1:6">
      <c r="A732" s="11">
        <v>56796</v>
      </c>
      <c r="B732" s="12">
        <f t="shared" si="16"/>
        <v>1264.3530000000001</v>
      </c>
      <c r="C732" s="10"/>
      <c r="E732" s="11">
        <v>56796</v>
      </c>
      <c r="F732" s="4">
        <f t="shared" si="17"/>
        <v>1264.3530000000001</v>
      </c>
    </row>
    <row r="733" spans="1:6">
      <c r="A733" s="11">
        <v>56827</v>
      </c>
      <c r="B733" s="12">
        <f t="shared" si="16"/>
        <v>1264.3530000000001</v>
      </c>
      <c r="C733" s="10"/>
      <c r="E733" s="11">
        <v>56827</v>
      </c>
      <c r="F733" s="4">
        <f t="shared" si="17"/>
        <v>1264.3530000000001</v>
      </c>
    </row>
    <row r="734" spans="1:6">
      <c r="A734" s="11">
        <v>56858</v>
      </c>
      <c r="B734" s="12">
        <f t="shared" ref="B734:B797" si="18">B733</f>
        <v>1264.3530000000001</v>
      </c>
      <c r="C734" s="10"/>
      <c r="E734" s="11">
        <v>56858</v>
      </c>
      <c r="F734" s="4">
        <f t="shared" si="17"/>
        <v>1264.3530000000001</v>
      </c>
    </row>
    <row r="735" spans="1:6">
      <c r="A735" s="11">
        <v>56888</v>
      </c>
      <c r="B735" s="12">
        <f t="shared" si="18"/>
        <v>1264.3530000000001</v>
      </c>
      <c r="C735" s="10"/>
      <c r="E735" s="11">
        <v>56888</v>
      </c>
      <c r="F735" s="4">
        <f t="shared" si="17"/>
        <v>1264.3530000000001</v>
      </c>
    </row>
    <row r="736" spans="1:6">
      <c r="A736" s="11">
        <v>56919</v>
      </c>
      <c r="B736" s="12">
        <f t="shared" si="18"/>
        <v>1264.3530000000001</v>
      </c>
      <c r="C736" s="10"/>
      <c r="E736" s="11">
        <v>56919</v>
      </c>
      <c r="F736" s="4">
        <f t="shared" si="17"/>
        <v>1264.3530000000001</v>
      </c>
    </row>
    <row r="737" spans="1:6">
      <c r="A737" s="11">
        <v>56949</v>
      </c>
      <c r="B737" s="12">
        <f t="shared" si="18"/>
        <v>1264.3530000000001</v>
      </c>
      <c r="C737" s="10"/>
      <c r="E737" s="11">
        <v>56949</v>
      </c>
      <c r="F737" s="4">
        <f t="shared" si="17"/>
        <v>1264.3530000000001</v>
      </c>
    </row>
    <row r="738" spans="1:6">
      <c r="A738" s="11">
        <v>56980</v>
      </c>
      <c r="B738" s="12">
        <f t="shared" si="18"/>
        <v>1264.3530000000001</v>
      </c>
      <c r="C738" s="10"/>
      <c r="E738" s="11">
        <v>56980</v>
      </c>
      <c r="F738" s="4">
        <f t="shared" si="17"/>
        <v>1264.3530000000001</v>
      </c>
    </row>
    <row r="739" spans="1:6">
      <c r="A739" s="11">
        <v>57011</v>
      </c>
      <c r="B739" s="12">
        <f t="shared" si="18"/>
        <v>1264.3530000000001</v>
      </c>
      <c r="C739" s="10"/>
      <c r="E739" s="11">
        <v>57011</v>
      </c>
      <c r="F739" s="4">
        <f t="shared" si="17"/>
        <v>1264.3530000000001</v>
      </c>
    </row>
    <row r="740" spans="1:6">
      <c r="A740" s="11">
        <v>57040</v>
      </c>
      <c r="B740" s="12">
        <f t="shared" si="18"/>
        <v>1264.3530000000001</v>
      </c>
      <c r="C740" s="10"/>
      <c r="E740" s="11">
        <v>57040</v>
      </c>
      <c r="F740" s="4">
        <f t="shared" si="17"/>
        <v>1264.3530000000001</v>
      </c>
    </row>
    <row r="741" spans="1:6">
      <c r="A741" s="11">
        <v>57071</v>
      </c>
      <c r="B741" s="12">
        <f t="shared" si="18"/>
        <v>1264.3530000000001</v>
      </c>
      <c r="C741" s="10"/>
      <c r="E741" s="11">
        <v>57071</v>
      </c>
      <c r="F741" s="4">
        <f t="shared" si="17"/>
        <v>1264.3530000000001</v>
      </c>
    </row>
    <row r="742" spans="1:6">
      <c r="A742" s="11">
        <v>57101</v>
      </c>
      <c r="B742" s="12">
        <f t="shared" si="18"/>
        <v>1264.3530000000001</v>
      </c>
      <c r="C742" s="10"/>
      <c r="E742" s="11">
        <v>57101</v>
      </c>
      <c r="F742" s="4">
        <f t="shared" si="17"/>
        <v>1264.3530000000001</v>
      </c>
    </row>
    <row r="743" spans="1:6">
      <c r="A743" s="11">
        <v>57132</v>
      </c>
      <c r="B743" s="12">
        <f t="shared" si="18"/>
        <v>1264.3530000000001</v>
      </c>
      <c r="C743" s="10"/>
      <c r="E743" s="11">
        <v>57132</v>
      </c>
      <c r="F743" s="4">
        <f t="shared" si="17"/>
        <v>1264.3530000000001</v>
      </c>
    </row>
    <row r="744" spans="1:6">
      <c r="A744" s="11">
        <v>57162</v>
      </c>
      <c r="B744" s="12">
        <f t="shared" si="18"/>
        <v>1264.3530000000001</v>
      </c>
      <c r="C744" s="10"/>
      <c r="E744" s="11">
        <v>57162</v>
      </c>
      <c r="F744" s="4">
        <f t="shared" si="17"/>
        <v>1264.3530000000001</v>
      </c>
    </row>
    <row r="745" spans="1:6">
      <c r="A745" s="11">
        <v>57193</v>
      </c>
      <c r="B745" s="12">
        <f t="shared" si="18"/>
        <v>1264.3530000000001</v>
      </c>
      <c r="C745" s="10"/>
      <c r="E745" s="11">
        <v>57193</v>
      </c>
      <c r="F745" s="4">
        <f t="shared" si="17"/>
        <v>1264.3530000000001</v>
      </c>
    </row>
    <row r="746" spans="1:6">
      <c r="A746" s="11">
        <v>57224</v>
      </c>
      <c r="B746" s="12">
        <f t="shared" si="18"/>
        <v>1264.3530000000001</v>
      </c>
      <c r="C746" s="10"/>
      <c r="E746" s="11">
        <v>57224</v>
      </c>
      <c r="F746" s="4">
        <f t="shared" si="17"/>
        <v>1264.3530000000001</v>
      </c>
    </row>
    <row r="747" spans="1:6">
      <c r="A747" s="11">
        <v>57254</v>
      </c>
      <c r="B747" s="12">
        <f t="shared" si="18"/>
        <v>1264.3530000000001</v>
      </c>
      <c r="C747" s="10"/>
      <c r="E747" s="11">
        <v>57254</v>
      </c>
      <c r="F747" s="4">
        <f t="shared" si="17"/>
        <v>1264.3530000000001</v>
      </c>
    </row>
    <row r="748" spans="1:6">
      <c r="A748" s="11">
        <v>57285</v>
      </c>
      <c r="B748" s="12">
        <f t="shared" si="18"/>
        <v>1264.3530000000001</v>
      </c>
      <c r="C748" s="10"/>
      <c r="E748" s="11">
        <v>57285</v>
      </c>
      <c r="F748" s="4">
        <f t="shared" si="17"/>
        <v>1264.3530000000001</v>
      </c>
    </row>
    <row r="749" spans="1:6">
      <c r="A749" s="11">
        <v>57315</v>
      </c>
      <c r="B749" s="12">
        <f t="shared" si="18"/>
        <v>1264.3530000000001</v>
      </c>
      <c r="C749" s="10"/>
      <c r="E749" s="11">
        <v>57315</v>
      </c>
      <c r="F749" s="4">
        <f t="shared" si="17"/>
        <v>1264.3530000000001</v>
      </c>
    </row>
    <row r="750" spans="1:6">
      <c r="A750" s="11">
        <v>57346</v>
      </c>
      <c r="B750" s="12">
        <f t="shared" si="18"/>
        <v>1264.3530000000001</v>
      </c>
      <c r="C750" s="10"/>
      <c r="E750" s="11">
        <v>57346</v>
      </c>
      <c r="F750" s="4">
        <f t="shared" si="17"/>
        <v>1264.3530000000001</v>
      </c>
    </row>
    <row r="751" spans="1:6">
      <c r="A751" s="11">
        <v>57377</v>
      </c>
      <c r="B751" s="12">
        <f t="shared" si="18"/>
        <v>1264.3530000000001</v>
      </c>
      <c r="C751" s="10"/>
      <c r="E751" s="11">
        <v>57377</v>
      </c>
      <c r="F751" s="4">
        <f t="shared" si="17"/>
        <v>1264.3530000000001</v>
      </c>
    </row>
    <row r="752" spans="1:6">
      <c r="A752" s="11">
        <v>57405</v>
      </c>
      <c r="B752" s="12">
        <f t="shared" si="18"/>
        <v>1264.3530000000001</v>
      </c>
      <c r="C752" s="10"/>
      <c r="E752" s="11">
        <v>57405</v>
      </c>
      <c r="F752" s="4">
        <f t="shared" si="17"/>
        <v>1264.3530000000001</v>
      </c>
    </row>
    <row r="753" spans="1:6">
      <c r="A753" s="11">
        <v>57436</v>
      </c>
      <c r="B753" s="12">
        <f t="shared" si="18"/>
        <v>1264.3530000000001</v>
      </c>
      <c r="C753" s="10"/>
      <c r="E753" s="11">
        <v>57436</v>
      </c>
      <c r="F753" s="4">
        <f t="shared" si="17"/>
        <v>1264.3530000000001</v>
      </c>
    </row>
    <row r="754" spans="1:6">
      <c r="A754" s="11">
        <v>57466</v>
      </c>
      <c r="B754" s="12">
        <f t="shared" si="18"/>
        <v>1264.3530000000001</v>
      </c>
      <c r="C754" s="10"/>
      <c r="E754" s="11">
        <v>57466</v>
      </c>
      <c r="F754" s="4">
        <f t="shared" si="17"/>
        <v>1264.3530000000001</v>
      </c>
    </row>
    <row r="755" spans="1:6">
      <c r="A755" s="11">
        <v>57497</v>
      </c>
      <c r="B755" s="12">
        <f t="shared" si="18"/>
        <v>1264.3530000000001</v>
      </c>
      <c r="C755" s="10"/>
      <c r="E755" s="11">
        <v>57497</v>
      </c>
      <c r="F755" s="4">
        <f t="shared" si="17"/>
        <v>1264.3530000000001</v>
      </c>
    </row>
    <row r="756" spans="1:6">
      <c r="A756" s="11">
        <v>57527</v>
      </c>
      <c r="B756" s="12">
        <f t="shared" si="18"/>
        <v>1264.3530000000001</v>
      </c>
      <c r="C756" s="10"/>
      <c r="E756" s="11">
        <v>57527</v>
      </c>
      <c r="F756" s="4">
        <f t="shared" si="17"/>
        <v>1264.3530000000001</v>
      </c>
    </row>
    <row r="757" spans="1:6">
      <c r="A757" s="11">
        <v>57558</v>
      </c>
      <c r="B757" s="12">
        <f t="shared" si="18"/>
        <v>1264.3530000000001</v>
      </c>
      <c r="C757" s="10"/>
      <c r="E757" s="11">
        <v>57558</v>
      </c>
      <c r="F757" s="4">
        <f t="shared" si="17"/>
        <v>1264.3530000000001</v>
      </c>
    </row>
    <row r="758" spans="1:6">
      <c r="A758" s="11">
        <v>57589</v>
      </c>
      <c r="B758" s="12">
        <f t="shared" si="18"/>
        <v>1264.3530000000001</v>
      </c>
      <c r="C758" s="10"/>
      <c r="E758" s="11">
        <v>57589</v>
      </c>
      <c r="F758" s="4">
        <f t="shared" si="17"/>
        <v>1264.3530000000001</v>
      </c>
    </row>
    <row r="759" spans="1:6">
      <c r="A759" s="11">
        <v>57619</v>
      </c>
      <c r="B759" s="12">
        <f t="shared" si="18"/>
        <v>1264.3530000000001</v>
      </c>
      <c r="C759" s="10"/>
      <c r="E759" s="11">
        <v>57619</v>
      </c>
      <c r="F759" s="4">
        <f t="shared" si="17"/>
        <v>1264.3530000000001</v>
      </c>
    </row>
    <row r="760" spans="1:6">
      <c r="A760" s="11">
        <v>57650</v>
      </c>
      <c r="B760" s="12">
        <f t="shared" si="18"/>
        <v>1264.3530000000001</v>
      </c>
      <c r="C760" s="10"/>
      <c r="E760" s="11">
        <v>57650</v>
      </c>
      <c r="F760" s="4">
        <f t="shared" si="17"/>
        <v>1264.3530000000001</v>
      </c>
    </row>
    <row r="761" spans="1:6">
      <c r="A761" s="11">
        <v>57680</v>
      </c>
      <c r="B761" s="12">
        <f t="shared" si="18"/>
        <v>1264.3530000000001</v>
      </c>
      <c r="C761" s="10"/>
      <c r="E761" s="11">
        <v>57680</v>
      </c>
      <c r="F761" s="4">
        <f t="shared" si="17"/>
        <v>1264.3530000000001</v>
      </c>
    </row>
    <row r="762" spans="1:6">
      <c r="A762" s="11">
        <v>57711</v>
      </c>
      <c r="B762" s="12">
        <f t="shared" si="18"/>
        <v>1264.3530000000001</v>
      </c>
      <c r="C762" s="10"/>
      <c r="E762" s="11">
        <v>57711</v>
      </c>
      <c r="F762" s="4">
        <f t="shared" si="17"/>
        <v>1264.3530000000001</v>
      </c>
    </row>
    <row r="763" spans="1:6">
      <c r="A763" s="11">
        <v>57742</v>
      </c>
      <c r="B763" s="12">
        <f t="shared" si="18"/>
        <v>1264.3530000000001</v>
      </c>
      <c r="C763" s="10"/>
      <c r="E763" s="11">
        <v>57742</v>
      </c>
      <c r="F763" s="4">
        <f t="shared" si="17"/>
        <v>1264.3530000000001</v>
      </c>
    </row>
    <row r="764" spans="1:6">
      <c r="A764" s="11">
        <v>57770</v>
      </c>
      <c r="B764" s="12">
        <f t="shared" si="18"/>
        <v>1264.3530000000001</v>
      </c>
      <c r="C764" s="10"/>
      <c r="E764" s="11">
        <v>57770</v>
      </c>
      <c r="F764" s="4">
        <f t="shared" si="17"/>
        <v>1264.3530000000001</v>
      </c>
    </row>
    <row r="765" spans="1:6">
      <c r="A765" s="11">
        <v>57801</v>
      </c>
      <c r="B765" s="12">
        <f t="shared" si="18"/>
        <v>1264.3530000000001</v>
      </c>
      <c r="C765" s="10"/>
      <c r="E765" s="11">
        <v>57801</v>
      </c>
      <c r="F765" s="4">
        <f t="shared" si="17"/>
        <v>1264.3530000000001</v>
      </c>
    </row>
    <row r="766" spans="1:6">
      <c r="A766" s="11">
        <v>57831</v>
      </c>
      <c r="B766" s="12">
        <f t="shared" si="18"/>
        <v>1264.3530000000001</v>
      </c>
      <c r="C766" s="10"/>
      <c r="E766" s="11">
        <v>57831</v>
      </c>
      <c r="F766" s="4">
        <f t="shared" si="17"/>
        <v>1264.3530000000001</v>
      </c>
    </row>
    <row r="767" spans="1:6">
      <c r="A767" s="11">
        <v>57862</v>
      </c>
      <c r="B767" s="12">
        <f t="shared" si="18"/>
        <v>1264.3530000000001</v>
      </c>
      <c r="C767" s="10"/>
      <c r="E767" s="11">
        <v>57862</v>
      </c>
      <c r="F767" s="4">
        <f t="shared" si="17"/>
        <v>1264.3530000000001</v>
      </c>
    </row>
    <row r="768" spans="1:6">
      <c r="A768" s="11">
        <v>57892</v>
      </c>
      <c r="B768" s="12">
        <f t="shared" si="18"/>
        <v>1264.3530000000001</v>
      </c>
      <c r="C768" s="10"/>
      <c r="E768" s="11">
        <v>57892</v>
      </c>
      <c r="F768" s="4">
        <f t="shared" si="17"/>
        <v>1264.3530000000001</v>
      </c>
    </row>
    <row r="769" spans="1:6">
      <c r="A769" s="11">
        <v>57923</v>
      </c>
      <c r="B769" s="12">
        <f t="shared" si="18"/>
        <v>1264.3530000000001</v>
      </c>
      <c r="C769" s="10"/>
      <c r="E769" s="11">
        <v>57923</v>
      </c>
      <c r="F769" s="4">
        <f t="shared" si="17"/>
        <v>1264.3530000000001</v>
      </c>
    </row>
    <row r="770" spans="1:6">
      <c r="A770" s="11">
        <v>57954</v>
      </c>
      <c r="B770" s="12">
        <f t="shared" si="18"/>
        <v>1264.3530000000001</v>
      </c>
      <c r="C770" s="10"/>
      <c r="E770" s="11">
        <v>57954</v>
      </c>
      <c r="F770" s="4">
        <f t="shared" si="17"/>
        <v>1264.3530000000001</v>
      </c>
    </row>
    <row r="771" spans="1:6">
      <c r="A771" s="11">
        <v>57984</v>
      </c>
      <c r="B771" s="12">
        <f t="shared" si="18"/>
        <v>1264.3530000000001</v>
      </c>
      <c r="C771" s="10"/>
      <c r="E771" s="11">
        <v>57984</v>
      </c>
      <c r="F771" s="4">
        <f t="shared" ref="F771:F834" si="19">B770</f>
        <v>1264.3530000000001</v>
      </c>
    </row>
    <row r="772" spans="1:6">
      <c r="A772" s="11">
        <v>58015</v>
      </c>
      <c r="B772" s="12">
        <f t="shared" si="18"/>
        <v>1264.3530000000001</v>
      </c>
      <c r="C772" s="10"/>
      <c r="E772" s="11">
        <v>58015</v>
      </c>
      <c r="F772" s="4">
        <f t="shared" si="19"/>
        <v>1264.3530000000001</v>
      </c>
    </row>
    <row r="773" spans="1:6">
      <c r="A773" s="11">
        <v>58045</v>
      </c>
      <c r="B773" s="12">
        <f t="shared" si="18"/>
        <v>1264.3530000000001</v>
      </c>
      <c r="C773" s="10"/>
      <c r="E773" s="11">
        <v>58045</v>
      </c>
      <c r="F773" s="4">
        <f t="shared" si="19"/>
        <v>1264.3530000000001</v>
      </c>
    </row>
    <row r="774" spans="1:6">
      <c r="A774" s="11">
        <v>58076</v>
      </c>
      <c r="B774" s="12">
        <f t="shared" si="18"/>
        <v>1264.3530000000001</v>
      </c>
      <c r="C774" s="10"/>
      <c r="E774" s="11">
        <v>58076</v>
      </c>
      <c r="F774" s="4">
        <f t="shared" si="19"/>
        <v>1264.3530000000001</v>
      </c>
    </row>
    <row r="775" spans="1:6">
      <c r="A775" s="11">
        <v>58107</v>
      </c>
      <c r="B775" s="12">
        <f t="shared" si="18"/>
        <v>1264.3530000000001</v>
      </c>
      <c r="C775" s="10"/>
      <c r="E775" s="11">
        <v>58107</v>
      </c>
      <c r="F775" s="4">
        <f t="shared" si="19"/>
        <v>1264.3530000000001</v>
      </c>
    </row>
    <row r="776" spans="1:6">
      <c r="A776" s="11">
        <v>58135</v>
      </c>
      <c r="B776" s="12">
        <f t="shared" si="18"/>
        <v>1264.3530000000001</v>
      </c>
      <c r="C776" s="10"/>
      <c r="E776" s="11">
        <v>58135</v>
      </c>
      <c r="F776" s="4">
        <f t="shared" si="19"/>
        <v>1264.3530000000001</v>
      </c>
    </row>
    <row r="777" spans="1:6">
      <c r="A777" s="11">
        <v>58166</v>
      </c>
      <c r="B777" s="12">
        <f t="shared" si="18"/>
        <v>1264.3530000000001</v>
      </c>
      <c r="C777" s="10"/>
      <c r="E777" s="11">
        <v>58166</v>
      </c>
      <c r="F777" s="4">
        <f t="shared" si="19"/>
        <v>1264.3530000000001</v>
      </c>
    </row>
    <row r="778" spans="1:6">
      <c r="A778" s="11">
        <v>58196</v>
      </c>
      <c r="B778" s="12">
        <f t="shared" si="18"/>
        <v>1264.3530000000001</v>
      </c>
      <c r="C778" s="10"/>
      <c r="E778" s="11">
        <v>58196</v>
      </c>
      <c r="F778" s="4">
        <f t="shared" si="19"/>
        <v>1264.3530000000001</v>
      </c>
    </row>
    <row r="779" spans="1:6">
      <c r="A779" s="11">
        <v>58227</v>
      </c>
      <c r="B779" s="12">
        <f t="shared" si="18"/>
        <v>1264.3530000000001</v>
      </c>
      <c r="C779" s="10"/>
      <c r="E779" s="11">
        <v>58227</v>
      </c>
      <c r="F779" s="4">
        <f t="shared" si="19"/>
        <v>1264.3530000000001</v>
      </c>
    </row>
    <row r="780" spans="1:6">
      <c r="A780" s="11">
        <v>58257</v>
      </c>
      <c r="B780" s="12">
        <f t="shared" si="18"/>
        <v>1264.3530000000001</v>
      </c>
      <c r="C780" s="10"/>
      <c r="E780" s="11">
        <v>58257</v>
      </c>
      <c r="F780" s="4">
        <f t="shared" si="19"/>
        <v>1264.3530000000001</v>
      </c>
    </row>
    <row r="781" spans="1:6">
      <c r="A781" s="11">
        <v>58288</v>
      </c>
      <c r="B781" s="12">
        <f t="shared" si="18"/>
        <v>1264.3530000000001</v>
      </c>
      <c r="C781" s="10"/>
      <c r="E781" s="11">
        <v>58288</v>
      </c>
      <c r="F781" s="4">
        <f t="shared" si="19"/>
        <v>1264.3530000000001</v>
      </c>
    </row>
    <row r="782" spans="1:6">
      <c r="A782" s="11">
        <v>58319</v>
      </c>
      <c r="B782" s="12">
        <f t="shared" si="18"/>
        <v>1264.3530000000001</v>
      </c>
      <c r="C782" s="10"/>
      <c r="E782" s="11">
        <v>58319</v>
      </c>
      <c r="F782" s="4">
        <f t="shared" si="19"/>
        <v>1264.3530000000001</v>
      </c>
    </row>
    <row r="783" spans="1:6">
      <c r="A783" s="11">
        <v>58349</v>
      </c>
      <c r="B783" s="12">
        <f t="shared" si="18"/>
        <v>1264.3530000000001</v>
      </c>
      <c r="C783" s="10"/>
      <c r="E783" s="11">
        <v>58349</v>
      </c>
      <c r="F783" s="4">
        <f t="shared" si="19"/>
        <v>1264.3530000000001</v>
      </c>
    </row>
    <row r="784" spans="1:6">
      <c r="A784" s="11">
        <v>58380</v>
      </c>
      <c r="B784" s="12">
        <f t="shared" si="18"/>
        <v>1264.3530000000001</v>
      </c>
      <c r="C784" s="10"/>
      <c r="E784" s="11">
        <v>58380</v>
      </c>
      <c r="F784" s="4">
        <f t="shared" si="19"/>
        <v>1264.3530000000001</v>
      </c>
    </row>
    <row r="785" spans="1:6">
      <c r="A785" s="11">
        <v>58410</v>
      </c>
      <c r="B785" s="12">
        <f t="shared" si="18"/>
        <v>1264.3530000000001</v>
      </c>
      <c r="C785" s="10"/>
      <c r="E785" s="11">
        <v>58410</v>
      </c>
      <c r="F785" s="4">
        <f t="shared" si="19"/>
        <v>1264.3530000000001</v>
      </c>
    </row>
    <row r="786" spans="1:6">
      <c r="A786" s="11">
        <v>58441</v>
      </c>
      <c r="B786" s="12">
        <f t="shared" si="18"/>
        <v>1264.3530000000001</v>
      </c>
      <c r="C786" s="10"/>
      <c r="E786" s="11">
        <v>58441</v>
      </c>
      <c r="F786" s="4">
        <f t="shared" si="19"/>
        <v>1264.3530000000001</v>
      </c>
    </row>
    <row r="787" spans="1:6">
      <c r="A787" s="11">
        <v>58472</v>
      </c>
      <c r="B787" s="12">
        <f t="shared" si="18"/>
        <v>1264.3530000000001</v>
      </c>
      <c r="C787" s="10"/>
      <c r="E787" s="11">
        <v>58472</v>
      </c>
      <c r="F787" s="4">
        <f t="shared" si="19"/>
        <v>1264.3530000000001</v>
      </c>
    </row>
    <row r="788" spans="1:6">
      <c r="A788" s="11">
        <v>58501</v>
      </c>
      <c r="B788" s="12">
        <f t="shared" si="18"/>
        <v>1264.3530000000001</v>
      </c>
      <c r="C788" s="10"/>
      <c r="E788" s="11">
        <v>58501</v>
      </c>
      <c r="F788" s="4">
        <f t="shared" si="19"/>
        <v>1264.3530000000001</v>
      </c>
    </row>
    <row r="789" spans="1:6">
      <c r="A789" s="11">
        <v>58532</v>
      </c>
      <c r="B789" s="12">
        <f t="shared" si="18"/>
        <v>1264.3530000000001</v>
      </c>
      <c r="C789" s="10"/>
      <c r="E789" s="11">
        <v>58532</v>
      </c>
      <c r="F789" s="4">
        <f t="shared" si="19"/>
        <v>1264.3530000000001</v>
      </c>
    </row>
    <row r="790" spans="1:6">
      <c r="A790" s="11">
        <v>58562</v>
      </c>
      <c r="B790" s="12">
        <f t="shared" si="18"/>
        <v>1264.3530000000001</v>
      </c>
      <c r="C790" s="10"/>
      <c r="E790" s="11">
        <v>58562</v>
      </c>
      <c r="F790" s="4">
        <f t="shared" si="19"/>
        <v>1264.3530000000001</v>
      </c>
    </row>
    <row r="791" spans="1:6">
      <c r="A791" s="11">
        <v>58593</v>
      </c>
      <c r="B791" s="12">
        <f t="shared" si="18"/>
        <v>1264.3530000000001</v>
      </c>
      <c r="C791" s="10"/>
      <c r="E791" s="11">
        <v>58593</v>
      </c>
      <c r="F791" s="4">
        <f t="shared" si="19"/>
        <v>1264.3530000000001</v>
      </c>
    </row>
    <row r="792" spans="1:6">
      <c r="A792" s="11">
        <v>58623</v>
      </c>
      <c r="B792" s="12">
        <f t="shared" si="18"/>
        <v>1264.3530000000001</v>
      </c>
      <c r="C792" s="10"/>
      <c r="E792" s="11">
        <v>58623</v>
      </c>
      <c r="F792" s="4">
        <f t="shared" si="19"/>
        <v>1264.3530000000001</v>
      </c>
    </row>
    <row r="793" spans="1:6">
      <c r="A793" s="11">
        <v>58654</v>
      </c>
      <c r="B793" s="12">
        <f t="shared" si="18"/>
        <v>1264.3530000000001</v>
      </c>
      <c r="C793" s="10"/>
      <c r="E793" s="11">
        <v>58654</v>
      </c>
      <c r="F793" s="4">
        <f t="shared" si="19"/>
        <v>1264.3530000000001</v>
      </c>
    </row>
    <row r="794" spans="1:6">
      <c r="A794" s="11">
        <v>58685</v>
      </c>
      <c r="B794" s="12">
        <f t="shared" si="18"/>
        <v>1264.3530000000001</v>
      </c>
      <c r="C794" s="10"/>
      <c r="E794" s="11">
        <v>58685</v>
      </c>
      <c r="F794" s="4">
        <f t="shared" si="19"/>
        <v>1264.3530000000001</v>
      </c>
    </row>
    <row r="795" spans="1:6">
      <c r="A795" s="11">
        <v>58715</v>
      </c>
      <c r="B795" s="12">
        <f t="shared" si="18"/>
        <v>1264.3530000000001</v>
      </c>
      <c r="C795" s="10"/>
      <c r="E795" s="11">
        <v>58715</v>
      </c>
      <c r="F795" s="4">
        <f t="shared" si="19"/>
        <v>1264.3530000000001</v>
      </c>
    </row>
    <row r="796" spans="1:6">
      <c r="A796" s="11">
        <v>58746</v>
      </c>
      <c r="B796" s="12">
        <f t="shared" si="18"/>
        <v>1264.3530000000001</v>
      </c>
      <c r="C796" s="10"/>
      <c r="E796" s="11">
        <v>58746</v>
      </c>
      <c r="F796" s="4">
        <f t="shared" si="19"/>
        <v>1264.3530000000001</v>
      </c>
    </row>
    <row r="797" spans="1:6">
      <c r="A797" s="11">
        <v>58776</v>
      </c>
      <c r="B797" s="12">
        <f t="shared" si="18"/>
        <v>1264.3530000000001</v>
      </c>
      <c r="C797" s="10"/>
      <c r="E797" s="11">
        <v>58776</v>
      </c>
      <c r="F797" s="4">
        <f t="shared" si="19"/>
        <v>1264.3530000000001</v>
      </c>
    </row>
    <row r="798" spans="1:6">
      <c r="A798" s="11">
        <v>58807</v>
      </c>
      <c r="B798" s="12">
        <f t="shared" ref="B798:B861" si="20">B797</f>
        <v>1264.3530000000001</v>
      </c>
      <c r="C798" s="10"/>
      <c r="E798" s="11">
        <v>58807</v>
      </c>
      <c r="F798" s="4">
        <f t="shared" si="19"/>
        <v>1264.3530000000001</v>
      </c>
    </row>
    <row r="799" spans="1:6">
      <c r="A799" s="11">
        <v>58838</v>
      </c>
      <c r="B799" s="12">
        <f t="shared" si="20"/>
        <v>1264.3530000000001</v>
      </c>
      <c r="C799" s="10"/>
      <c r="E799" s="11">
        <v>58838</v>
      </c>
      <c r="F799" s="4">
        <f t="shared" si="19"/>
        <v>1264.3530000000001</v>
      </c>
    </row>
    <row r="800" spans="1:6">
      <c r="A800" s="11">
        <v>58866</v>
      </c>
      <c r="B800" s="12">
        <f t="shared" si="20"/>
        <v>1264.3530000000001</v>
      </c>
      <c r="C800" s="10"/>
      <c r="E800" s="11">
        <v>58866</v>
      </c>
      <c r="F800" s="4">
        <f t="shared" si="19"/>
        <v>1264.3530000000001</v>
      </c>
    </row>
    <row r="801" spans="1:6">
      <c r="A801" s="11">
        <v>58897</v>
      </c>
      <c r="B801" s="12">
        <f t="shared" si="20"/>
        <v>1264.3530000000001</v>
      </c>
      <c r="C801" s="10"/>
      <c r="E801" s="11">
        <v>58897</v>
      </c>
      <c r="F801" s="4">
        <f t="shared" si="19"/>
        <v>1264.3530000000001</v>
      </c>
    </row>
    <row r="802" spans="1:6">
      <c r="A802" s="11">
        <v>58927</v>
      </c>
      <c r="B802" s="12">
        <f t="shared" si="20"/>
        <v>1264.3530000000001</v>
      </c>
      <c r="C802" s="10"/>
      <c r="E802" s="11">
        <v>58927</v>
      </c>
      <c r="F802" s="4">
        <f t="shared" si="19"/>
        <v>1264.3530000000001</v>
      </c>
    </row>
    <row r="803" spans="1:6">
      <c r="A803" s="11">
        <v>58958</v>
      </c>
      <c r="B803" s="12">
        <f t="shared" si="20"/>
        <v>1264.3530000000001</v>
      </c>
      <c r="C803" s="10"/>
      <c r="E803" s="11">
        <v>58958</v>
      </c>
      <c r="F803" s="4">
        <f t="shared" si="19"/>
        <v>1264.3530000000001</v>
      </c>
    </row>
    <row r="804" spans="1:6">
      <c r="A804" s="11">
        <v>58988</v>
      </c>
      <c r="B804" s="12">
        <f t="shared" si="20"/>
        <v>1264.3530000000001</v>
      </c>
      <c r="C804" s="10"/>
      <c r="E804" s="11">
        <v>58988</v>
      </c>
      <c r="F804" s="4">
        <f t="shared" si="19"/>
        <v>1264.3530000000001</v>
      </c>
    </row>
    <row r="805" spans="1:6">
      <c r="A805" s="11">
        <v>59019</v>
      </c>
      <c r="B805" s="12">
        <f t="shared" si="20"/>
        <v>1264.3530000000001</v>
      </c>
      <c r="C805" s="10"/>
      <c r="E805" s="11">
        <v>59019</v>
      </c>
      <c r="F805" s="4">
        <f t="shared" si="19"/>
        <v>1264.3530000000001</v>
      </c>
    </row>
    <row r="806" spans="1:6">
      <c r="A806" s="11">
        <v>59050</v>
      </c>
      <c r="B806" s="12">
        <f t="shared" si="20"/>
        <v>1264.3530000000001</v>
      </c>
      <c r="C806" s="10"/>
      <c r="E806" s="11">
        <v>59050</v>
      </c>
      <c r="F806" s="4">
        <f t="shared" si="19"/>
        <v>1264.3530000000001</v>
      </c>
    </row>
    <row r="807" spans="1:6">
      <c r="A807" s="11">
        <v>59080</v>
      </c>
      <c r="B807" s="12">
        <f t="shared" si="20"/>
        <v>1264.3530000000001</v>
      </c>
      <c r="C807" s="10"/>
      <c r="E807" s="11">
        <v>59080</v>
      </c>
      <c r="F807" s="4">
        <f t="shared" si="19"/>
        <v>1264.3530000000001</v>
      </c>
    </row>
    <row r="808" spans="1:6">
      <c r="A808" s="11">
        <v>59111</v>
      </c>
      <c r="B808" s="12">
        <f t="shared" si="20"/>
        <v>1264.3530000000001</v>
      </c>
      <c r="C808" s="10"/>
      <c r="E808" s="11">
        <v>59111</v>
      </c>
      <c r="F808" s="4">
        <f t="shared" si="19"/>
        <v>1264.3530000000001</v>
      </c>
    </row>
    <row r="809" spans="1:6">
      <c r="A809" s="11">
        <v>59141</v>
      </c>
      <c r="B809" s="12">
        <f t="shared" si="20"/>
        <v>1264.3530000000001</v>
      </c>
      <c r="C809" s="10"/>
      <c r="E809" s="11">
        <v>59141</v>
      </c>
      <c r="F809" s="4">
        <f t="shared" si="19"/>
        <v>1264.3530000000001</v>
      </c>
    </row>
    <row r="810" spans="1:6">
      <c r="A810" s="11">
        <v>59172</v>
      </c>
      <c r="B810" s="12">
        <f t="shared" si="20"/>
        <v>1264.3530000000001</v>
      </c>
      <c r="C810" s="10"/>
      <c r="E810" s="11">
        <v>59172</v>
      </c>
      <c r="F810" s="4">
        <f t="shared" si="19"/>
        <v>1264.3530000000001</v>
      </c>
    </row>
    <row r="811" spans="1:6">
      <c r="A811" s="11">
        <v>59203</v>
      </c>
      <c r="B811" s="12">
        <f t="shared" si="20"/>
        <v>1264.3530000000001</v>
      </c>
      <c r="C811" s="10"/>
      <c r="E811" s="11">
        <v>59203</v>
      </c>
      <c r="F811" s="4">
        <f t="shared" si="19"/>
        <v>1264.3530000000001</v>
      </c>
    </row>
    <row r="812" spans="1:6">
      <c r="A812" s="11">
        <v>59231</v>
      </c>
      <c r="B812" s="12">
        <f t="shared" si="20"/>
        <v>1264.3530000000001</v>
      </c>
      <c r="C812" s="10"/>
      <c r="E812" s="11">
        <v>59231</v>
      </c>
      <c r="F812" s="4">
        <f t="shared" si="19"/>
        <v>1264.3530000000001</v>
      </c>
    </row>
    <row r="813" spans="1:6">
      <c r="A813" s="11">
        <v>59262</v>
      </c>
      <c r="B813" s="12">
        <f t="shared" si="20"/>
        <v>1264.3530000000001</v>
      </c>
      <c r="C813" s="10"/>
      <c r="E813" s="11">
        <v>59262</v>
      </c>
      <c r="F813" s="4">
        <f t="shared" si="19"/>
        <v>1264.3530000000001</v>
      </c>
    </row>
    <row r="814" spans="1:6">
      <c r="A814" s="11">
        <v>59292</v>
      </c>
      <c r="B814" s="12">
        <f t="shared" si="20"/>
        <v>1264.3530000000001</v>
      </c>
      <c r="C814" s="10"/>
      <c r="E814" s="11">
        <v>59292</v>
      </c>
      <c r="F814" s="4">
        <f t="shared" si="19"/>
        <v>1264.3530000000001</v>
      </c>
    </row>
    <row r="815" spans="1:6">
      <c r="A815" s="11">
        <v>59323</v>
      </c>
      <c r="B815" s="12">
        <f t="shared" si="20"/>
        <v>1264.3530000000001</v>
      </c>
      <c r="C815" s="10"/>
      <c r="E815" s="11">
        <v>59323</v>
      </c>
      <c r="F815" s="4">
        <f t="shared" si="19"/>
        <v>1264.3530000000001</v>
      </c>
    </row>
    <row r="816" spans="1:6">
      <c r="A816" s="11">
        <v>59353</v>
      </c>
      <c r="B816" s="12">
        <f t="shared" si="20"/>
        <v>1264.3530000000001</v>
      </c>
      <c r="C816" s="10"/>
      <c r="E816" s="11">
        <v>59353</v>
      </c>
      <c r="F816" s="4">
        <f t="shared" si="19"/>
        <v>1264.3530000000001</v>
      </c>
    </row>
    <row r="817" spans="1:6">
      <c r="A817" s="11">
        <v>59384</v>
      </c>
      <c r="B817" s="12">
        <f t="shared" si="20"/>
        <v>1264.3530000000001</v>
      </c>
      <c r="C817" s="10"/>
      <c r="E817" s="11">
        <v>59384</v>
      </c>
      <c r="F817" s="4">
        <f t="shared" si="19"/>
        <v>1264.3530000000001</v>
      </c>
    </row>
    <row r="818" spans="1:6">
      <c r="A818" s="11">
        <v>59415</v>
      </c>
      <c r="B818" s="12">
        <f t="shared" si="20"/>
        <v>1264.3530000000001</v>
      </c>
      <c r="C818" s="10"/>
      <c r="E818" s="11">
        <v>59415</v>
      </c>
      <c r="F818" s="4">
        <f t="shared" si="19"/>
        <v>1264.3530000000001</v>
      </c>
    </row>
    <row r="819" spans="1:6">
      <c r="A819" s="11">
        <v>59445</v>
      </c>
      <c r="B819" s="12">
        <f t="shared" si="20"/>
        <v>1264.3530000000001</v>
      </c>
      <c r="C819" s="10"/>
      <c r="E819" s="11">
        <v>59445</v>
      </c>
      <c r="F819" s="4">
        <f t="shared" si="19"/>
        <v>1264.3530000000001</v>
      </c>
    </row>
    <row r="820" spans="1:6">
      <c r="A820" s="11">
        <v>59476</v>
      </c>
      <c r="B820" s="12">
        <f t="shared" si="20"/>
        <v>1264.3530000000001</v>
      </c>
      <c r="C820" s="10"/>
      <c r="E820" s="11">
        <v>59476</v>
      </c>
      <c r="F820" s="4">
        <f t="shared" si="19"/>
        <v>1264.3530000000001</v>
      </c>
    </row>
    <row r="821" spans="1:6">
      <c r="A821" s="11">
        <v>59506</v>
      </c>
      <c r="B821" s="12">
        <f t="shared" si="20"/>
        <v>1264.3530000000001</v>
      </c>
      <c r="C821" s="10"/>
      <c r="E821" s="11">
        <v>59506</v>
      </c>
      <c r="F821" s="4">
        <f t="shared" si="19"/>
        <v>1264.3530000000001</v>
      </c>
    </row>
    <row r="822" spans="1:6">
      <c r="A822" s="11">
        <v>59537</v>
      </c>
      <c r="B822" s="12">
        <f t="shared" si="20"/>
        <v>1264.3530000000001</v>
      </c>
      <c r="C822" s="10"/>
      <c r="E822" s="11">
        <v>59537</v>
      </c>
      <c r="F822" s="4">
        <f t="shared" si="19"/>
        <v>1264.3530000000001</v>
      </c>
    </row>
    <row r="823" spans="1:6">
      <c r="A823" s="11">
        <v>59568</v>
      </c>
      <c r="B823" s="12">
        <f t="shared" si="20"/>
        <v>1264.3530000000001</v>
      </c>
      <c r="C823" s="10"/>
      <c r="E823" s="11">
        <v>59568</v>
      </c>
      <c r="F823" s="4">
        <f t="shared" si="19"/>
        <v>1264.3530000000001</v>
      </c>
    </row>
    <row r="824" spans="1:6">
      <c r="A824" s="11">
        <v>59596</v>
      </c>
      <c r="B824" s="12">
        <f t="shared" si="20"/>
        <v>1264.3530000000001</v>
      </c>
      <c r="C824" s="10"/>
      <c r="E824" s="11">
        <v>59596</v>
      </c>
      <c r="F824" s="4">
        <f t="shared" si="19"/>
        <v>1264.3530000000001</v>
      </c>
    </row>
    <row r="825" spans="1:6">
      <c r="A825" s="11">
        <v>59627</v>
      </c>
      <c r="B825" s="12">
        <f t="shared" si="20"/>
        <v>1264.3530000000001</v>
      </c>
      <c r="C825" s="10"/>
      <c r="E825" s="11">
        <v>59627</v>
      </c>
      <c r="F825" s="4">
        <f t="shared" si="19"/>
        <v>1264.3530000000001</v>
      </c>
    </row>
    <row r="826" spans="1:6">
      <c r="A826" s="11">
        <v>59657</v>
      </c>
      <c r="B826" s="12">
        <f t="shared" si="20"/>
        <v>1264.3530000000001</v>
      </c>
      <c r="C826" s="10"/>
      <c r="E826" s="11">
        <v>59657</v>
      </c>
      <c r="F826" s="4">
        <f t="shared" si="19"/>
        <v>1264.3530000000001</v>
      </c>
    </row>
    <row r="827" spans="1:6">
      <c r="A827" s="11">
        <v>59688</v>
      </c>
      <c r="B827" s="12">
        <f t="shared" si="20"/>
        <v>1264.3530000000001</v>
      </c>
      <c r="C827" s="10"/>
      <c r="E827" s="11">
        <v>59688</v>
      </c>
      <c r="F827" s="4">
        <f t="shared" si="19"/>
        <v>1264.3530000000001</v>
      </c>
    </row>
    <row r="828" spans="1:6">
      <c r="A828" s="11">
        <v>59718</v>
      </c>
      <c r="B828" s="12">
        <f t="shared" si="20"/>
        <v>1264.3530000000001</v>
      </c>
      <c r="C828" s="10"/>
      <c r="E828" s="11">
        <v>59718</v>
      </c>
      <c r="F828" s="4">
        <f t="shared" si="19"/>
        <v>1264.3530000000001</v>
      </c>
    </row>
    <row r="829" spans="1:6">
      <c r="A829" s="11">
        <v>59749</v>
      </c>
      <c r="B829" s="12">
        <f t="shared" si="20"/>
        <v>1264.3530000000001</v>
      </c>
      <c r="C829" s="10"/>
      <c r="E829" s="11">
        <v>59749</v>
      </c>
      <c r="F829" s="4">
        <f t="shared" si="19"/>
        <v>1264.3530000000001</v>
      </c>
    </row>
    <row r="830" spans="1:6">
      <c r="A830" s="11">
        <v>59780</v>
      </c>
      <c r="B830" s="12">
        <f t="shared" si="20"/>
        <v>1264.3530000000001</v>
      </c>
      <c r="C830" s="10"/>
      <c r="E830" s="11">
        <v>59780</v>
      </c>
      <c r="F830" s="4">
        <f t="shared" si="19"/>
        <v>1264.3530000000001</v>
      </c>
    </row>
    <row r="831" spans="1:6">
      <c r="A831" s="11">
        <v>59810</v>
      </c>
      <c r="B831" s="12">
        <f t="shared" si="20"/>
        <v>1264.3530000000001</v>
      </c>
      <c r="C831" s="10"/>
      <c r="E831" s="11">
        <v>59810</v>
      </c>
      <c r="F831" s="4">
        <f t="shared" si="19"/>
        <v>1264.3530000000001</v>
      </c>
    </row>
    <row r="832" spans="1:6">
      <c r="A832" s="11">
        <v>59841</v>
      </c>
      <c r="B832" s="12">
        <f t="shared" si="20"/>
        <v>1264.3530000000001</v>
      </c>
      <c r="C832" s="10"/>
      <c r="E832" s="11">
        <v>59841</v>
      </c>
      <c r="F832" s="4">
        <f t="shared" si="19"/>
        <v>1264.3530000000001</v>
      </c>
    </row>
    <row r="833" spans="1:6">
      <c r="A833" s="11">
        <v>59871</v>
      </c>
      <c r="B833" s="12">
        <f t="shared" si="20"/>
        <v>1264.3530000000001</v>
      </c>
      <c r="C833" s="10"/>
      <c r="E833" s="11">
        <v>59871</v>
      </c>
      <c r="F833" s="4">
        <f t="shared" si="19"/>
        <v>1264.3530000000001</v>
      </c>
    </row>
    <row r="834" spans="1:6">
      <c r="A834" s="11">
        <v>59902</v>
      </c>
      <c r="B834" s="12">
        <f t="shared" si="20"/>
        <v>1264.3530000000001</v>
      </c>
      <c r="C834" s="10"/>
      <c r="E834" s="11">
        <v>59902</v>
      </c>
      <c r="F834" s="4">
        <f t="shared" si="19"/>
        <v>1264.3530000000001</v>
      </c>
    </row>
    <row r="835" spans="1:6">
      <c r="A835" s="11">
        <v>59933</v>
      </c>
      <c r="B835" s="12">
        <f t="shared" si="20"/>
        <v>1264.3530000000001</v>
      </c>
      <c r="C835" s="10"/>
      <c r="E835" s="11">
        <v>59933</v>
      </c>
      <c r="F835" s="4">
        <f t="shared" ref="F835:F898" si="21">B834</f>
        <v>1264.3530000000001</v>
      </c>
    </row>
    <row r="836" spans="1:6">
      <c r="A836" s="11">
        <v>59962</v>
      </c>
      <c r="B836" s="12">
        <f t="shared" si="20"/>
        <v>1264.3530000000001</v>
      </c>
      <c r="C836" s="10"/>
      <c r="E836" s="11">
        <v>59962</v>
      </c>
      <c r="F836" s="4">
        <f t="shared" si="21"/>
        <v>1264.3530000000001</v>
      </c>
    </row>
    <row r="837" spans="1:6">
      <c r="A837" s="11">
        <v>59993</v>
      </c>
      <c r="B837" s="12">
        <f t="shared" si="20"/>
        <v>1264.3530000000001</v>
      </c>
      <c r="C837" s="10"/>
      <c r="E837" s="11">
        <v>59993</v>
      </c>
      <c r="F837" s="4">
        <f t="shared" si="21"/>
        <v>1264.3530000000001</v>
      </c>
    </row>
    <row r="838" spans="1:6">
      <c r="A838" s="11">
        <v>60023</v>
      </c>
      <c r="B838" s="12">
        <f t="shared" si="20"/>
        <v>1264.3530000000001</v>
      </c>
      <c r="C838" s="10"/>
      <c r="E838" s="11">
        <v>60023</v>
      </c>
      <c r="F838" s="4">
        <f t="shared" si="21"/>
        <v>1264.3530000000001</v>
      </c>
    </row>
    <row r="839" spans="1:6">
      <c r="A839" s="11">
        <v>60054</v>
      </c>
      <c r="B839" s="12">
        <f t="shared" si="20"/>
        <v>1264.3530000000001</v>
      </c>
      <c r="C839" s="10"/>
      <c r="E839" s="11">
        <v>60054</v>
      </c>
      <c r="F839" s="4">
        <f t="shared" si="21"/>
        <v>1264.3530000000001</v>
      </c>
    </row>
    <row r="840" spans="1:6">
      <c r="A840" s="11">
        <v>60084</v>
      </c>
      <c r="B840" s="12">
        <f t="shared" si="20"/>
        <v>1264.3530000000001</v>
      </c>
      <c r="C840" s="10"/>
      <c r="E840" s="11">
        <v>60084</v>
      </c>
      <c r="F840" s="4">
        <f t="shared" si="21"/>
        <v>1264.3530000000001</v>
      </c>
    </row>
    <row r="841" spans="1:6">
      <c r="A841" s="11">
        <v>60115</v>
      </c>
      <c r="B841" s="12">
        <f t="shared" si="20"/>
        <v>1264.3530000000001</v>
      </c>
      <c r="C841" s="10"/>
      <c r="E841" s="11">
        <v>60115</v>
      </c>
      <c r="F841" s="4">
        <f t="shared" si="21"/>
        <v>1264.3530000000001</v>
      </c>
    </row>
    <row r="842" spans="1:6">
      <c r="A842" s="11">
        <v>60146</v>
      </c>
      <c r="B842" s="12">
        <f t="shared" si="20"/>
        <v>1264.3530000000001</v>
      </c>
      <c r="C842" s="10"/>
      <c r="E842" s="11">
        <v>60146</v>
      </c>
      <c r="F842" s="4">
        <f t="shared" si="21"/>
        <v>1264.3530000000001</v>
      </c>
    </row>
    <row r="843" spans="1:6">
      <c r="A843" s="11">
        <v>60176</v>
      </c>
      <c r="B843" s="12">
        <f t="shared" si="20"/>
        <v>1264.3530000000001</v>
      </c>
      <c r="C843" s="10"/>
      <c r="E843" s="11">
        <v>60176</v>
      </c>
      <c r="F843" s="4">
        <f t="shared" si="21"/>
        <v>1264.3530000000001</v>
      </c>
    </row>
    <row r="844" spans="1:6">
      <c r="A844" s="11">
        <v>60207</v>
      </c>
      <c r="B844" s="12">
        <f t="shared" si="20"/>
        <v>1264.3530000000001</v>
      </c>
      <c r="C844" s="10"/>
      <c r="E844" s="11">
        <v>60207</v>
      </c>
      <c r="F844" s="4">
        <f t="shared" si="21"/>
        <v>1264.3530000000001</v>
      </c>
    </row>
    <row r="845" spans="1:6">
      <c r="A845" s="11">
        <v>60237</v>
      </c>
      <c r="B845" s="12">
        <f t="shared" si="20"/>
        <v>1264.3530000000001</v>
      </c>
      <c r="C845" s="10"/>
      <c r="E845" s="11">
        <v>60237</v>
      </c>
      <c r="F845" s="4">
        <f t="shared" si="21"/>
        <v>1264.3530000000001</v>
      </c>
    </row>
    <row r="846" spans="1:6">
      <c r="A846" s="11">
        <v>60268</v>
      </c>
      <c r="B846" s="12">
        <f t="shared" si="20"/>
        <v>1264.3530000000001</v>
      </c>
      <c r="C846" s="10"/>
      <c r="E846" s="11">
        <v>60268</v>
      </c>
      <c r="F846" s="4">
        <f t="shared" si="21"/>
        <v>1264.3530000000001</v>
      </c>
    </row>
    <row r="847" spans="1:6">
      <c r="A847" s="11">
        <v>60299</v>
      </c>
      <c r="B847" s="12">
        <f t="shared" si="20"/>
        <v>1264.3530000000001</v>
      </c>
      <c r="C847" s="10"/>
      <c r="E847" s="11">
        <v>60299</v>
      </c>
      <c r="F847" s="4">
        <f t="shared" si="21"/>
        <v>1264.3530000000001</v>
      </c>
    </row>
    <row r="848" spans="1:6">
      <c r="A848" s="11">
        <v>60327</v>
      </c>
      <c r="B848" s="12">
        <f t="shared" si="20"/>
        <v>1264.3530000000001</v>
      </c>
      <c r="C848" s="10"/>
      <c r="E848" s="11">
        <v>60327</v>
      </c>
      <c r="F848" s="4">
        <f t="shared" si="21"/>
        <v>1264.3530000000001</v>
      </c>
    </row>
    <row r="849" spans="1:6">
      <c r="A849" s="11">
        <v>60358</v>
      </c>
      <c r="B849" s="12">
        <f t="shared" si="20"/>
        <v>1264.3530000000001</v>
      </c>
      <c r="C849" s="10"/>
      <c r="E849" s="11">
        <v>60358</v>
      </c>
      <c r="F849" s="4">
        <f t="shared" si="21"/>
        <v>1264.3530000000001</v>
      </c>
    </row>
    <row r="850" spans="1:6">
      <c r="A850" s="11">
        <v>60388</v>
      </c>
      <c r="B850" s="12">
        <f t="shared" si="20"/>
        <v>1264.3530000000001</v>
      </c>
      <c r="C850" s="10"/>
      <c r="E850" s="11">
        <v>60388</v>
      </c>
      <c r="F850" s="4">
        <f t="shared" si="21"/>
        <v>1264.3530000000001</v>
      </c>
    </row>
    <row r="851" spans="1:6">
      <c r="A851" s="11">
        <v>60419</v>
      </c>
      <c r="B851" s="12">
        <f t="shared" si="20"/>
        <v>1264.3530000000001</v>
      </c>
      <c r="C851" s="10"/>
      <c r="E851" s="11">
        <v>60419</v>
      </c>
      <c r="F851" s="4">
        <f t="shared" si="21"/>
        <v>1264.3530000000001</v>
      </c>
    </row>
    <row r="852" spans="1:6">
      <c r="A852" s="11">
        <v>60449</v>
      </c>
      <c r="B852" s="12">
        <f t="shared" si="20"/>
        <v>1264.3530000000001</v>
      </c>
      <c r="C852" s="10"/>
      <c r="E852" s="11">
        <v>60449</v>
      </c>
      <c r="F852" s="4">
        <f t="shared" si="21"/>
        <v>1264.3530000000001</v>
      </c>
    </row>
    <row r="853" spans="1:6">
      <c r="A853" s="11">
        <v>60480</v>
      </c>
      <c r="B853" s="12">
        <f t="shared" si="20"/>
        <v>1264.3530000000001</v>
      </c>
      <c r="C853" s="10"/>
      <c r="E853" s="11">
        <v>60480</v>
      </c>
      <c r="F853" s="4">
        <f t="shared" si="21"/>
        <v>1264.3530000000001</v>
      </c>
    </row>
    <row r="854" spans="1:6">
      <c r="A854" s="11">
        <v>60511</v>
      </c>
      <c r="B854" s="12">
        <f t="shared" si="20"/>
        <v>1264.3530000000001</v>
      </c>
      <c r="C854" s="10"/>
      <c r="E854" s="11">
        <v>60511</v>
      </c>
      <c r="F854" s="4">
        <f t="shared" si="21"/>
        <v>1264.3530000000001</v>
      </c>
    </row>
    <row r="855" spans="1:6">
      <c r="A855" s="11">
        <v>60541</v>
      </c>
      <c r="B855" s="12">
        <f t="shared" si="20"/>
        <v>1264.3530000000001</v>
      </c>
      <c r="C855" s="10"/>
      <c r="E855" s="11">
        <v>60541</v>
      </c>
      <c r="F855" s="4">
        <f t="shared" si="21"/>
        <v>1264.3530000000001</v>
      </c>
    </row>
    <row r="856" spans="1:6">
      <c r="A856" s="11">
        <v>60572</v>
      </c>
      <c r="B856" s="12">
        <f t="shared" si="20"/>
        <v>1264.3530000000001</v>
      </c>
      <c r="C856" s="10"/>
      <c r="E856" s="11">
        <v>60572</v>
      </c>
      <c r="F856" s="4">
        <f t="shared" si="21"/>
        <v>1264.3530000000001</v>
      </c>
    </row>
    <row r="857" spans="1:6">
      <c r="A857" s="11">
        <v>60602</v>
      </c>
      <c r="B857" s="12">
        <f t="shared" si="20"/>
        <v>1264.3530000000001</v>
      </c>
      <c r="C857" s="10"/>
      <c r="E857" s="11">
        <v>60602</v>
      </c>
      <c r="F857" s="4">
        <f t="shared" si="21"/>
        <v>1264.3530000000001</v>
      </c>
    </row>
    <row r="858" spans="1:6">
      <c r="A858" s="11">
        <v>60633</v>
      </c>
      <c r="B858" s="12">
        <f t="shared" si="20"/>
        <v>1264.3530000000001</v>
      </c>
      <c r="C858" s="10"/>
      <c r="E858" s="11">
        <v>60633</v>
      </c>
      <c r="F858" s="4">
        <f t="shared" si="21"/>
        <v>1264.3530000000001</v>
      </c>
    </row>
    <row r="859" spans="1:6">
      <c r="A859" s="11">
        <v>60664</v>
      </c>
      <c r="B859" s="12">
        <f t="shared" si="20"/>
        <v>1264.3530000000001</v>
      </c>
      <c r="C859" s="10"/>
      <c r="E859" s="11">
        <v>60664</v>
      </c>
      <c r="F859" s="4">
        <f t="shared" si="21"/>
        <v>1264.3530000000001</v>
      </c>
    </row>
    <row r="860" spans="1:6">
      <c r="A860" s="11">
        <v>60692</v>
      </c>
      <c r="B860" s="12">
        <f t="shared" si="20"/>
        <v>1264.3530000000001</v>
      </c>
      <c r="C860" s="10"/>
      <c r="E860" s="11">
        <v>60692</v>
      </c>
      <c r="F860" s="4">
        <f t="shared" si="21"/>
        <v>1264.3530000000001</v>
      </c>
    </row>
    <row r="861" spans="1:6">
      <c r="A861" s="11">
        <v>60723</v>
      </c>
      <c r="B861" s="12">
        <f t="shared" si="20"/>
        <v>1264.3530000000001</v>
      </c>
      <c r="C861" s="10"/>
      <c r="E861" s="11">
        <v>60723</v>
      </c>
      <c r="F861" s="4">
        <f t="shared" si="21"/>
        <v>1264.3530000000001</v>
      </c>
    </row>
    <row r="862" spans="1:6">
      <c r="A862" s="11">
        <v>60753</v>
      </c>
      <c r="B862" s="12">
        <f t="shared" ref="B862:B925" si="22">B861</f>
        <v>1264.3530000000001</v>
      </c>
      <c r="C862" s="10"/>
      <c r="E862" s="11">
        <v>60753</v>
      </c>
      <c r="F862" s="4">
        <f t="shared" si="21"/>
        <v>1264.3530000000001</v>
      </c>
    </row>
    <row r="863" spans="1:6">
      <c r="A863" s="11">
        <v>60784</v>
      </c>
      <c r="B863" s="12">
        <f t="shared" si="22"/>
        <v>1264.3530000000001</v>
      </c>
      <c r="C863" s="10"/>
      <c r="E863" s="11">
        <v>60784</v>
      </c>
      <c r="F863" s="4">
        <f t="shared" si="21"/>
        <v>1264.3530000000001</v>
      </c>
    </row>
    <row r="864" spans="1:6">
      <c r="A864" s="11">
        <v>60814</v>
      </c>
      <c r="B864" s="12">
        <f t="shared" si="22"/>
        <v>1264.3530000000001</v>
      </c>
      <c r="C864" s="10"/>
      <c r="E864" s="11">
        <v>60814</v>
      </c>
      <c r="F864" s="4">
        <f t="shared" si="21"/>
        <v>1264.3530000000001</v>
      </c>
    </row>
    <row r="865" spans="1:6">
      <c r="A865" s="11">
        <v>60845</v>
      </c>
      <c r="B865" s="12">
        <f t="shared" si="22"/>
        <v>1264.3530000000001</v>
      </c>
      <c r="C865" s="10"/>
      <c r="E865" s="11">
        <v>60845</v>
      </c>
      <c r="F865" s="4">
        <f t="shared" si="21"/>
        <v>1264.3530000000001</v>
      </c>
    </row>
    <row r="866" spans="1:6">
      <c r="A866" s="11">
        <v>60876</v>
      </c>
      <c r="B866" s="12">
        <f t="shared" si="22"/>
        <v>1264.3530000000001</v>
      </c>
      <c r="C866" s="10"/>
      <c r="E866" s="11">
        <v>60876</v>
      </c>
      <c r="F866" s="4">
        <f t="shared" si="21"/>
        <v>1264.3530000000001</v>
      </c>
    </row>
    <row r="867" spans="1:6">
      <c r="A867" s="11">
        <v>60906</v>
      </c>
      <c r="B867" s="12">
        <f t="shared" si="22"/>
        <v>1264.3530000000001</v>
      </c>
      <c r="C867" s="10"/>
      <c r="E867" s="11">
        <v>60906</v>
      </c>
      <c r="F867" s="4">
        <f t="shared" si="21"/>
        <v>1264.3530000000001</v>
      </c>
    </row>
    <row r="868" spans="1:6">
      <c r="A868" s="11">
        <v>60937</v>
      </c>
      <c r="B868" s="12">
        <f t="shared" si="22"/>
        <v>1264.3530000000001</v>
      </c>
      <c r="C868" s="10"/>
      <c r="E868" s="11">
        <v>60937</v>
      </c>
      <c r="F868" s="4">
        <f t="shared" si="21"/>
        <v>1264.3530000000001</v>
      </c>
    </row>
    <row r="869" spans="1:6">
      <c r="A869" s="11">
        <v>60967</v>
      </c>
      <c r="B869" s="12">
        <f t="shared" si="22"/>
        <v>1264.3530000000001</v>
      </c>
      <c r="C869" s="10"/>
      <c r="E869" s="11">
        <v>60967</v>
      </c>
      <c r="F869" s="4">
        <f t="shared" si="21"/>
        <v>1264.3530000000001</v>
      </c>
    </row>
    <row r="870" spans="1:6">
      <c r="A870" s="11">
        <v>60998</v>
      </c>
      <c r="B870" s="12">
        <f t="shared" si="22"/>
        <v>1264.3530000000001</v>
      </c>
      <c r="C870" s="10"/>
      <c r="E870" s="11">
        <v>60998</v>
      </c>
      <c r="F870" s="4">
        <f t="shared" si="21"/>
        <v>1264.3530000000001</v>
      </c>
    </row>
    <row r="871" spans="1:6">
      <c r="A871" s="11">
        <v>61029</v>
      </c>
      <c r="B871" s="12">
        <f t="shared" si="22"/>
        <v>1264.3530000000001</v>
      </c>
      <c r="C871" s="10"/>
      <c r="E871" s="11">
        <v>61029</v>
      </c>
      <c r="F871" s="4">
        <f t="shared" si="21"/>
        <v>1264.3530000000001</v>
      </c>
    </row>
    <row r="872" spans="1:6">
      <c r="A872" s="11">
        <v>61057</v>
      </c>
      <c r="B872" s="12">
        <f t="shared" si="22"/>
        <v>1264.3530000000001</v>
      </c>
      <c r="C872" s="10"/>
      <c r="E872" s="11">
        <v>61057</v>
      </c>
      <c r="F872" s="4">
        <f t="shared" si="21"/>
        <v>1264.3530000000001</v>
      </c>
    </row>
    <row r="873" spans="1:6">
      <c r="A873" s="11">
        <v>61088</v>
      </c>
      <c r="B873" s="12">
        <f t="shared" si="22"/>
        <v>1264.3530000000001</v>
      </c>
      <c r="C873" s="10"/>
      <c r="E873" s="11">
        <v>61088</v>
      </c>
      <c r="F873" s="4">
        <f t="shared" si="21"/>
        <v>1264.3530000000001</v>
      </c>
    </row>
    <row r="874" spans="1:6">
      <c r="A874" s="11">
        <v>61118</v>
      </c>
      <c r="B874" s="12">
        <f t="shared" si="22"/>
        <v>1264.3530000000001</v>
      </c>
      <c r="C874" s="10"/>
      <c r="E874" s="11">
        <v>61118</v>
      </c>
      <c r="F874" s="4">
        <f t="shared" si="21"/>
        <v>1264.3530000000001</v>
      </c>
    </row>
    <row r="875" spans="1:6">
      <c r="A875" s="11">
        <v>61149</v>
      </c>
      <c r="B875" s="12">
        <f t="shared" si="22"/>
        <v>1264.3530000000001</v>
      </c>
      <c r="C875" s="10"/>
      <c r="E875" s="11">
        <v>61149</v>
      </c>
      <c r="F875" s="4">
        <f t="shared" si="21"/>
        <v>1264.3530000000001</v>
      </c>
    </row>
    <row r="876" spans="1:6">
      <c r="A876" s="11">
        <v>61179</v>
      </c>
      <c r="B876" s="12">
        <f t="shared" si="22"/>
        <v>1264.3530000000001</v>
      </c>
      <c r="C876" s="10"/>
      <c r="E876" s="11">
        <v>61179</v>
      </c>
      <c r="F876" s="4">
        <f t="shared" si="21"/>
        <v>1264.3530000000001</v>
      </c>
    </row>
    <row r="877" spans="1:6">
      <c r="A877" s="11">
        <v>61210</v>
      </c>
      <c r="B877" s="12">
        <f t="shared" si="22"/>
        <v>1264.3530000000001</v>
      </c>
      <c r="C877" s="10"/>
      <c r="E877" s="11">
        <v>61210</v>
      </c>
      <c r="F877" s="4">
        <f t="shared" si="21"/>
        <v>1264.3530000000001</v>
      </c>
    </row>
    <row r="878" spans="1:6">
      <c r="A878" s="11">
        <v>61241</v>
      </c>
      <c r="B878" s="12">
        <f t="shared" si="22"/>
        <v>1264.3530000000001</v>
      </c>
      <c r="C878" s="10"/>
      <c r="E878" s="11">
        <v>61241</v>
      </c>
      <c r="F878" s="4">
        <f t="shared" si="21"/>
        <v>1264.3530000000001</v>
      </c>
    </row>
    <row r="879" spans="1:6">
      <c r="A879" s="11">
        <v>61271</v>
      </c>
      <c r="B879" s="12">
        <f t="shared" si="22"/>
        <v>1264.3530000000001</v>
      </c>
      <c r="C879" s="10"/>
      <c r="E879" s="11">
        <v>61271</v>
      </c>
      <c r="F879" s="4">
        <f t="shared" si="21"/>
        <v>1264.3530000000001</v>
      </c>
    </row>
    <row r="880" spans="1:6">
      <c r="A880" s="11">
        <v>61302</v>
      </c>
      <c r="B880" s="12">
        <f t="shared" si="22"/>
        <v>1264.3530000000001</v>
      </c>
      <c r="C880" s="10"/>
      <c r="E880" s="11">
        <v>61302</v>
      </c>
      <c r="F880" s="4">
        <f t="shared" si="21"/>
        <v>1264.3530000000001</v>
      </c>
    </row>
    <row r="881" spans="1:6">
      <c r="A881" s="11">
        <v>61332</v>
      </c>
      <c r="B881" s="12">
        <f t="shared" si="22"/>
        <v>1264.3530000000001</v>
      </c>
      <c r="C881" s="10"/>
      <c r="E881" s="11">
        <v>61332</v>
      </c>
      <c r="F881" s="4">
        <f t="shared" si="21"/>
        <v>1264.3530000000001</v>
      </c>
    </row>
    <row r="882" spans="1:6">
      <c r="A882" s="11">
        <v>61363</v>
      </c>
      <c r="B882" s="12">
        <f t="shared" si="22"/>
        <v>1264.3530000000001</v>
      </c>
      <c r="C882" s="10"/>
      <c r="E882" s="11">
        <v>61363</v>
      </c>
      <c r="F882" s="4">
        <f t="shared" si="21"/>
        <v>1264.3530000000001</v>
      </c>
    </row>
    <row r="883" spans="1:6">
      <c r="A883" s="11">
        <v>61394</v>
      </c>
      <c r="B883" s="12">
        <f t="shared" si="22"/>
        <v>1264.3530000000001</v>
      </c>
      <c r="C883" s="10"/>
      <c r="E883" s="11">
        <v>61394</v>
      </c>
      <c r="F883" s="4">
        <f t="shared" si="21"/>
        <v>1264.3530000000001</v>
      </c>
    </row>
    <row r="884" spans="1:6">
      <c r="A884" s="11">
        <v>61423</v>
      </c>
      <c r="B884" s="12">
        <f t="shared" si="22"/>
        <v>1264.3530000000001</v>
      </c>
      <c r="C884" s="10"/>
      <c r="E884" s="11">
        <v>61423</v>
      </c>
      <c r="F884" s="4">
        <f t="shared" si="21"/>
        <v>1264.3530000000001</v>
      </c>
    </row>
    <row r="885" spans="1:6">
      <c r="A885" s="11">
        <v>61454</v>
      </c>
      <c r="B885" s="12">
        <f t="shared" si="22"/>
        <v>1264.3530000000001</v>
      </c>
      <c r="C885" s="10"/>
      <c r="E885" s="11">
        <v>61454</v>
      </c>
      <c r="F885" s="4">
        <f t="shared" si="21"/>
        <v>1264.3530000000001</v>
      </c>
    </row>
    <row r="886" spans="1:6">
      <c r="A886" s="11">
        <v>61484</v>
      </c>
      <c r="B886" s="12">
        <f t="shared" si="22"/>
        <v>1264.3530000000001</v>
      </c>
      <c r="C886" s="10"/>
      <c r="E886" s="11">
        <v>61484</v>
      </c>
      <c r="F886" s="4">
        <f t="shared" si="21"/>
        <v>1264.3530000000001</v>
      </c>
    </row>
    <row r="887" spans="1:6">
      <c r="A887" s="11">
        <v>61515</v>
      </c>
      <c r="B887" s="12">
        <f t="shared" si="22"/>
        <v>1264.3530000000001</v>
      </c>
      <c r="C887" s="10"/>
      <c r="E887" s="11">
        <v>61515</v>
      </c>
      <c r="F887" s="4">
        <f t="shared" si="21"/>
        <v>1264.3530000000001</v>
      </c>
    </row>
    <row r="888" spans="1:6">
      <c r="A888" s="11">
        <v>61545</v>
      </c>
      <c r="B888" s="12">
        <f t="shared" si="22"/>
        <v>1264.3530000000001</v>
      </c>
      <c r="C888" s="10"/>
      <c r="E888" s="11">
        <v>61545</v>
      </c>
      <c r="F888" s="4">
        <f t="shared" si="21"/>
        <v>1264.3530000000001</v>
      </c>
    </row>
    <row r="889" spans="1:6">
      <c r="A889" s="11">
        <v>61576</v>
      </c>
      <c r="B889" s="12">
        <f t="shared" si="22"/>
        <v>1264.3530000000001</v>
      </c>
      <c r="C889" s="10"/>
      <c r="E889" s="11">
        <v>61576</v>
      </c>
      <c r="F889" s="4">
        <f t="shared" si="21"/>
        <v>1264.3530000000001</v>
      </c>
    </row>
    <row r="890" spans="1:6">
      <c r="A890" s="11">
        <v>61607</v>
      </c>
      <c r="B890" s="12">
        <f t="shared" si="22"/>
        <v>1264.3530000000001</v>
      </c>
      <c r="C890" s="10"/>
      <c r="E890" s="11">
        <v>61607</v>
      </c>
      <c r="F890" s="4">
        <f t="shared" si="21"/>
        <v>1264.3530000000001</v>
      </c>
    </row>
    <row r="891" spans="1:6">
      <c r="A891" s="11">
        <v>61637</v>
      </c>
      <c r="B891" s="12">
        <f t="shared" si="22"/>
        <v>1264.3530000000001</v>
      </c>
      <c r="C891" s="10"/>
      <c r="E891" s="11">
        <v>61637</v>
      </c>
      <c r="F891" s="4">
        <f t="shared" si="21"/>
        <v>1264.3530000000001</v>
      </c>
    </row>
    <row r="892" spans="1:6">
      <c r="A892" s="11">
        <v>61668</v>
      </c>
      <c r="B892" s="12">
        <f t="shared" si="22"/>
        <v>1264.3530000000001</v>
      </c>
      <c r="C892" s="10"/>
      <c r="E892" s="11">
        <v>61668</v>
      </c>
      <c r="F892" s="4">
        <f t="shared" si="21"/>
        <v>1264.3530000000001</v>
      </c>
    </row>
    <row r="893" spans="1:6">
      <c r="A893" s="11">
        <v>61698</v>
      </c>
      <c r="B893" s="12">
        <f t="shared" si="22"/>
        <v>1264.3530000000001</v>
      </c>
      <c r="C893" s="10"/>
      <c r="E893" s="11">
        <v>61698</v>
      </c>
      <c r="F893" s="4">
        <f t="shared" si="21"/>
        <v>1264.3530000000001</v>
      </c>
    </row>
    <row r="894" spans="1:6">
      <c r="A894" s="11">
        <v>61729</v>
      </c>
      <c r="B894" s="12">
        <f t="shared" si="22"/>
        <v>1264.3530000000001</v>
      </c>
      <c r="C894" s="10"/>
      <c r="E894" s="11">
        <v>61729</v>
      </c>
      <c r="F894" s="4">
        <f t="shared" si="21"/>
        <v>1264.3530000000001</v>
      </c>
    </row>
    <row r="895" spans="1:6">
      <c r="A895" s="11">
        <v>61760</v>
      </c>
      <c r="B895" s="12">
        <f t="shared" si="22"/>
        <v>1264.3530000000001</v>
      </c>
      <c r="C895" s="10"/>
      <c r="E895" s="11">
        <v>61760</v>
      </c>
      <c r="F895" s="4">
        <f t="shared" si="21"/>
        <v>1264.3530000000001</v>
      </c>
    </row>
    <row r="896" spans="1:6">
      <c r="A896" s="11">
        <v>61788</v>
      </c>
      <c r="B896" s="12">
        <f t="shared" si="22"/>
        <v>1264.3530000000001</v>
      </c>
      <c r="C896" s="10"/>
      <c r="E896" s="11">
        <v>61788</v>
      </c>
      <c r="F896" s="4">
        <f t="shared" si="21"/>
        <v>1264.3530000000001</v>
      </c>
    </row>
    <row r="897" spans="1:6">
      <c r="A897" s="11">
        <v>61819</v>
      </c>
      <c r="B897" s="12">
        <f t="shared" si="22"/>
        <v>1264.3530000000001</v>
      </c>
      <c r="C897" s="10"/>
      <c r="E897" s="11">
        <v>61819</v>
      </c>
      <c r="F897" s="4">
        <f t="shared" si="21"/>
        <v>1264.3530000000001</v>
      </c>
    </row>
    <row r="898" spans="1:6">
      <c r="A898" s="11">
        <v>61849</v>
      </c>
      <c r="B898" s="12">
        <f t="shared" si="22"/>
        <v>1264.3530000000001</v>
      </c>
      <c r="C898" s="10"/>
      <c r="E898" s="11">
        <v>61849</v>
      </c>
      <c r="F898" s="4">
        <f t="shared" si="21"/>
        <v>1264.3530000000001</v>
      </c>
    </row>
    <row r="899" spans="1:6">
      <c r="A899" s="11">
        <v>61880</v>
      </c>
      <c r="B899" s="12">
        <f t="shared" si="22"/>
        <v>1264.3530000000001</v>
      </c>
      <c r="C899" s="10"/>
      <c r="E899" s="11">
        <v>61880</v>
      </c>
      <c r="F899" s="4">
        <f t="shared" ref="F899:F962" si="23">B898</f>
        <v>1264.3530000000001</v>
      </c>
    </row>
    <row r="900" spans="1:6">
      <c r="A900" s="11">
        <v>61910</v>
      </c>
      <c r="B900" s="12">
        <f t="shared" si="22"/>
        <v>1264.3530000000001</v>
      </c>
      <c r="C900" s="10"/>
      <c r="E900" s="11">
        <v>61910</v>
      </c>
      <c r="F900" s="4">
        <f t="shared" si="23"/>
        <v>1264.3530000000001</v>
      </c>
    </row>
    <row r="901" spans="1:6">
      <c r="A901" s="11">
        <v>61941</v>
      </c>
      <c r="B901" s="12">
        <f t="shared" si="22"/>
        <v>1264.3530000000001</v>
      </c>
      <c r="C901" s="10"/>
      <c r="E901" s="11">
        <v>61941</v>
      </c>
      <c r="F901" s="4">
        <f t="shared" si="23"/>
        <v>1264.3530000000001</v>
      </c>
    </row>
    <row r="902" spans="1:6">
      <c r="A902" s="11">
        <v>61972</v>
      </c>
      <c r="B902" s="12">
        <f t="shared" si="22"/>
        <v>1264.3530000000001</v>
      </c>
      <c r="C902" s="10"/>
      <c r="E902" s="11">
        <v>61972</v>
      </c>
      <c r="F902" s="4">
        <f t="shared" si="23"/>
        <v>1264.3530000000001</v>
      </c>
    </row>
    <row r="903" spans="1:6">
      <c r="A903" s="11">
        <v>62002</v>
      </c>
      <c r="B903" s="12">
        <f t="shared" si="22"/>
        <v>1264.3530000000001</v>
      </c>
      <c r="C903" s="10"/>
      <c r="E903" s="11">
        <v>62002</v>
      </c>
      <c r="F903" s="4">
        <f t="shared" si="23"/>
        <v>1264.3530000000001</v>
      </c>
    </row>
    <row r="904" spans="1:6">
      <c r="A904" s="11">
        <v>62033</v>
      </c>
      <c r="B904" s="12">
        <f t="shared" si="22"/>
        <v>1264.3530000000001</v>
      </c>
      <c r="C904" s="10"/>
      <c r="E904" s="11">
        <v>62033</v>
      </c>
      <c r="F904" s="4">
        <f t="shared" si="23"/>
        <v>1264.3530000000001</v>
      </c>
    </row>
    <row r="905" spans="1:6">
      <c r="A905" s="11">
        <v>62063</v>
      </c>
      <c r="B905" s="12">
        <f t="shared" si="22"/>
        <v>1264.3530000000001</v>
      </c>
      <c r="C905" s="10"/>
      <c r="E905" s="11">
        <v>62063</v>
      </c>
      <c r="F905" s="4">
        <f t="shared" si="23"/>
        <v>1264.3530000000001</v>
      </c>
    </row>
    <row r="906" spans="1:6">
      <c r="A906" s="11">
        <v>62094</v>
      </c>
      <c r="B906" s="12">
        <f t="shared" si="22"/>
        <v>1264.3530000000001</v>
      </c>
      <c r="C906" s="10"/>
      <c r="E906" s="11">
        <v>62094</v>
      </c>
      <c r="F906" s="4">
        <f t="shared" si="23"/>
        <v>1264.3530000000001</v>
      </c>
    </row>
    <row r="907" spans="1:6">
      <c r="A907" s="11">
        <v>62125</v>
      </c>
      <c r="B907" s="12">
        <f t="shared" si="22"/>
        <v>1264.3530000000001</v>
      </c>
      <c r="C907" s="10"/>
      <c r="E907" s="11">
        <v>62125</v>
      </c>
      <c r="F907" s="4">
        <f t="shared" si="23"/>
        <v>1264.3530000000001</v>
      </c>
    </row>
    <row r="908" spans="1:6">
      <c r="A908" s="11">
        <v>62153</v>
      </c>
      <c r="B908" s="12">
        <f t="shared" si="22"/>
        <v>1264.3530000000001</v>
      </c>
      <c r="C908" s="10"/>
      <c r="E908" s="11">
        <v>62153</v>
      </c>
      <c r="F908" s="4">
        <f t="shared" si="23"/>
        <v>1264.3530000000001</v>
      </c>
    </row>
    <row r="909" spans="1:6">
      <c r="A909" s="11">
        <v>62184</v>
      </c>
      <c r="B909" s="12">
        <f t="shared" si="22"/>
        <v>1264.3530000000001</v>
      </c>
      <c r="C909" s="10"/>
      <c r="E909" s="11">
        <v>62184</v>
      </c>
      <c r="F909" s="4">
        <f t="shared" si="23"/>
        <v>1264.3530000000001</v>
      </c>
    </row>
    <row r="910" spans="1:6">
      <c r="A910" s="11">
        <v>62214</v>
      </c>
      <c r="B910" s="12">
        <f t="shared" si="22"/>
        <v>1264.3530000000001</v>
      </c>
      <c r="C910" s="10"/>
      <c r="E910" s="11">
        <v>62214</v>
      </c>
      <c r="F910" s="4">
        <f t="shared" si="23"/>
        <v>1264.3530000000001</v>
      </c>
    </row>
    <row r="911" spans="1:6">
      <c r="A911" s="11">
        <v>62245</v>
      </c>
      <c r="B911" s="12">
        <f t="shared" si="22"/>
        <v>1264.3530000000001</v>
      </c>
      <c r="C911" s="10"/>
      <c r="E911" s="11">
        <v>62245</v>
      </c>
      <c r="F911" s="4">
        <f t="shared" si="23"/>
        <v>1264.3530000000001</v>
      </c>
    </row>
    <row r="912" spans="1:6">
      <c r="A912" s="11">
        <v>62275</v>
      </c>
      <c r="B912" s="12">
        <f t="shared" si="22"/>
        <v>1264.3530000000001</v>
      </c>
      <c r="C912" s="10"/>
      <c r="E912" s="11">
        <v>62275</v>
      </c>
      <c r="F912" s="4">
        <f t="shared" si="23"/>
        <v>1264.3530000000001</v>
      </c>
    </row>
    <row r="913" spans="1:6">
      <c r="A913" s="11">
        <v>62306</v>
      </c>
      <c r="B913" s="12">
        <f t="shared" si="22"/>
        <v>1264.3530000000001</v>
      </c>
      <c r="C913" s="10"/>
      <c r="E913" s="11">
        <v>62306</v>
      </c>
      <c r="F913" s="4">
        <f t="shared" si="23"/>
        <v>1264.3530000000001</v>
      </c>
    </row>
    <row r="914" spans="1:6">
      <c r="A914" s="11">
        <v>62337</v>
      </c>
      <c r="B914" s="12">
        <f t="shared" si="22"/>
        <v>1264.3530000000001</v>
      </c>
      <c r="C914" s="10"/>
      <c r="E914" s="11">
        <v>62337</v>
      </c>
      <c r="F914" s="4">
        <f t="shared" si="23"/>
        <v>1264.3530000000001</v>
      </c>
    </row>
    <row r="915" spans="1:6">
      <c r="A915" s="11">
        <v>62367</v>
      </c>
      <c r="B915" s="12">
        <f t="shared" si="22"/>
        <v>1264.3530000000001</v>
      </c>
      <c r="C915" s="10"/>
      <c r="E915" s="11">
        <v>62367</v>
      </c>
      <c r="F915" s="4">
        <f t="shared" si="23"/>
        <v>1264.3530000000001</v>
      </c>
    </row>
    <row r="916" spans="1:6">
      <c r="A916" s="11">
        <v>62398</v>
      </c>
      <c r="B916" s="12">
        <f t="shared" si="22"/>
        <v>1264.3530000000001</v>
      </c>
      <c r="C916" s="10"/>
      <c r="E916" s="11">
        <v>62398</v>
      </c>
      <c r="F916" s="4">
        <f t="shared" si="23"/>
        <v>1264.3530000000001</v>
      </c>
    </row>
    <row r="917" spans="1:6">
      <c r="A917" s="11">
        <v>62428</v>
      </c>
      <c r="B917" s="12">
        <f t="shared" si="22"/>
        <v>1264.3530000000001</v>
      </c>
      <c r="C917" s="10"/>
      <c r="E917" s="11">
        <v>62428</v>
      </c>
      <c r="F917" s="4">
        <f t="shared" si="23"/>
        <v>1264.3530000000001</v>
      </c>
    </row>
    <row r="918" spans="1:6">
      <c r="A918" s="11">
        <v>62459</v>
      </c>
      <c r="B918" s="12">
        <f t="shared" si="22"/>
        <v>1264.3530000000001</v>
      </c>
      <c r="C918" s="10"/>
      <c r="E918" s="11">
        <v>62459</v>
      </c>
      <c r="F918" s="4">
        <f t="shared" si="23"/>
        <v>1264.3530000000001</v>
      </c>
    </row>
    <row r="919" spans="1:6">
      <c r="A919" s="11">
        <v>62490</v>
      </c>
      <c r="B919" s="12">
        <f t="shared" si="22"/>
        <v>1264.3530000000001</v>
      </c>
      <c r="C919" s="10"/>
      <c r="E919" s="11">
        <v>62490</v>
      </c>
      <c r="F919" s="4">
        <f t="shared" si="23"/>
        <v>1264.3530000000001</v>
      </c>
    </row>
    <row r="920" spans="1:6">
      <c r="A920" s="11">
        <v>62518</v>
      </c>
      <c r="B920" s="12">
        <f t="shared" si="22"/>
        <v>1264.3530000000001</v>
      </c>
      <c r="C920" s="10"/>
      <c r="E920" s="11">
        <v>62518</v>
      </c>
      <c r="F920" s="4">
        <f t="shared" si="23"/>
        <v>1264.3530000000001</v>
      </c>
    </row>
    <row r="921" spans="1:6">
      <c r="A921" s="11">
        <v>62549</v>
      </c>
      <c r="B921" s="12">
        <f t="shared" si="22"/>
        <v>1264.3530000000001</v>
      </c>
      <c r="C921" s="10"/>
      <c r="E921" s="11">
        <v>62549</v>
      </c>
      <c r="F921" s="4">
        <f t="shared" si="23"/>
        <v>1264.3530000000001</v>
      </c>
    </row>
    <row r="922" spans="1:6">
      <c r="A922" s="11">
        <v>62579</v>
      </c>
      <c r="B922" s="12">
        <f t="shared" si="22"/>
        <v>1264.3530000000001</v>
      </c>
      <c r="C922" s="10"/>
      <c r="E922" s="11">
        <v>62579</v>
      </c>
      <c r="F922" s="4">
        <f t="shared" si="23"/>
        <v>1264.3530000000001</v>
      </c>
    </row>
    <row r="923" spans="1:6">
      <c r="A923" s="11">
        <v>62610</v>
      </c>
      <c r="B923" s="12">
        <f t="shared" si="22"/>
        <v>1264.3530000000001</v>
      </c>
      <c r="C923" s="10"/>
      <c r="E923" s="11">
        <v>62610</v>
      </c>
      <c r="F923" s="4">
        <f t="shared" si="23"/>
        <v>1264.3530000000001</v>
      </c>
    </row>
    <row r="924" spans="1:6">
      <c r="A924" s="11">
        <v>62640</v>
      </c>
      <c r="B924" s="12">
        <f t="shared" si="22"/>
        <v>1264.3530000000001</v>
      </c>
      <c r="C924" s="10"/>
      <c r="E924" s="11">
        <v>62640</v>
      </c>
      <c r="F924" s="4">
        <f t="shared" si="23"/>
        <v>1264.3530000000001</v>
      </c>
    </row>
    <row r="925" spans="1:6">
      <c r="A925" s="11">
        <v>62671</v>
      </c>
      <c r="B925" s="12">
        <f t="shared" si="22"/>
        <v>1264.3530000000001</v>
      </c>
      <c r="C925" s="10"/>
      <c r="E925" s="11">
        <v>62671</v>
      </c>
      <c r="F925" s="4">
        <f t="shared" si="23"/>
        <v>1264.3530000000001</v>
      </c>
    </row>
    <row r="926" spans="1:6">
      <c r="A926" s="11">
        <v>62702</v>
      </c>
      <c r="B926" s="12">
        <f t="shared" ref="B926:B989" si="24">B925</f>
        <v>1264.3530000000001</v>
      </c>
      <c r="C926" s="10"/>
      <c r="E926" s="11">
        <v>62702</v>
      </c>
      <c r="F926" s="4">
        <f t="shared" si="23"/>
        <v>1264.3530000000001</v>
      </c>
    </row>
    <row r="927" spans="1:6">
      <c r="A927" s="11">
        <v>62732</v>
      </c>
      <c r="B927" s="12">
        <f t="shared" si="24"/>
        <v>1264.3530000000001</v>
      </c>
      <c r="C927" s="10"/>
      <c r="E927" s="11">
        <v>62732</v>
      </c>
      <c r="F927" s="4">
        <f t="shared" si="23"/>
        <v>1264.3530000000001</v>
      </c>
    </row>
    <row r="928" spans="1:6">
      <c r="A928" s="11">
        <v>62763</v>
      </c>
      <c r="B928" s="12">
        <f t="shared" si="24"/>
        <v>1264.3530000000001</v>
      </c>
      <c r="C928" s="10"/>
      <c r="E928" s="11">
        <v>62763</v>
      </c>
      <c r="F928" s="4">
        <f t="shared" si="23"/>
        <v>1264.3530000000001</v>
      </c>
    </row>
    <row r="929" spans="1:6">
      <c r="A929" s="11">
        <v>62793</v>
      </c>
      <c r="B929" s="12">
        <f t="shared" si="24"/>
        <v>1264.3530000000001</v>
      </c>
      <c r="C929" s="10"/>
      <c r="E929" s="11">
        <v>62793</v>
      </c>
      <c r="F929" s="4">
        <f t="shared" si="23"/>
        <v>1264.3530000000001</v>
      </c>
    </row>
    <row r="930" spans="1:6">
      <c r="A930" s="11">
        <v>62824</v>
      </c>
      <c r="B930" s="12">
        <f t="shared" si="24"/>
        <v>1264.3530000000001</v>
      </c>
      <c r="C930" s="10"/>
      <c r="E930" s="11">
        <v>62824</v>
      </c>
      <c r="F930" s="4">
        <f t="shared" si="23"/>
        <v>1264.3530000000001</v>
      </c>
    </row>
    <row r="931" spans="1:6">
      <c r="A931" s="11">
        <v>62855</v>
      </c>
      <c r="B931" s="12">
        <f t="shared" si="24"/>
        <v>1264.3530000000001</v>
      </c>
      <c r="C931" s="10"/>
      <c r="E931" s="11">
        <v>62855</v>
      </c>
      <c r="F931" s="4">
        <f t="shared" si="23"/>
        <v>1264.3530000000001</v>
      </c>
    </row>
    <row r="932" spans="1:6">
      <c r="A932" s="11">
        <v>62884</v>
      </c>
      <c r="B932" s="12">
        <f t="shared" si="24"/>
        <v>1264.3530000000001</v>
      </c>
      <c r="C932" s="10"/>
      <c r="E932" s="11">
        <v>62884</v>
      </c>
      <c r="F932" s="4">
        <f t="shared" si="23"/>
        <v>1264.3530000000001</v>
      </c>
    </row>
    <row r="933" spans="1:6">
      <c r="A933" s="11">
        <v>62915</v>
      </c>
      <c r="B933" s="12">
        <f t="shared" si="24"/>
        <v>1264.3530000000001</v>
      </c>
      <c r="C933" s="10"/>
      <c r="E933" s="11">
        <v>62915</v>
      </c>
      <c r="F933" s="4">
        <f t="shared" si="23"/>
        <v>1264.3530000000001</v>
      </c>
    </row>
    <row r="934" spans="1:6">
      <c r="A934" s="11">
        <v>62945</v>
      </c>
      <c r="B934" s="12">
        <f t="shared" si="24"/>
        <v>1264.3530000000001</v>
      </c>
      <c r="C934" s="10"/>
      <c r="E934" s="11">
        <v>62945</v>
      </c>
      <c r="F934" s="4">
        <f t="shared" si="23"/>
        <v>1264.3530000000001</v>
      </c>
    </row>
    <row r="935" spans="1:6">
      <c r="A935" s="11">
        <v>62976</v>
      </c>
      <c r="B935" s="12">
        <f t="shared" si="24"/>
        <v>1264.3530000000001</v>
      </c>
      <c r="C935" s="10"/>
      <c r="E935" s="11">
        <v>62976</v>
      </c>
      <c r="F935" s="4">
        <f t="shared" si="23"/>
        <v>1264.3530000000001</v>
      </c>
    </row>
    <row r="936" spans="1:6">
      <c r="A936" s="11">
        <v>63006</v>
      </c>
      <c r="B936" s="12">
        <f t="shared" si="24"/>
        <v>1264.3530000000001</v>
      </c>
      <c r="C936" s="10"/>
      <c r="E936" s="11">
        <v>63006</v>
      </c>
      <c r="F936" s="4">
        <f t="shared" si="23"/>
        <v>1264.3530000000001</v>
      </c>
    </row>
    <row r="937" spans="1:6">
      <c r="A937" s="11">
        <v>63037</v>
      </c>
      <c r="B937" s="12">
        <f t="shared" si="24"/>
        <v>1264.3530000000001</v>
      </c>
      <c r="C937" s="10"/>
      <c r="E937" s="11">
        <v>63037</v>
      </c>
      <c r="F937" s="4">
        <f t="shared" si="23"/>
        <v>1264.3530000000001</v>
      </c>
    </row>
    <row r="938" spans="1:6">
      <c r="A938" s="11">
        <v>63068</v>
      </c>
      <c r="B938" s="12">
        <f t="shared" si="24"/>
        <v>1264.3530000000001</v>
      </c>
      <c r="C938" s="10"/>
      <c r="E938" s="11">
        <v>63068</v>
      </c>
      <c r="F938" s="4">
        <f t="shared" si="23"/>
        <v>1264.3530000000001</v>
      </c>
    </row>
    <row r="939" spans="1:6">
      <c r="A939" s="11">
        <v>63098</v>
      </c>
      <c r="B939" s="12">
        <f t="shared" si="24"/>
        <v>1264.3530000000001</v>
      </c>
      <c r="C939" s="10"/>
      <c r="E939" s="11">
        <v>63098</v>
      </c>
      <c r="F939" s="4">
        <f t="shared" si="23"/>
        <v>1264.3530000000001</v>
      </c>
    </row>
    <row r="940" spans="1:6">
      <c r="A940" s="11">
        <v>63129</v>
      </c>
      <c r="B940" s="12">
        <f t="shared" si="24"/>
        <v>1264.3530000000001</v>
      </c>
      <c r="C940" s="10"/>
      <c r="E940" s="11">
        <v>63129</v>
      </c>
      <c r="F940" s="4">
        <f t="shared" si="23"/>
        <v>1264.3530000000001</v>
      </c>
    </row>
    <row r="941" spans="1:6">
      <c r="A941" s="11">
        <v>63159</v>
      </c>
      <c r="B941" s="12">
        <f t="shared" si="24"/>
        <v>1264.3530000000001</v>
      </c>
      <c r="C941" s="10"/>
      <c r="E941" s="11">
        <v>63159</v>
      </c>
      <c r="F941" s="4">
        <f t="shared" si="23"/>
        <v>1264.3530000000001</v>
      </c>
    </row>
    <row r="942" spans="1:6">
      <c r="A942" s="11">
        <v>63190</v>
      </c>
      <c r="B942" s="12">
        <f t="shared" si="24"/>
        <v>1264.3530000000001</v>
      </c>
      <c r="C942" s="10"/>
      <c r="E942" s="11">
        <v>63190</v>
      </c>
      <c r="F942" s="4">
        <f t="shared" si="23"/>
        <v>1264.3530000000001</v>
      </c>
    </row>
    <row r="943" spans="1:6">
      <c r="A943" s="11">
        <v>63221</v>
      </c>
      <c r="B943" s="12">
        <f t="shared" si="24"/>
        <v>1264.3530000000001</v>
      </c>
      <c r="C943" s="10"/>
      <c r="E943" s="11">
        <v>63221</v>
      </c>
      <c r="F943" s="4">
        <f t="shared" si="23"/>
        <v>1264.3530000000001</v>
      </c>
    </row>
    <row r="944" spans="1:6">
      <c r="A944" s="11">
        <v>63249</v>
      </c>
      <c r="B944" s="12">
        <f t="shared" si="24"/>
        <v>1264.3530000000001</v>
      </c>
      <c r="C944" s="10"/>
      <c r="E944" s="11">
        <v>63249</v>
      </c>
      <c r="F944" s="4">
        <f t="shared" si="23"/>
        <v>1264.3530000000001</v>
      </c>
    </row>
    <row r="945" spans="1:6">
      <c r="A945" s="11">
        <v>63280</v>
      </c>
      <c r="B945" s="12">
        <f t="shared" si="24"/>
        <v>1264.3530000000001</v>
      </c>
      <c r="C945" s="10"/>
      <c r="E945" s="11">
        <v>63280</v>
      </c>
      <c r="F945" s="4">
        <f t="shared" si="23"/>
        <v>1264.3530000000001</v>
      </c>
    </row>
    <row r="946" spans="1:6">
      <c r="A946" s="11">
        <v>63310</v>
      </c>
      <c r="B946" s="12">
        <f t="shared" si="24"/>
        <v>1264.3530000000001</v>
      </c>
      <c r="C946" s="10"/>
      <c r="E946" s="11">
        <v>63310</v>
      </c>
      <c r="F946" s="4">
        <f t="shared" si="23"/>
        <v>1264.3530000000001</v>
      </c>
    </row>
    <row r="947" spans="1:6">
      <c r="A947" s="11">
        <v>63341</v>
      </c>
      <c r="B947" s="12">
        <f t="shared" si="24"/>
        <v>1264.3530000000001</v>
      </c>
      <c r="C947" s="10"/>
      <c r="E947" s="11">
        <v>63341</v>
      </c>
      <c r="F947" s="4">
        <f t="shared" si="23"/>
        <v>1264.3530000000001</v>
      </c>
    </row>
    <row r="948" spans="1:6">
      <c r="A948" s="11">
        <v>63371</v>
      </c>
      <c r="B948" s="12">
        <f t="shared" si="24"/>
        <v>1264.3530000000001</v>
      </c>
      <c r="C948" s="10"/>
      <c r="E948" s="11">
        <v>63371</v>
      </c>
      <c r="F948" s="4">
        <f t="shared" si="23"/>
        <v>1264.3530000000001</v>
      </c>
    </row>
    <row r="949" spans="1:6">
      <c r="A949" s="11">
        <v>63402</v>
      </c>
      <c r="B949" s="12">
        <f t="shared" si="24"/>
        <v>1264.3530000000001</v>
      </c>
      <c r="C949" s="10"/>
      <c r="E949" s="11">
        <v>63402</v>
      </c>
      <c r="F949" s="4">
        <f t="shared" si="23"/>
        <v>1264.3530000000001</v>
      </c>
    </row>
    <row r="950" spans="1:6">
      <c r="A950" s="11">
        <v>63433</v>
      </c>
      <c r="B950" s="12">
        <f t="shared" si="24"/>
        <v>1264.3530000000001</v>
      </c>
      <c r="C950" s="10"/>
      <c r="E950" s="11">
        <v>63433</v>
      </c>
      <c r="F950" s="4">
        <f t="shared" si="23"/>
        <v>1264.3530000000001</v>
      </c>
    </row>
    <row r="951" spans="1:6">
      <c r="A951" s="11">
        <v>63463</v>
      </c>
      <c r="B951" s="12">
        <f t="shared" si="24"/>
        <v>1264.3530000000001</v>
      </c>
      <c r="C951" s="10"/>
      <c r="E951" s="11">
        <v>63463</v>
      </c>
      <c r="F951" s="4">
        <f t="shared" si="23"/>
        <v>1264.3530000000001</v>
      </c>
    </row>
    <row r="952" spans="1:6">
      <c r="A952" s="11">
        <v>63494</v>
      </c>
      <c r="B952" s="12">
        <f t="shared" si="24"/>
        <v>1264.3530000000001</v>
      </c>
      <c r="C952" s="10"/>
      <c r="E952" s="11">
        <v>63494</v>
      </c>
      <c r="F952" s="4">
        <f t="shared" si="23"/>
        <v>1264.3530000000001</v>
      </c>
    </row>
    <row r="953" spans="1:6">
      <c r="A953" s="11">
        <v>63524</v>
      </c>
      <c r="B953" s="12">
        <f t="shared" si="24"/>
        <v>1264.3530000000001</v>
      </c>
      <c r="C953" s="10"/>
      <c r="E953" s="11">
        <v>63524</v>
      </c>
      <c r="F953" s="4">
        <f t="shared" si="23"/>
        <v>1264.3530000000001</v>
      </c>
    </row>
    <row r="954" spans="1:6">
      <c r="A954" s="11">
        <v>63555</v>
      </c>
      <c r="B954" s="12">
        <f t="shared" si="24"/>
        <v>1264.3530000000001</v>
      </c>
      <c r="C954" s="10"/>
      <c r="E954" s="11">
        <v>63555</v>
      </c>
      <c r="F954" s="4">
        <f t="shared" si="23"/>
        <v>1264.3530000000001</v>
      </c>
    </row>
    <row r="955" spans="1:6">
      <c r="A955" s="11">
        <v>63586</v>
      </c>
      <c r="B955" s="12">
        <f t="shared" si="24"/>
        <v>1264.3530000000001</v>
      </c>
      <c r="C955" s="10"/>
      <c r="E955" s="11">
        <v>63586</v>
      </c>
      <c r="F955" s="4">
        <f t="shared" si="23"/>
        <v>1264.3530000000001</v>
      </c>
    </row>
    <row r="956" spans="1:6">
      <c r="A956" s="11">
        <v>63614</v>
      </c>
      <c r="B956" s="12">
        <f t="shared" si="24"/>
        <v>1264.3530000000001</v>
      </c>
      <c r="C956" s="10"/>
      <c r="E956" s="11">
        <v>63614</v>
      </c>
      <c r="F956" s="4">
        <f t="shared" si="23"/>
        <v>1264.3530000000001</v>
      </c>
    </row>
    <row r="957" spans="1:6">
      <c r="A957" s="11">
        <v>63645</v>
      </c>
      <c r="B957" s="12">
        <f t="shared" si="24"/>
        <v>1264.3530000000001</v>
      </c>
      <c r="C957" s="10"/>
      <c r="E957" s="11">
        <v>63645</v>
      </c>
      <c r="F957" s="4">
        <f t="shared" si="23"/>
        <v>1264.3530000000001</v>
      </c>
    </row>
    <row r="958" spans="1:6">
      <c r="A958" s="11">
        <v>63675</v>
      </c>
      <c r="B958" s="12">
        <f t="shared" si="24"/>
        <v>1264.3530000000001</v>
      </c>
      <c r="C958" s="10"/>
      <c r="E958" s="11">
        <v>63675</v>
      </c>
      <c r="F958" s="4">
        <f t="shared" si="23"/>
        <v>1264.3530000000001</v>
      </c>
    </row>
    <row r="959" spans="1:6">
      <c r="A959" s="11">
        <v>63706</v>
      </c>
      <c r="B959" s="12">
        <f t="shared" si="24"/>
        <v>1264.3530000000001</v>
      </c>
      <c r="C959" s="10"/>
      <c r="E959" s="11">
        <v>63706</v>
      </c>
      <c r="F959" s="4">
        <f t="shared" si="23"/>
        <v>1264.3530000000001</v>
      </c>
    </row>
    <row r="960" spans="1:6">
      <c r="A960" s="11">
        <v>63736</v>
      </c>
      <c r="B960" s="12">
        <f t="shared" si="24"/>
        <v>1264.3530000000001</v>
      </c>
      <c r="C960" s="10"/>
      <c r="E960" s="11">
        <v>63736</v>
      </c>
      <c r="F960" s="4">
        <f t="shared" si="23"/>
        <v>1264.3530000000001</v>
      </c>
    </row>
    <row r="961" spans="1:6">
      <c r="A961" s="11">
        <v>63767</v>
      </c>
      <c r="B961" s="12">
        <f t="shared" si="24"/>
        <v>1264.3530000000001</v>
      </c>
      <c r="C961" s="10"/>
      <c r="E961" s="11">
        <v>63767</v>
      </c>
      <c r="F961" s="4">
        <f t="shared" si="23"/>
        <v>1264.3530000000001</v>
      </c>
    </row>
    <row r="962" spans="1:6">
      <c r="A962" s="11">
        <v>63798</v>
      </c>
      <c r="B962" s="12">
        <f t="shared" si="24"/>
        <v>1264.3530000000001</v>
      </c>
      <c r="C962" s="10"/>
      <c r="E962" s="11">
        <v>63798</v>
      </c>
      <c r="F962" s="4">
        <f t="shared" si="23"/>
        <v>1264.3530000000001</v>
      </c>
    </row>
    <row r="963" spans="1:6">
      <c r="A963" s="11">
        <v>63828</v>
      </c>
      <c r="B963" s="12">
        <f t="shared" si="24"/>
        <v>1264.3530000000001</v>
      </c>
      <c r="C963" s="10"/>
      <c r="E963" s="11">
        <v>63828</v>
      </c>
      <c r="F963" s="4">
        <f t="shared" ref="F963:F1026" si="25">B962</f>
        <v>1264.3530000000001</v>
      </c>
    </row>
    <row r="964" spans="1:6">
      <c r="A964" s="11">
        <v>63859</v>
      </c>
      <c r="B964" s="12">
        <f t="shared" si="24"/>
        <v>1264.3530000000001</v>
      </c>
      <c r="C964" s="10"/>
      <c r="E964" s="11">
        <v>63859</v>
      </c>
      <c r="F964" s="4">
        <f t="shared" si="25"/>
        <v>1264.3530000000001</v>
      </c>
    </row>
    <row r="965" spans="1:6">
      <c r="A965" s="11">
        <v>63889</v>
      </c>
      <c r="B965" s="12">
        <f t="shared" si="24"/>
        <v>1264.3530000000001</v>
      </c>
      <c r="C965" s="10"/>
      <c r="E965" s="11">
        <v>63889</v>
      </c>
      <c r="F965" s="4">
        <f t="shared" si="25"/>
        <v>1264.3530000000001</v>
      </c>
    </row>
    <row r="966" spans="1:6">
      <c r="A966" s="11">
        <v>63920</v>
      </c>
      <c r="B966" s="12">
        <f t="shared" si="24"/>
        <v>1264.3530000000001</v>
      </c>
      <c r="C966" s="10"/>
      <c r="E966" s="11">
        <v>63920</v>
      </c>
      <c r="F966" s="4">
        <f t="shared" si="25"/>
        <v>1264.3530000000001</v>
      </c>
    </row>
    <row r="967" spans="1:6">
      <c r="A967" s="11">
        <v>63951</v>
      </c>
      <c r="B967" s="12">
        <f t="shared" si="24"/>
        <v>1264.3530000000001</v>
      </c>
      <c r="C967" s="10"/>
      <c r="E967" s="11">
        <v>63951</v>
      </c>
      <c r="F967" s="4">
        <f t="shared" si="25"/>
        <v>1264.3530000000001</v>
      </c>
    </row>
    <row r="968" spans="1:6">
      <c r="A968" s="11">
        <v>63979</v>
      </c>
      <c r="B968" s="12">
        <f t="shared" si="24"/>
        <v>1264.3530000000001</v>
      </c>
      <c r="C968" s="10"/>
      <c r="E968" s="11">
        <v>63979</v>
      </c>
      <c r="F968" s="4">
        <f t="shared" si="25"/>
        <v>1264.3530000000001</v>
      </c>
    </row>
    <row r="969" spans="1:6">
      <c r="A969" s="11">
        <v>64010</v>
      </c>
      <c r="B969" s="12">
        <f t="shared" si="24"/>
        <v>1264.3530000000001</v>
      </c>
      <c r="C969" s="10"/>
      <c r="E969" s="11">
        <v>64010</v>
      </c>
      <c r="F969" s="4">
        <f t="shared" si="25"/>
        <v>1264.3530000000001</v>
      </c>
    </row>
    <row r="970" spans="1:6">
      <c r="A970" s="11">
        <v>64040</v>
      </c>
      <c r="B970" s="12">
        <f t="shared" si="24"/>
        <v>1264.3530000000001</v>
      </c>
      <c r="C970" s="10"/>
      <c r="E970" s="11">
        <v>64040</v>
      </c>
      <c r="F970" s="4">
        <f t="shared" si="25"/>
        <v>1264.3530000000001</v>
      </c>
    </row>
    <row r="971" spans="1:6">
      <c r="A971" s="11">
        <v>64071</v>
      </c>
      <c r="B971" s="12">
        <f t="shared" si="24"/>
        <v>1264.3530000000001</v>
      </c>
      <c r="C971" s="10"/>
      <c r="E971" s="11">
        <v>64071</v>
      </c>
      <c r="F971" s="4">
        <f t="shared" si="25"/>
        <v>1264.3530000000001</v>
      </c>
    </row>
    <row r="972" spans="1:6">
      <c r="A972" s="11">
        <v>64101</v>
      </c>
      <c r="B972" s="12">
        <f t="shared" si="24"/>
        <v>1264.3530000000001</v>
      </c>
      <c r="C972" s="10"/>
      <c r="E972" s="11">
        <v>64101</v>
      </c>
      <c r="F972" s="4">
        <f t="shared" si="25"/>
        <v>1264.3530000000001</v>
      </c>
    </row>
    <row r="973" spans="1:6">
      <c r="A973" s="11">
        <v>64132</v>
      </c>
      <c r="B973" s="12">
        <f t="shared" si="24"/>
        <v>1264.3530000000001</v>
      </c>
      <c r="C973" s="10"/>
      <c r="E973" s="11">
        <v>64132</v>
      </c>
      <c r="F973" s="4">
        <f t="shared" si="25"/>
        <v>1264.3530000000001</v>
      </c>
    </row>
    <row r="974" spans="1:6">
      <c r="A974" s="11">
        <v>64163</v>
      </c>
      <c r="B974" s="12">
        <f t="shared" si="24"/>
        <v>1264.3530000000001</v>
      </c>
      <c r="C974" s="10"/>
      <c r="E974" s="11">
        <v>64163</v>
      </c>
      <c r="F974" s="4">
        <f t="shared" si="25"/>
        <v>1264.3530000000001</v>
      </c>
    </row>
    <row r="975" spans="1:6">
      <c r="A975" s="11">
        <v>64193</v>
      </c>
      <c r="B975" s="12">
        <f t="shared" si="24"/>
        <v>1264.3530000000001</v>
      </c>
      <c r="C975" s="10"/>
      <c r="E975" s="11">
        <v>64193</v>
      </c>
      <c r="F975" s="4">
        <f t="shared" si="25"/>
        <v>1264.3530000000001</v>
      </c>
    </row>
    <row r="976" spans="1:6">
      <c r="A976" s="11">
        <v>64224</v>
      </c>
      <c r="B976" s="12">
        <f t="shared" si="24"/>
        <v>1264.3530000000001</v>
      </c>
      <c r="C976" s="10"/>
      <c r="E976" s="11">
        <v>64224</v>
      </c>
      <c r="F976" s="4">
        <f t="shared" si="25"/>
        <v>1264.3530000000001</v>
      </c>
    </row>
    <row r="977" spans="1:6">
      <c r="A977" s="11">
        <v>64254</v>
      </c>
      <c r="B977" s="12">
        <f t="shared" si="24"/>
        <v>1264.3530000000001</v>
      </c>
      <c r="C977" s="10"/>
      <c r="E977" s="11">
        <v>64254</v>
      </c>
      <c r="F977" s="4">
        <f t="shared" si="25"/>
        <v>1264.3530000000001</v>
      </c>
    </row>
    <row r="978" spans="1:6">
      <c r="A978" s="11">
        <v>64285</v>
      </c>
      <c r="B978" s="12">
        <f t="shared" si="24"/>
        <v>1264.3530000000001</v>
      </c>
      <c r="C978" s="10"/>
      <c r="E978" s="11">
        <v>64285</v>
      </c>
      <c r="F978" s="4">
        <f t="shared" si="25"/>
        <v>1264.3530000000001</v>
      </c>
    </row>
    <row r="979" spans="1:6">
      <c r="A979" s="11">
        <v>64316</v>
      </c>
      <c r="B979" s="12">
        <f t="shared" si="24"/>
        <v>1264.3530000000001</v>
      </c>
      <c r="C979" s="10"/>
      <c r="E979" s="11">
        <v>64316</v>
      </c>
      <c r="F979" s="4">
        <f t="shared" si="25"/>
        <v>1264.3530000000001</v>
      </c>
    </row>
    <row r="980" spans="1:6">
      <c r="A980" s="11">
        <v>64345</v>
      </c>
      <c r="B980" s="12">
        <f t="shared" si="24"/>
        <v>1264.3530000000001</v>
      </c>
      <c r="C980" s="10"/>
      <c r="E980" s="11">
        <v>64345</v>
      </c>
      <c r="F980" s="4">
        <f t="shared" si="25"/>
        <v>1264.3530000000001</v>
      </c>
    </row>
    <row r="981" spans="1:6">
      <c r="A981" s="11">
        <v>64376</v>
      </c>
      <c r="B981" s="12">
        <f t="shared" si="24"/>
        <v>1264.3530000000001</v>
      </c>
      <c r="C981" s="10"/>
      <c r="E981" s="11">
        <v>64376</v>
      </c>
      <c r="F981" s="4">
        <f t="shared" si="25"/>
        <v>1264.3530000000001</v>
      </c>
    </row>
    <row r="982" spans="1:6">
      <c r="A982" s="11">
        <v>64406</v>
      </c>
      <c r="B982" s="12">
        <f t="shared" si="24"/>
        <v>1264.3530000000001</v>
      </c>
      <c r="C982" s="10"/>
      <c r="E982" s="11">
        <v>64406</v>
      </c>
      <c r="F982" s="4">
        <f t="shared" si="25"/>
        <v>1264.3530000000001</v>
      </c>
    </row>
    <row r="983" spans="1:6">
      <c r="A983" s="11">
        <v>64437</v>
      </c>
      <c r="B983" s="12">
        <f t="shared" si="24"/>
        <v>1264.3530000000001</v>
      </c>
      <c r="C983" s="10"/>
      <c r="E983" s="11">
        <v>64437</v>
      </c>
      <c r="F983" s="4">
        <f t="shared" si="25"/>
        <v>1264.3530000000001</v>
      </c>
    </row>
    <row r="984" spans="1:6">
      <c r="A984" s="11">
        <v>64467</v>
      </c>
      <c r="B984" s="12">
        <f t="shared" si="24"/>
        <v>1264.3530000000001</v>
      </c>
      <c r="C984" s="10"/>
      <c r="E984" s="11">
        <v>64467</v>
      </c>
      <c r="F984" s="4">
        <f t="shared" si="25"/>
        <v>1264.3530000000001</v>
      </c>
    </row>
    <row r="985" spans="1:6">
      <c r="A985" s="11">
        <v>64498</v>
      </c>
      <c r="B985" s="12">
        <f t="shared" si="24"/>
        <v>1264.3530000000001</v>
      </c>
      <c r="C985" s="10"/>
      <c r="E985" s="11">
        <v>64498</v>
      </c>
      <c r="F985" s="4">
        <f t="shared" si="25"/>
        <v>1264.3530000000001</v>
      </c>
    </row>
    <row r="986" spans="1:6">
      <c r="A986" s="11">
        <v>64529</v>
      </c>
      <c r="B986" s="12">
        <f t="shared" si="24"/>
        <v>1264.3530000000001</v>
      </c>
      <c r="C986" s="10"/>
      <c r="E986" s="11">
        <v>64529</v>
      </c>
      <c r="F986" s="4">
        <f t="shared" si="25"/>
        <v>1264.3530000000001</v>
      </c>
    </row>
    <row r="987" spans="1:6">
      <c r="A987" s="11">
        <v>64559</v>
      </c>
      <c r="B987" s="12">
        <f t="shared" si="24"/>
        <v>1264.3530000000001</v>
      </c>
      <c r="C987" s="10"/>
      <c r="E987" s="11">
        <v>64559</v>
      </c>
      <c r="F987" s="4">
        <f t="shared" si="25"/>
        <v>1264.3530000000001</v>
      </c>
    </row>
    <row r="988" spans="1:6">
      <c r="A988" s="11">
        <v>64590</v>
      </c>
      <c r="B988" s="12">
        <f t="shared" si="24"/>
        <v>1264.3530000000001</v>
      </c>
      <c r="C988" s="10"/>
      <c r="E988" s="11">
        <v>64590</v>
      </c>
      <c r="F988" s="4">
        <f t="shared" si="25"/>
        <v>1264.3530000000001</v>
      </c>
    </row>
    <row r="989" spans="1:6">
      <c r="A989" s="11">
        <v>64620</v>
      </c>
      <c r="B989" s="12">
        <f t="shared" si="24"/>
        <v>1264.3530000000001</v>
      </c>
      <c r="C989" s="10"/>
      <c r="E989" s="11">
        <v>64620</v>
      </c>
      <c r="F989" s="4">
        <f t="shared" si="25"/>
        <v>1264.3530000000001</v>
      </c>
    </row>
    <row r="990" spans="1:6">
      <c r="A990" s="11">
        <v>64651</v>
      </c>
      <c r="B990" s="12">
        <f t="shared" ref="B990:B1053" si="26">B989</f>
        <v>1264.3530000000001</v>
      </c>
      <c r="C990" s="10"/>
      <c r="E990" s="11">
        <v>64651</v>
      </c>
      <c r="F990" s="4">
        <f t="shared" si="25"/>
        <v>1264.3530000000001</v>
      </c>
    </row>
    <row r="991" spans="1:6">
      <c r="A991" s="11">
        <v>64682</v>
      </c>
      <c r="B991" s="12">
        <f t="shared" si="26"/>
        <v>1264.3530000000001</v>
      </c>
      <c r="C991" s="10"/>
      <c r="E991" s="11">
        <v>64682</v>
      </c>
      <c r="F991" s="4">
        <f t="shared" si="25"/>
        <v>1264.3530000000001</v>
      </c>
    </row>
    <row r="992" spans="1:6">
      <c r="A992" s="11">
        <v>64710</v>
      </c>
      <c r="B992" s="12">
        <f t="shared" si="26"/>
        <v>1264.3530000000001</v>
      </c>
      <c r="C992" s="10"/>
      <c r="E992" s="11">
        <v>64710</v>
      </c>
      <c r="F992" s="4">
        <f t="shared" si="25"/>
        <v>1264.3530000000001</v>
      </c>
    </row>
    <row r="993" spans="1:6">
      <c r="A993" s="11">
        <v>64741</v>
      </c>
      <c r="B993" s="12">
        <f t="shared" si="26"/>
        <v>1264.3530000000001</v>
      </c>
      <c r="C993" s="10"/>
      <c r="E993" s="11">
        <v>64741</v>
      </c>
      <c r="F993" s="4">
        <f t="shared" si="25"/>
        <v>1264.3530000000001</v>
      </c>
    </row>
    <row r="994" spans="1:6">
      <c r="A994" s="11">
        <v>64771</v>
      </c>
      <c r="B994" s="12">
        <f t="shared" si="26"/>
        <v>1264.3530000000001</v>
      </c>
      <c r="C994" s="10"/>
      <c r="E994" s="11">
        <v>64771</v>
      </c>
      <c r="F994" s="4">
        <f t="shared" si="25"/>
        <v>1264.3530000000001</v>
      </c>
    </row>
    <row r="995" spans="1:6">
      <c r="A995" s="11">
        <v>64802</v>
      </c>
      <c r="B995" s="12">
        <f t="shared" si="26"/>
        <v>1264.3530000000001</v>
      </c>
      <c r="C995" s="10"/>
      <c r="E995" s="11">
        <v>64802</v>
      </c>
      <c r="F995" s="4">
        <f t="shared" si="25"/>
        <v>1264.3530000000001</v>
      </c>
    </row>
    <row r="996" spans="1:6">
      <c r="A996" s="11">
        <v>64832</v>
      </c>
      <c r="B996" s="12">
        <f t="shared" si="26"/>
        <v>1264.3530000000001</v>
      </c>
      <c r="C996" s="10"/>
      <c r="E996" s="11">
        <v>64832</v>
      </c>
      <c r="F996" s="4">
        <f t="shared" si="25"/>
        <v>1264.3530000000001</v>
      </c>
    </row>
    <row r="997" spans="1:6">
      <c r="A997" s="11">
        <v>64863</v>
      </c>
      <c r="B997" s="12">
        <f t="shared" si="26"/>
        <v>1264.3530000000001</v>
      </c>
      <c r="C997" s="10"/>
      <c r="E997" s="11">
        <v>64863</v>
      </c>
      <c r="F997" s="4">
        <f t="shared" si="25"/>
        <v>1264.3530000000001</v>
      </c>
    </row>
    <row r="998" spans="1:6">
      <c r="A998" s="11">
        <v>64894</v>
      </c>
      <c r="B998" s="12">
        <f t="shared" si="26"/>
        <v>1264.3530000000001</v>
      </c>
      <c r="C998" s="10"/>
      <c r="E998" s="11">
        <v>64894</v>
      </c>
      <c r="F998" s="4">
        <f t="shared" si="25"/>
        <v>1264.3530000000001</v>
      </c>
    </row>
    <row r="999" spans="1:6">
      <c r="A999" s="11">
        <v>64924</v>
      </c>
      <c r="B999" s="12">
        <f t="shared" si="26"/>
        <v>1264.3530000000001</v>
      </c>
      <c r="C999" s="10"/>
      <c r="E999" s="11">
        <v>64924</v>
      </c>
      <c r="F999" s="4">
        <f t="shared" si="25"/>
        <v>1264.3530000000001</v>
      </c>
    </row>
    <row r="1000" spans="1:6">
      <c r="A1000" s="11">
        <v>64955</v>
      </c>
      <c r="B1000" s="12">
        <f t="shared" si="26"/>
        <v>1264.3530000000001</v>
      </c>
      <c r="C1000" s="10"/>
      <c r="E1000" s="11">
        <v>64955</v>
      </c>
      <c r="F1000" s="4">
        <f t="shared" si="25"/>
        <v>1264.3530000000001</v>
      </c>
    </row>
    <row r="1001" spans="1:6">
      <c r="A1001" s="11">
        <v>64985</v>
      </c>
      <c r="B1001" s="12">
        <f t="shared" si="26"/>
        <v>1264.3530000000001</v>
      </c>
      <c r="C1001" s="10"/>
      <c r="E1001" s="11">
        <v>64985</v>
      </c>
      <c r="F1001" s="4">
        <f t="shared" si="25"/>
        <v>1264.3530000000001</v>
      </c>
    </row>
    <row r="1002" spans="1:6">
      <c r="A1002" s="11">
        <v>65016</v>
      </c>
      <c r="B1002" s="12">
        <f t="shared" si="26"/>
        <v>1264.3530000000001</v>
      </c>
      <c r="C1002" s="10"/>
      <c r="E1002" s="11">
        <v>65016</v>
      </c>
      <c r="F1002" s="4">
        <f t="shared" si="25"/>
        <v>1264.3530000000001</v>
      </c>
    </row>
    <row r="1003" spans="1:6">
      <c r="A1003" s="11">
        <v>65047</v>
      </c>
      <c r="B1003" s="12">
        <f t="shared" si="26"/>
        <v>1264.3530000000001</v>
      </c>
      <c r="C1003" s="10"/>
      <c r="E1003" s="11">
        <v>65047</v>
      </c>
      <c r="F1003" s="4">
        <f t="shared" si="25"/>
        <v>1264.3530000000001</v>
      </c>
    </row>
    <row r="1004" spans="1:6">
      <c r="A1004" s="11">
        <v>65075</v>
      </c>
      <c r="B1004" s="12">
        <f t="shared" si="26"/>
        <v>1264.3530000000001</v>
      </c>
      <c r="C1004" s="10"/>
      <c r="E1004" s="11">
        <v>65075</v>
      </c>
      <c r="F1004" s="4">
        <f t="shared" si="25"/>
        <v>1264.3530000000001</v>
      </c>
    </row>
    <row r="1005" spans="1:6">
      <c r="A1005" s="11">
        <v>65106</v>
      </c>
      <c r="B1005" s="12">
        <f t="shared" si="26"/>
        <v>1264.3530000000001</v>
      </c>
      <c r="C1005" s="10"/>
      <c r="E1005" s="11">
        <v>65106</v>
      </c>
      <c r="F1005" s="4">
        <f t="shared" si="25"/>
        <v>1264.3530000000001</v>
      </c>
    </row>
    <row r="1006" spans="1:6">
      <c r="A1006" s="11">
        <v>65136</v>
      </c>
      <c r="B1006" s="12">
        <f t="shared" si="26"/>
        <v>1264.3530000000001</v>
      </c>
      <c r="C1006" s="10"/>
      <c r="E1006" s="11">
        <v>65136</v>
      </c>
      <c r="F1006" s="4">
        <f t="shared" si="25"/>
        <v>1264.3530000000001</v>
      </c>
    </row>
    <row r="1007" spans="1:6">
      <c r="A1007" s="11">
        <v>65167</v>
      </c>
      <c r="B1007" s="12">
        <f t="shared" si="26"/>
        <v>1264.3530000000001</v>
      </c>
      <c r="C1007" s="10"/>
      <c r="E1007" s="11">
        <v>65167</v>
      </c>
      <c r="F1007" s="4">
        <f t="shared" si="25"/>
        <v>1264.3530000000001</v>
      </c>
    </row>
    <row r="1008" spans="1:6">
      <c r="A1008" s="11">
        <v>65197</v>
      </c>
      <c r="B1008" s="12">
        <f t="shared" si="26"/>
        <v>1264.3530000000001</v>
      </c>
      <c r="C1008" s="10"/>
      <c r="E1008" s="11">
        <v>65197</v>
      </c>
      <c r="F1008" s="4">
        <f t="shared" si="25"/>
        <v>1264.3530000000001</v>
      </c>
    </row>
    <row r="1009" spans="1:6">
      <c r="A1009" s="11">
        <v>65228</v>
      </c>
      <c r="B1009" s="12">
        <f t="shared" si="26"/>
        <v>1264.3530000000001</v>
      </c>
      <c r="C1009" s="10"/>
      <c r="E1009" s="11">
        <v>65228</v>
      </c>
      <c r="F1009" s="4">
        <f t="shared" si="25"/>
        <v>1264.3530000000001</v>
      </c>
    </row>
    <row r="1010" spans="1:6">
      <c r="A1010" s="11">
        <v>65259</v>
      </c>
      <c r="B1010" s="12">
        <f t="shared" si="26"/>
        <v>1264.3530000000001</v>
      </c>
      <c r="C1010" s="10"/>
      <c r="E1010" s="11">
        <v>65259</v>
      </c>
      <c r="F1010" s="4">
        <f t="shared" si="25"/>
        <v>1264.3530000000001</v>
      </c>
    </row>
    <row r="1011" spans="1:6">
      <c r="A1011" s="11">
        <v>65289</v>
      </c>
      <c r="B1011" s="12">
        <f t="shared" si="26"/>
        <v>1264.3530000000001</v>
      </c>
      <c r="C1011" s="10"/>
      <c r="E1011" s="11">
        <v>65289</v>
      </c>
      <c r="F1011" s="4">
        <f t="shared" si="25"/>
        <v>1264.3530000000001</v>
      </c>
    </row>
    <row r="1012" spans="1:6">
      <c r="A1012" s="11">
        <v>65320</v>
      </c>
      <c r="B1012" s="12">
        <f t="shared" si="26"/>
        <v>1264.3530000000001</v>
      </c>
      <c r="C1012" s="10"/>
      <c r="E1012" s="11">
        <v>65320</v>
      </c>
      <c r="F1012" s="4">
        <f t="shared" si="25"/>
        <v>1264.3530000000001</v>
      </c>
    </row>
    <row r="1013" spans="1:6">
      <c r="A1013" s="11">
        <v>65350</v>
      </c>
      <c r="B1013" s="12">
        <f t="shared" si="26"/>
        <v>1264.3530000000001</v>
      </c>
      <c r="C1013" s="10"/>
      <c r="E1013" s="11">
        <v>65350</v>
      </c>
      <c r="F1013" s="4">
        <f t="shared" si="25"/>
        <v>1264.3530000000001</v>
      </c>
    </row>
    <row r="1014" spans="1:6">
      <c r="A1014" s="11">
        <v>65381</v>
      </c>
      <c r="B1014" s="12">
        <f t="shared" si="26"/>
        <v>1264.3530000000001</v>
      </c>
      <c r="C1014" s="10"/>
      <c r="E1014" s="11">
        <v>65381</v>
      </c>
      <c r="F1014" s="4">
        <f t="shared" si="25"/>
        <v>1264.3530000000001</v>
      </c>
    </row>
    <row r="1015" spans="1:6">
      <c r="A1015" s="11">
        <v>65412</v>
      </c>
      <c r="B1015" s="12">
        <f t="shared" si="26"/>
        <v>1264.3530000000001</v>
      </c>
      <c r="C1015" s="10"/>
      <c r="E1015" s="11">
        <v>65412</v>
      </c>
      <c r="F1015" s="4">
        <f t="shared" si="25"/>
        <v>1264.3530000000001</v>
      </c>
    </row>
    <row r="1016" spans="1:6">
      <c r="A1016" s="11">
        <v>65440</v>
      </c>
      <c r="B1016" s="12">
        <f t="shared" si="26"/>
        <v>1264.3530000000001</v>
      </c>
      <c r="C1016" s="10"/>
      <c r="E1016" s="11">
        <v>65440</v>
      </c>
      <c r="F1016" s="4">
        <f t="shared" si="25"/>
        <v>1264.3530000000001</v>
      </c>
    </row>
    <row r="1017" spans="1:6">
      <c r="A1017" s="11">
        <v>65471</v>
      </c>
      <c r="B1017" s="12">
        <f t="shared" si="26"/>
        <v>1264.3530000000001</v>
      </c>
      <c r="C1017" s="10"/>
      <c r="E1017" s="11">
        <v>65471</v>
      </c>
      <c r="F1017" s="4">
        <f t="shared" si="25"/>
        <v>1264.3530000000001</v>
      </c>
    </row>
    <row r="1018" spans="1:6">
      <c r="A1018" s="11">
        <v>65501</v>
      </c>
      <c r="B1018" s="12">
        <f t="shared" si="26"/>
        <v>1264.3530000000001</v>
      </c>
      <c r="C1018" s="10"/>
      <c r="E1018" s="11">
        <v>65501</v>
      </c>
      <c r="F1018" s="4">
        <f t="shared" si="25"/>
        <v>1264.3530000000001</v>
      </c>
    </row>
    <row r="1019" spans="1:6">
      <c r="A1019" s="11">
        <v>65532</v>
      </c>
      <c r="B1019" s="12">
        <f t="shared" si="26"/>
        <v>1264.3530000000001</v>
      </c>
      <c r="C1019" s="10"/>
      <c r="E1019" s="11">
        <v>65532</v>
      </c>
      <c r="F1019" s="4">
        <f t="shared" si="25"/>
        <v>1264.3530000000001</v>
      </c>
    </row>
    <row r="1020" spans="1:6">
      <c r="A1020" s="11">
        <v>65562</v>
      </c>
      <c r="B1020" s="12">
        <f t="shared" si="26"/>
        <v>1264.3530000000001</v>
      </c>
      <c r="C1020" s="10"/>
      <c r="E1020" s="11">
        <v>65562</v>
      </c>
      <c r="F1020" s="4">
        <f t="shared" si="25"/>
        <v>1264.3530000000001</v>
      </c>
    </row>
    <row r="1021" spans="1:6">
      <c r="A1021" s="11">
        <v>65593</v>
      </c>
      <c r="B1021" s="12">
        <f t="shared" si="26"/>
        <v>1264.3530000000001</v>
      </c>
      <c r="C1021" s="10"/>
      <c r="E1021" s="11">
        <v>65593</v>
      </c>
      <c r="F1021" s="4">
        <f t="shared" si="25"/>
        <v>1264.3530000000001</v>
      </c>
    </row>
    <row r="1022" spans="1:6">
      <c r="A1022" s="11">
        <v>65624</v>
      </c>
      <c r="B1022" s="12">
        <f t="shared" si="26"/>
        <v>1264.3530000000001</v>
      </c>
      <c r="C1022" s="10"/>
      <c r="E1022" s="11">
        <v>65624</v>
      </c>
      <c r="F1022" s="4">
        <f t="shared" si="25"/>
        <v>1264.3530000000001</v>
      </c>
    </row>
    <row r="1023" spans="1:6">
      <c r="A1023" s="11">
        <v>65654</v>
      </c>
      <c r="B1023" s="12">
        <f t="shared" si="26"/>
        <v>1264.3530000000001</v>
      </c>
      <c r="C1023" s="10"/>
      <c r="E1023" s="11">
        <v>65654</v>
      </c>
      <c r="F1023" s="4">
        <f t="shared" si="25"/>
        <v>1264.3530000000001</v>
      </c>
    </row>
    <row r="1024" spans="1:6">
      <c r="A1024" s="11">
        <v>65685</v>
      </c>
      <c r="B1024" s="12">
        <f t="shared" si="26"/>
        <v>1264.3530000000001</v>
      </c>
      <c r="C1024" s="10"/>
      <c r="E1024" s="11">
        <v>65685</v>
      </c>
      <c r="F1024" s="4">
        <f t="shared" si="25"/>
        <v>1264.3530000000001</v>
      </c>
    </row>
    <row r="1025" spans="1:6">
      <c r="A1025" s="11">
        <v>65715</v>
      </c>
      <c r="B1025" s="12">
        <f t="shared" si="26"/>
        <v>1264.3530000000001</v>
      </c>
      <c r="C1025" s="10"/>
      <c r="E1025" s="11">
        <v>65715</v>
      </c>
      <c r="F1025" s="4">
        <f t="shared" si="25"/>
        <v>1264.3530000000001</v>
      </c>
    </row>
    <row r="1026" spans="1:6">
      <c r="A1026" s="11">
        <v>65746</v>
      </c>
      <c r="B1026" s="12">
        <f t="shared" si="26"/>
        <v>1264.3530000000001</v>
      </c>
      <c r="C1026" s="10"/>
      <c r="E1026" s="11">
        <v>65746</v>
      </c>
      <c r="F1026" s="4">
        <f t="shared" si="25"/>
        <v>1264.3530000000001</v>
      </c>
    </row>
    <row r="1027" spans="1:6">
      <c r="A1027" s="11">
        <v>65777</v>
      </c>
      <c r="B1027" s="12">
        <f t="shared" si="26"/>
        <v>1264.3530000000001</v>
      </c>
      <c r="C1027" s="10"/>
      <c r="E1027" s="11">
        <v>65777</v>
      </c>
      <c r="F1027" s="4">
        <f t="shared" ref="F1027:F1090" si="27">B1026</f>
        <v>1264.3530000000001</v>
      </c>
    </row>
    <row r="1028" spans="1:6">
      <c r="A1028" s="11">
        <v>65806</v>
      </c>
      <c r="B1028" s="12">
        <f t="shared" si="26"/>
        <v>1264.3530000000001</v>
      </c>
      <c r="C1028" s="10"/>
      <c r="E1028" s="11">
        <v>65806</v>
      </c>
      <c r="F1028" s="4">
        <f t="shared" si="27"/>
        <v>1264.3530000000001</v>
      </c>
    </row>
    <row r="1029" spans="1:6">
      <c r="A1029" s="11">
        <v>65837</v>
      </c>
      <c r="B1029" s="12">
        <f t="shared" si="26"/>
        <v>1264.3530000000001</v>
      </c>
      <c r="C1029" s="10"/>
      <c r="E1029" s="11">
        <v>65837</v>
      </c>
      <c r="F1029" s="4">
        <f t="shared" si="27"/>
        <v>1264.3530000000001</v>
      </c>
    </row>
    <row r="1030" spans="1:6">
      <c r="A1030" s="11">
        <v>65867</v>
      </c>
      <c r="B1030" s="12">
        <f t="shared" si="26"/>
        <v>1264.3530000000001</v>
      </c>
      <c r="C1030" s="10"/>
      <c r="E1030" s="11">
        <v>65867</v>
      </c>
      <c r="F1030" s="4">
        <f t="shared" si="27"/>
        <v>1264.3530000000001</v>
      </c>
    </row>
    <row r="1031" spans="1:6">
      <c r="A1031" s="11">
        <v>65898</v>
      </c>
      <c r="B1031" s="12">
        <f t="shared" si="26"/>
        <v>1264.3530000000001</v>
      </c>
      <c r="C1031" s="10"/>
      <c r="E1031" s="11">
        <v>65898</v>
      </c>
      <c r="F1031" s="4">
        <f t="shared" si="27"/>
        <v>1264.3530000000001</v>
      </c>
    </row>
    <row r="1032" spans="1:6">
      <c r="A1032" s="11">
        <v>65928</v>
      </c>
      <c r="B1032" s="12">
        <f t="shared" si="26"/>
        <v>1264.3530000000001</v>
      </c>
      <c r="C1032" s="10"/>
      <c r="E1032" s="11">
        <v>65928</v>
      </c>
      <c r="F1032" s="4">
        <f t="shared" si="27"/>
        <v>1264.3530000000001</v>
      </c>
    </row>
    <row r="1033" spans="1:6">
      <c r="A1033" s="11">
        <v>65959</v>
      </c>
      <c r="B1033" s="12">
        <f t="shared" si="26"/>
        <v>1264.3530000000001</v>
      </c>
      <c r="C1033" s="10"/>
      <c r="E1033" s="11">
        <v>65959</v>
      </c>
      <c r="F1033" s="4">
        <f t="shared" si="27"/>
        <v>1264.3530000000001</v>
      </c>
    </row>
    <row r="1034" spans="1:6">
      <c r="A1034" s="11">
        <v>65990</v>
      </c>
      <c r="B1034" s="12">
        <f t="shared" si="26"/>
        <v>1264.3530000000001</v>
      </c>
      <c r="C1034" s="10"/>
      <c r="E1034" s="11">
        <v>65990</v>
      </c>
      <c r="F1034" s="4">
        <f t="shared" si="27"/>
        <v>1264.3530000000001</v>
      </c>
    </row>
    <row r="1035" spans="1:6">
      <c r="A1035" s="11">
        <v>66020</v>
      </c>
      <c r="B1035" s="12">
        <f t="shared" si="26"/>
        <v>1264.3530000000001</v>
      </c>
      <c r="C1035" s="10"/>
      <c r="E1035" s="11">
        <v>66020</v>
      </c>
      <c r="F1035" s="4">
        <f t="shared" si="27"/>
        <v>1264.3530000000001</v>
      </c>
    </row>
    <row r="1036" spans="1:6">
      <c r="A1036" s="11">
        <v>66051</v>
      </c>
      <c r="B1036" s="12">
        <f t="shared" si="26"/>
        <v>1264.3530000000001</v>
      </c>
      <c r="C1036" s="10"/>
      <c r="E1036" s="11">
        <v>66051</v>
      </c>
      <c r="F1036" s="4">
        <f t="shared" si="27"/>
        <v>1264.3530000000001</v>
      </c>
    </row>
    <row r="1037" spans="1:6">
      <c r="A1037" s="11">
        <v>66081</v>
      </c>
      <c r="B1037" s="12">
        <f t="shared" si="26"/>
        <v>1264.3530000000001</v>
      </c>
      <c r="C1037" s="10"/>
      <c r="E1037" s="11">
        <v>66081</v>
      </c>
      <c r="F1037" s="4">
        <f t="shared" si="27"/>
        <v>1264.3530000000001</v>
      </c>
    </row>
    <row r="1038" spans="1:6">
      <c r="A1038" s="11">
        <v>66112</v>
      </c>
      <c r="B1038" s="12">
        <f t="shared" si="26"/>
        <v>1264.3530000000001</v>
      </c>
      <c r="C1038" s="10"/>
      <c r="E1038" s="11">
        <v>66112</v>
      </c>
      <c r="F1038" s="4">
        <f t="shared" si="27"/>
        <v>1264.3530000000001</v>
      </c>
    </row>
    <row r="1039" spans="1:6">
      <c r="A1039" s="11">
        <v>66143</v>
      </c>
      <c r="B1039" s="12">
        <f t="shared" si="26"/>
        <v>1264.3530000000001</v>
      </c>
      <c r="C1039" s="10"/>
      <c r="E1039" s="11">
        <v>66143</v>
      </c>
      <c r="F1039" s="4">
        <f t="shared" si="27"/>
        <v>1264.3530000000001</v>
      </c>
    </row>
    <row r="1040" spans="1:6">
      <c r="A1040" s="11">
        <v>66171</v>
      </c>
      <c r="B1040" s="12">
        <f t="shared" si="26"/>
        <v>1264.3530000000001</v>
      </c>
      <c r="C1040" s="10"/>
      <c r="E1040" s="11">
        <v>66171</v>
      </c>
      <c r="F1040" s="4">
        <f t="shared" si="27"/>
        <v>1264.3530000000001</v>
      </c>
    </row>
    <row r="1041" spans="1:6">
      <c r="A1041" s="11">
        <v>66202</v>
      </c>
      <c r="B1041" s="12">
        <f t="shared" si="26"/>
        <v>1264.3530000000001</v>
      </c>
      <c r="C1041" s="10"/>
      <c r="E1041" s="11">
        <v>66202</v>
      </c>
      <c r="F1041" s="4">
        <f t="shared" si="27"/>
        <v>1264.3530000000001</v>
      </c>
    </row>
    <row r="1042" spans="1:6">
      <c r="A1042" s="11">
        <v>66232</v>
      </c>
      <c r="B1042" s="12">
        <f t="shared" si="26"/>
        <v>1264.3530000000001</v>
      </c>
      <c r="C1042" s="10"/>
      <c r="E1042" s="11">
        <v>66232</v>
      </c>
      <c r="F1042" s="4">
        <f t="shared" si="27"/>
        <v>1264.3530000000001</v>
      </c>
    </row>
    <row r="1043" spans="1:6">
      <c r="A1043" s="11">
        <v>66263</v>
      </c>
      <c r="B1043" s="12">
        <f t="shared" si="26"/>
        <v>1264.3530000000001</v>
      </c>
      <c r="C1043" s="10"/>
      <c r="E1043" s="11">
        <v>66263</v>
      </c>
      <c r="F1043" s="4">
        <f t="shared" si="27"/>
        <v>1264.3530000000001</v>
      </c>
    </row>
    <row r="1044" spans="1:6">
      <c r="A1044" s="11">
        <v>66293</v>
      </c>
      <c r="B1044" s="12">
        <f t="shared" si="26"/>
        <v>1264.3530000000001</v>
      </c>
      <c r="C1044" s="10"/>
      <c r="E1044" s="11">
        <v>66293</v>
      </c>
      <c r="F1044" s="4">
        <f t="shared" si="27"/>
        <v>1264.3530000000001</v>
      </c>
    </row>
    <row r="1045" spans="1:6">
      <c r="A1045" s="11">
        <v>66324</v>
      </c>
      <c r="B1045" s="12">
        <f t="shared" si="26"/>
        <v>1264.3530000000001</v>
      </c>
      <c r="C1045" s="10"/>
      <c r="E1045" s="11">
        <v>66324</v>
      </c>
      <c r="F1045" s="4">
        <f t="shared" si="27"/>
        <v>1264.3530000000001</v>
      </c>
    </row>
    <row r="1046" spans="1:6">
      <c r="A1046" s="11">
        <v>66355</v>
      </c>
      <c r="B1046" s="12">
        <f t="shared" si="26"/>
        <v>1264.3530000000001</v>
      </c>
      <c r="C1046" s="10"/>
      <c r="E1046" s="11">
        <v>66355</v>
      </c>
      <c r="F1046" s="4">
        <f t="shared" si="27"/>
        <v>1264.3530000000001</v>
      </c>
    </row>
    <row r="1047" spans="1:6">
      <c r="A1047" s="11">
        <v>66385</v>
      </c>
      <c r="B1047" s="12">
        <f t="shared" si="26"/>
        <v>1264.3530000000001</v>
      </c>
      <c r="C1047" s="10"/>
      <c r="E1047" s="11">
        <v>66385</v>
      </c>
      <c r="F1047" s="4">
        <f t="shared" si="27"/>
        <v>1264.3530000000001</v>
      </c>
    </row>
    <row r="1048" spans="1:6">
      <c r="A1048" s="11">
        <v>66416</v>
      </c>
      <c r="B1048" s="12">
        <f t="shared" si="26"/>
        <v>1264.3530000000001</v>
      </c>
      <c r="C1048" s="10"/>
      <c r="E1048" s="11">
        <v>66416</v>
      </c>
      <c r="F1048" s="4">
        <f t="shared" si="27"/>
        <v>1264.3530000000001</v>
      </c>
    </row>
    <row r="1049" spans="1:6">
      <c r="A1049" s="11">
        <v>66446</v>
      </c>
      <c r="B1049" s="12">
        <f t="shared" si="26"/>
        <v>1264.3530000000001</v>
      </c>
      <c r="C1049" s="10"/>
      <c r="E1049" s="11">
        <v>66446</v>
      </c>
      <c r="F1049" s="4">
        <f t="shared" si="27"/>
        <v>1264.3530000000001</v>
      </c>
    </row>
    <row r="1050" spans="1:6">
      <c r="A1050" s="11">
        <v>66477</v>
      </c>
      <c r="B1050" s="12">
        <f t="shared" si="26"/>
        <v>1264.3530000000001</v>
      </c>
      <c r="C1050" s="10"/>
      <c r="E1050" s="11">
        <v>66477</v>
      </c>
      <c r="F1050" s="4">
        <f t="shared" si="27"/>
        <v>1264.3530000000001</v>
      </c>
    </row>
    <row r="1051" spans="1:6">
      <c r="A1051" s="11">
        <v>66508</v>
      </c>
      <c r="B1051" s="12">
        <f t="shared" si="26"/>
        <v>1264.3530000000001</v>
      </c>
      <c r="C1051" s="10"/>
      <c r="E1051" s="11">
        <v>66508</v>
      </c>
      <c r="F1051" s="4">
        <f t="shared" si="27"/>
        <v>1264.3530000000001</v>
      </c>
    </row>
    <row r="1052" spans="1:6">
      <c r="A1052" s="11">
        <v>66536</v>
      </c>
      <c r="B1052" s="12">
        <f t="shared" si="26"/>
        <v>1264.3530000000001</v>
      </c>
      <c r="C1052" s="10"/>
      <c r="E1052" s="11">
        <v>66536</v>
      </c>
      <c r="F1052" s="4">
        <f t="shared" si="27"/>
        <v>1264.3530000000001</v>
      </c>
    </row>
    <row r="1053" spans="1:6">
      <c r="A1053" s="11">
        <v>66567</v>
      </c>
      <c r="B1053" s="12">
        <f t="shared" si="26"/>
        <v>1264.3530000000001</v>
      </c>
      <c r="C1053" s="10"/>
      <c r="E1053" s="11">
        <v>66567</v>
      </c>
      <c r="F1053" s="4">
        <f t="shared" si="27"/>
        <v>1264.3530000000001</v>
      </c>
    </row>
    <row r="1054" spans="1:6">
      <c r="A1054" s="11">
        <v>66597</v>
      </c>
      <c r="B1054" s="12">
        <f t="shared" ref="B1054:B1117" si="28">B1053</f>
        <v>1264.3530000000001</v>
      </c>
      <c r="C1054" s="10"/>
      <c r="E1054" s="11">
        <v>66597</v>
      </c>
      <c r="F1054" s="4">
        <f t="shared" si="27"/>
        <v>1264.3530000000001</v>
      </c>
    </row>
    <row r="1055" spans="1:6">
      <c r="A1055" s="11">
        <v>66628</v>
      </c>
      <c r="B1055" s="12">
        <f t="shared" si="28"/>
        <v>1264.3530000000001</v>
      </c>
      <c r="C1055" s="10"/>
      <c r="E1055" s="11">
        <v>66628</v>
      </c>
      <c r="F1055" s="4">
        <f t="shared" si="27"/>
        <v>1264.3530000000001</v>
      </c>
    </row>
    <row r="1056" spans="1:6">
      <c r="A1056" s="11">
        <v>66658</v>
      </c>
      <c r="B1056" s="12">
        <f t="shared" si="28"/>
        <v>1264.3530000000001</v>
      </c>
      <c r="C1056" s="10"/>
      <c r="E1056" s="11">
        <v>66658</v>
      </c>
      <c r="F1056" s="4">
        <f t="shared" si="27"/>
        <v>1264.3530000000001</v>
      </c>
    </row>
    <row r="1057" spans="1:6">
      <c r="A1057" s="11">
        <v>66689</v>
      </c>
      <c r="B1057" s="12">
        <f t="shared" si="28"/>
        <v>1264.3530000000001</v>
      </c>
      <c r="C1057" s="10"/>
      <c r="E1057" s="11">
        <v>66689</v>
      </c>
      <c r="F1057" s="4">
        <f t="shared" si="27"/>
        <v>1264.3530000000001</v>
      </c>
    </row>
    <row r="1058" spans="1:6">
      <c r="A1058" s="11">
        <v>66720</v>
      </c>
      <c r="B1058" s="12">
        <f t="shared" si="28"/>
        <v>1264.3530000000001</v>
      </c>
      <c r="C1058" s="10"/>
      <c r="E1058" s="11">
        <v>66720</v>
      </c>
      <c r="F1058" s="4">
        <f t="shared" si="27"/>
        <v>1264.3530000000001</v>
      </c>
    </row>
    <row r="1059" spans="1:6">
      <c r="A1059" s="11">
        <v>66750</v>
      </c>
      <c r="B1059" s="12">
        <f t="shared" si="28"/>
        <v>1264.3530000000001</v>
      </c>
      <c r="C1059" s="10"/>
      <c r="E1059" s="11">
        <v>66750</v>
      </c>
      <c r="F1059" s="4">
        <f t="shared" si="27"/>
        <v>1264.3530000000001</v>
      </c>
    </row>
    <row r="1060" spans="1:6">
      <c r="A1060" s="11">
        <v>66781</v>
      </c>
      <c r="B1060" s="12">
        <f t="shared" si="28"/>
        <v>1264.3530000000001</v>
      </c>
      <c r="C1060" s="10"/>
      <c r="E1060" s="11">
        <v>66781</v>
      </c>
      <c r="F1060" s="4">
        <f t="shared" si="27"/>
        <v>1264.3530000000001</v>
      </c>
    </row>
    <row r="1061" spans="1:6">
      <c r="A1061" s="11">
        <v>66811</v>
      </c>
      <c r="B1061" s="12">
        <f t="shared" si="28"/>
        <v>1264.3530000000001</v>
      </c>
      <c r="C1061" s="10"/>
      <c r="E1061" s="11">
        <v>66811</v>
      </c>
      <c r="F1061" s="4">
        <f t="shared" si="27"/>
        <v>1264.3530000000001</v>
      </c>
    </row>
    <row r="1062" spans="1:6">
      <c r="A1062" s="11">
        <v>66842</v>
      </c>
      <c r="B1062" s="12">
        <f t="shared" si="28"/>
        <v>1264.3530000000001</v>
      </c>
      <c r="C1062" s="10"/>
      <c r="E1062" s="11">
        <v>66842</v>
      </c>
      <c r="F1062" s="4">
        <f t="shared" si="27"/>
        <v>1264.3530000000001</v>
      </c>
    </row>
    <row r="1063" spans="1:6">
      <c r="A1063" s="11">
        <v>66873</v>
      </c>
      <c r="B1063" s="12">
        <f t="shared" si="28"/>
        <v>1264.3530000000001</v>
      </c>
      <c r="C1063" s="10"/>
      <c r="E1063" s="11">
        <v>66873</v>
      </c>
      <c r="F1063" s="4">
        <f t="shared" si="27"/>
        <v>1264.3530000000001</v>
      </c>
    </row>
    <row r="1064" spans="1:6">
      <c r="A1064" s="11">
        <v>66901</v>
      </c>
      <c r="B1064" s="12">
        <f t="shared" si="28"/>
        <v>1264.3530000000001</v>
      </c>
      <c r="C1064" s="10"/>
      <c r="E1064" s="11">
        <v>66901</v>
      </c>
      <c r="F1064" s="4">
        <f t="shared" si="27"/>
        <v>1264.3530000000001</v>
      </c>
    </row>
    <row r="1065" spans="1:6">
      <c r="A1065" s="11">
        <v>66932</v>
      </c>
      <c r="B1065" s="12">
        <f t="shared" si="28"/>
        <v>1264.3530000000001</v>
      </c>
      <c r="C1065" s="10"/>
      <c r="E1065" s="11">
        <v>66932</v>
      </c>
      <c r="F1065" s="4">
        <f t="shared" si="27"/>
        <v>1264.3530000000001</v>
      </c>
    </row>
    <row r="1066" spans="1:6">
      <c r="A1066" s="11">
        <v>66962</v>
      </c>
      <c r="B1066" s="12">
        <f t="shared" si="28"/>
        <v>1264.3530000000001</v>
      </c>
      <c r="C1066" s="10"/>
      <c r="E1066" s="11">
        <v>66962</v>
      </c>
      <c r="F1066" s="4">
        <f t="shared" si="27"/>
        <v>1264.3530000000001</v>
      </c>
    </row>
    <row r="1067" spans="1:6">
      <c r="A1067" s="11">
        <v>66993</v>
      </c>
      <c r="B1067" s="12">
        <f t="shared" si="28"/>
        <v>1264.3530000000001</v>
      </c>
      <c r="C1067" s="10"/>
      <c r="E1067" s="11">
        <v>66993</v>
      </c>
      <c r="F1067" s="4">
        <f t="shared" si="27"/>
        <v>1264.3530000000001</v>
      </c>
    </row>
    <row r="1068" spans="1:6">
      <c r="A1068" s="11">
        <v>67023</v>
      </c>
      <c r="B1068" s="12">
        <f t="shared" si="28"/>
        <v>1264.3530000000001</v>
      </c>
      <c r="C1068" s="10"/>
      <c r="E1068" s="11">
        <v>67023</v>
      </c>
      <c r="F1068" s="4">
        <f t="shared" si="27"/>
        <v>1264.3530000000001</v>
      </c>
    </row>
    <row r="1069" spans="1:6">
      <c r="A1069" s="11">
        <v>67054</v>
      </c>
      <c r="B1069" s="12">
        <f t="shared" si="28"/>
        <v>1264.3530000000001</v>
      </c>
      <c r="C1069" s="10"/>
      <c r="E1069" s="11">
        <v>67054</v>
      </c>
      <c r="F1069" s="4">
        <f t="shared" si="27"/>
        <v>1264.3530000000001</v>
      </c>
    </row>
    <row r="1070" spans="1:6">
      <c r="A1070" s="11">
        <v>67085</v>
      </c>
      <c r="B1070" s="12">
        <f t="shared" si="28"/>
        <v>1264.3530000000001</v>
      </c>
      <c r="C1070" s="10"/>
      <c r="E1070" s="11">
        <v>67085</v>
      </c>
      <c r="F1070" s="4">
        <f t="shared" si="27"/>
        <v>1264.3530000000001</v>
      </c>
    </row>
    <row r="1071" spans="1:6">
      <c r="A1071" s="11">
        <v>67115</v>
      </c>
      <c r="B1071" s="12">
        <f t="shared" si="28"/>
        <v>1264.3530000000001</v>
      </c>
      <c r="C1071" s="10"/>
      <c r="E1071" s="11">
        <v>67115</v>
      </c>
      <c r="F1071" s="4">
        <f t="shared" si="27"/>
        <v>1264.3530000000001</v>
      </c>
    </row>
    <row r="1072" spans="1:6">
      <c r="A1072" s="11">
        <v>67146</v>
      </c>
      <c r="B1072" s="12">
        <f t="shared" si="28"/>
        <v>1264.3530000000001</v>
      </c>
      <c r="C1072" s="10"/>
      <c r="E1072" s="11">
        <v>67146</v>
      </c>
      <c r="F1072" s="4">
        <f t="shared" si="27"/>
        <v>1264.3530000000001</v>
      </c>
    </row>
    <row r="1073" spans="1:6">
      <c r="A1073" s="11">
        <v>67176</v>
      </c>
      <c r="B1073" s="12">
        <f t="shared" si="28"/>
        <v>1264.3530000000001</v>
      </c>
      <c r="C1073" s="10"/>
      <c r="E1073" s="11">
        <v>67176</v>
      </c>
      <c r="F1073" s="4">
        <f t="shared" si="27"/>
        <v>1264.3530000000001</v>
      </c>
    </row>
    <row r="1074" spans="1:6">
      <c r="A1074" s="11">
        <v>67207</v>
      </c>
      <c r="B1074" s="12">
        <f t="shared" si="28"/>
        <v>1264.3530000000001</v>
      </c>
      <c r="C1074" s="10"/>
      <c r="E1074" s="11">
        <v>67207</v>
      </c>
      <c r="F1074" s="4">
        <f t="shared" si="27"/>
        <v>1264.3530000000001</v>
      </c>
    </row>
    <row r="1075" spans="1:6">
      <c r="A1075" s="11">
        <v>67238</v>
      </c>
      <c r="B1075" s="12">
        <f t="shared" si="28"/>
        <v>1264.3530000000001</v>
      </c>
      <c r="C1075" s="10"/>
      <c r="E1075" s="11">
        <v>67238</v>
      </c>
      <c r="F1075" s="4">
        <f t="shared" si="27"/>
        <v>1264.3530000000001</v>
      </c>
    </row>
    <row r="1076" spans="1:6">
      <c r="A1076" s="11">
        <v>67267</v>
      </c>
      <c r="B1076" s="12">
        <f t="shared" si="28"/>
        <v>1264.3530000000001</v>
      </c>
      <c r="C1076" s="10"/>
      <c r="E1076" s="11">
        <v>67267</v>
      </c>
      <c r="F1076" s="4">
        <f t="shared" si="27"/>
        <v>1264.3530000000001</v>
      </c>
    </row>
    <row r="1077" spans="1:6">
      <c r="A1077" s="11">
        <v>67298</v>
      </c>
      <c r="B1077" s="12">
        <f t="shared" si="28"/>
        <v>1264.3530000000001</v>
      </c>
      <c r="C1077" s="10"/>
      <c r="E1077" s="11">
        <v>67298</v>
      </c>
      <c r="F1077" s="4">
        <f t="shared" si="27"/>
        <v>1264.3530000000001</v>
      </c>
    </row>
    <row r="1078" spans="1:6">
      <c r="A1078" s="11">
        <v>67328</v>
      </c>
      <c r="B1078" s="12">
        <f t="shared" si="28"/>
        <v>1264.3530000000001</v>
      </c>
      <c r="C1078" s="10"/>
      <c r="E1078" s="11">
        <v>67328</v>
      </c>
      <c r="F1078" s="4">
        <f t="shared" si="27"/>
        <v>1264.3530000000001</v>
      </c>
    </row>
    <row r="1079" spans="1:6">
      <c r="A1079" s="11">
        <v>67359</v>
      </c>
      <c r="B1079" s="12">
        <f t="shared" si="28"/>
        <v>1264.3530000000001</v>
      </c>
      <c r="C1079" s="10"/>
      <c r="E1079" s="11">
        <v>67359</v>
      </c>
      <c r="F1079" s="4">
        <f t="shared" si="27"/>
        <v>1264.3530000000001</v>
      </c>
    </row>
    <row r="1080" spans="1:6">
      <c r="A1080" s="11">
        <v>67389</v>
      </c>
      <c r="B1080" s="12">
        <f t="shared" si="28"/>
        <v>1264.3530000000001</v>
      </c>
      <c r="C1080" s="10"/>
      <c r="E1080" s="11">
        <v>67389</v>
      </c>
      <c r="F1080" s="4">
        <f t="shared" si="27"/>
        <v>1264.3530000000001</v>
      </c>
    </row>
    <row r="1081" spans="1:6">
      <c r="A1081" s="11">
        <v>67420</v>
      </c>
      <c r="B1081" s="12">
        <f t="shared" si="28"/>
        <v>1264.3530000000001</v>
      </c>
      <c r="C1081" s="10"/>
      <c r="E1081" s="11">
        <v>67420</v>
      </c>
      <c r="F1081" s="4">
        <f t="shared" si="27"/>
        <v>1264.3530000000001</v>
      </c>
    </row>
    <row r="1082" spans="1:6">
      <c r="A1082" s="11">
        <v>67451</v>
      </c>
      <c r="B1082" s="12">
        <f t="shared" si="28"/>
        <v>1264.3530000000001</v>
      </c>
      <c r="C1082" s="10"/>
      <c r="E1082" s="11">
        <v>67451</v>
      </c>
      <c r="F1082" s="4">
        <f t="shared" si="27"/>
        <v>1264.3530000000001</v>
      </c>
    </row>
    <row r="1083" spans="1:6">
      <c r="A1083" s="11">
        <v>67481</v>
      </c>
      <c r="B1083" s="12">
        <f t="shared" si="28"/>
        <v>1264.3530000000001</v>
      </c>
      <c r="C1083" s="10"/>
      <c r="E1083" s="11">
        <v>67481</v>
      </c>
      <c r="F1083" s="4">
        <f t="shared" si="27"/>
        <v>1264.3530000000001</v>
      </c>
    </row>
    <row r="1084" spans="1:6">
      <c r="A1084" s="11">
        <v>67512</v>
      </c>
      <c r="B1084" s="12">
        <f t="shared" si="28"/>
        <v>1264.3530000000001</v>
      </c>
      <c r="C1084" s="10"/>
      <c r="E1084" s="11">
        <v>67512</v>
      </c>
      <c r="F1084" s="4">
        <f t="shared" si="27"/>
        <v>1264.3530000000001</v>
      </c>
    </row>
    <row r="1085" spans="1:6">
      <c r="A1085" s="11">
        <v>67542</v>
      </c>
      <c r="B1085" s="12">
        <f t="shared" si="28"/>
        <v>1264.3530000000001</v>
      </c>
      <c r="C1085" s="10"/>
      <c r="E1085" s="11">
        <v>67542</v>
      </c>
      <c r="F1085" s="4">
        <f t="shared" si="27"/>
        <v>1264.3530000000001</v>
      </c>
    </row>
    <row r="1086" spans="1:6">
      <c r="A1086" s="11">
        <v>67573</v>
      </c>
      <c r="B1086" s="12">
        <f t="shared" si="28"/>
        <v>1264.3530000000001</v>
      </c>
      <c r="C1086" s="10"/>
      <c r="E1086" s="11">
        <v>67573</v>
      </c>
      <c r="F1086" s="4">
        <f t="shared" si="27"/>
        <v>1264.3530000000001</v>
      </c>
    </row>
    <row r="1087" spans="1:6">
      <c r="A1087" s="11">
        <v>67604</v>
      </c>
      <c r="B1087" s="12">
        <f t="shared" si="28"/>
        <v>1264.3530000000001</v>
      </c>
      <c r="C1087" s="10"/>
      <c r="E1087" s="11">
        <v>67604</v>
      </c>
      <c r="F1087" s="4">
        <f t="shared" si="27"/>
        <v>1264.3530000000001</v>
      </c>
    </row>
    <row r="1088" spans="1:6">
      <c r="A1088" s="11">
        <v>67632</v>
      </c>
      <c r="B1088" s="12">
        <f t="shared" si="28"/>
        <v>1264.3530000000001</v>
      </c>
      <c r="C1088" s="10"/>
      <c r="E1088" s="11">
        <v>67632</v>
      </c>
      <c r="F1088" s="4">
        <f t="shared" si="27"/>
        <v>1264.3530000000001</v>
      </c>
    </row>
    <row r="1089" spans="1:6">
      <c r="A1089" s="11">
        <v>67663</v>
      </c>
      <c r="B1089" s="12">
        <f t="shared" si="28"/>
        <v>1264.3530000000001</v>
      </c>
      <c r="C1089" s="10"/>
      <c r="E1089" s="11">
        <v>67663</v>
      </c>
      <c r="F1089" s="4">
        <f t="shared" si="27"/>
        <v>1264.3530000000001</v>
      </c>
    </row>
    <row r="1090" spans="1:6">
      <c r="A1090" s="11">
        <v>67693</v>
      </c>
      <c r="B1090" s="12">
        <f t="shared" si="28"/>
        <v>1264.3530000000001</v>
      </c>
      <c r="C1090" s="10"/>
      <c r="E1090" s="11">
        <v>67693</v>
      </c>
      <c r="F1090" s="4">
        <f t="shared" si="27"/>
        <v>1264.3530000000001</v>
      </c>
    </row>
    <row r="1091" spans="1:6">
      <c r="A1091" s="11">
        <v>67724</v>
      </c>
      <c r="B1091" s="12">
        <f t="shared" si="28"/>
        <v>1264.3530000000001</v>
      </c>
      <c r="C1091" s="10"/>
      <c r="E1091" s="11">
        <v>67724</v>
      </c>
      <c r="F1091" s="4">
        <f t="shared" ref="F1091:F1154" si="29">B1090</f>
        <v>1264.3530000000001</v>
      </c>
    </row>
    <row r="1092" spans="1:6">
      <c r="A1092" s="11">
        <v>67754</v>
      </c>
      <c r="B1092" s="12">
        <f t="shared" si="28"/>
        <v>1264.3530000000001</v>
      </c>
      <c r="C1092" s="10"/>
      <c r="E1092" s="11">
        <v>67754</v>
      </c>
      <c r="F1092" s="4">
        <f t="shared" si="29"/>
        <v>1264.3530000000001</v>
      </c>
    </row>
    <row r="1093" spans="1:6">
      <c r="A1093" s="11">
        <v>67785</v>
      </c>
      <c r="B1093" s="12">
        <f t="shared" si="28"/>
        <v>1264.3530000000001</v>
      </c>
      <c r="C1093" s="10"/>
      <c r="E1093" s="11">
        <v>67785</v>
      </c>
      <c r="F1093" s="4">
        <f t="shared" si="29"/>
        <v>1264.3530000000001</v>
      </c>
    </row>
    <row r="1094" spans="1:6">
      <c r="A1094" s="11">
        <v>67816</v>
      </c>
      <c r="B1094" s="12">
        <f t="shared" si="28"/>
        <v>1264.3530000000001</v>
      </c>
      <c r="C1094" s="10"/>
      <c r="E1094" s="11">
        <v>67816</v>
      </c>
      <c r="F1094" s="4">
        <f t="shared" si="29"/>
        <v>1264.3530000000001</v>
      </c>
    </row>
    <row r="1095" spans="1:6">
      <c r="A1095" s="11">
        <v>67846</v>
      </c>
      <c r="B1095" s="12">
        <f t="shared" si="28"/>
        <v>1264.3530000000001</v>
      </c>
      <c r="C1095" s="10"/>
      <c r="E1095" s="11">
        <v>67846</v>
      </c>
      <c r="F1095" s="4">
        <f t="shared" si="29"/>
        <v>1264.3530000000001</v>
      </c>
    </row>
    <row r="1096" spans="1:6">
      <c r="A1096" s="11">
        <v>67877</v>
      </c>
      <c r="B1096" s="12">
        <f t="shared" si="28"/>
        <v>1264.3530000000001</v>
      </c>
      <c r="C1096" s="10"/>
      <c r="E1096" s="11">
        <v>67877</v>
      </c>
      <c r="F1096" s="4">
        <f t="shared" si="29"/>
        <v>1264.3530000000001</v>
      </c>
    </row>
    <row r="1097" spans="1:6">
      <c r="A1097" s="11">
        <v>67907</v>
      </c>
      <c r="B1097" s="12">
        <f t="shared" si="28"/>
        <v>1264.3530000000001</v>
      </c>
      <c r="C1097" s="10"/>
      <c r="E1097" s="11">
        <v>67907</v>
      </c>
      <c r="F1097" s="4">
        <f t="shared" si="29"/>
        <v>1264.3530000000001</v>
      </c>
    </row>
    <row r="1098" spans="1:6">
      <c r="A1098" s="11">
        <v>67938</v>
      </c>
      <c r="B1098" s="12">
        <f t="shared" si="28"/>
        <v>1264.3530000000001</v>
      </c>
      <c r="C1098" s="10"/>
      <c r="E1098" s="11">
        <v>67938</v>
      </c>
      <c r="F1098" s="4">
        <f t="shared" si="29"/>
        <v>1264.3530000000001</v>
      </c>
    </row>
    <row r="1099" spans="1:6">
      <c r="A1099" s="11">
        <v>67969</v>
      </c>
      <c r="B1099" s="12">
        <f t="shared" si="28"/>
        <v>1264.3530000000001</v>
      </c>
      <c r="C1099" s="10"/>
      <c r="E1099" s="11">
        <v>67969</v>
      </c>
      <c r="F1099" s="4">
        <f t="shared" si="29"/>
        <v>1264.3530000000001</v>
      </c>
    </row>
    <row r="1100" spans="1:6">
      <c r="A1100" s="11">
        <v>67997</v>
      </c>
      <c r="B1100" s="12">
        <f t="shared" si="28"/>
        <v>1264.3530000000001</v>
      </c>
      <c r="C1100" s="10"/>
      <c r="E1100" s="11">
        <v>67997</v>
      </c>
      <c r="F1100" s="4">
        <f t="shared" si="29"/>
        <v>1264.3530000000001</v>
      </c>
    </row>
    <row r="1101" spans="1:6">
      <c r="A1101" s="11">
        <v>68028</v>
      </c>
      <c r="B1101" s="12">
        <f t="shared" si="28"/>
        <v>1264.3530000000001</v>
      </c>
      <c r="C1101" s="10"/>
      <c r="E1101" s="11">
        <v>68028</v>
      </c>
      <c r="F1101" s="4">
        <f t="shared" si="29"/>
        <v>1264.3530000000001</v>
      </c>
    </row>
    <row r="1102" spans="1:6">
      <c r="A1102" s="11">
        <v>68058</v>
      </c>
      <c r="B1102" s="12">
        <f t="shared" si="28"/>
        <v>1264.3530000000001</v>
      </c>
      <c r="C1102" s="10"/>
      <c r="E1102" s="11">
        <v>68058</v>
      </c>
      <c r="F1102" s="4">
        <f t="shared" si="29"/>
        <v>1264.3530000000001</v>
      </c>
    </row>
    <row r="1103" spans="1:6">
      <c r="A1103" s="11">
        <v>68089</v>
      </c>
      <c r="B1103" s="12">
        <f t="shared" si="28"/>
        <v>1264.3530000000001</v>
      </c>
      <c r="C1103" s="10"/>
      <c r="E1103" s="11">
        <v>68089</v>
      </c>
      <c r="F1103" s="4">
        <f t="shared" si="29"/>
        <v>1264.3530000000001</v>
      </c>
    </row>
    <row r="1104" spans="1:6">
      <c r="A1104" s="11">
        <v>68119</v>
      </c>
      <c r="B1104" s="12">
        <f t="shared" si="28"/>
        <v>1264.3530000000001</v>
      </c>
      <c r="C1104" s="10"/>
      <c r="E1104" s="11">
        <v>68119</v>
      </c>
      <c r="F1104" s="4">
        <f t="shared" si="29"/>
        <v>1264.3530000000001</v>
      </c>
    </row>
    <row r="1105" spans="1:6">
      <c r="A1105" s="11">
        <v>68150</v>
      </c>
      <c r="B1105" s="12">
        <f t="shared" si="28"/>
        <v>1264.3530000000001</v>
      </c>
      <c r="C1105" s="10"/>
      <c r="E1105" s="11">
        <v>68150</v>
      </c>
      <c r="F1105" s="4">
        <f t="shared" si="29"/>
        <v>1264.3530000000001</v>
      </c>
    </row>
    <row r="1106" spans="1:6">
      <c r="A1106" s="11">
        <v>68181</v>
      </c>
      <c r="B1106" s="12">
        <f t="shared" si="28"/>
        <v>1264.3530000000001</v>
      </c>
      <c r="C1106" s="10"/>
      <c r="E1106" s="11">
        <v>68181</v>
      </c>
      <c r="F1106" s="4">
        <f t="shared" si="29"/>
        <v>1264.3530000000001</v>
      </c>
    </row>
    <row r="1107" spans="1:6">
      <c r="A1107" s="11">
        <v>68211</v>
      </c>
      <c r="B1107" s="12">
        <f t="shared" si="28"/>
        <v>1264.3530000000001</v>
      </c>
      <c r="C1107" s="10"/>
      <c r="E1107" s="11">
        <v>68211</v>
      </c>
      <c r="F1107" s="4">
        <f t="shared" si="29"/>
        <v>1264.3530000000001</v>
      </c>
    </row>
    <row r="1108" spans="1:6">
      <c r="A1108" s="11">
        <v>68242</v>
      </c>
      <c r="B1108" s="12">
        <f t="shared" si="28"/>
        <v>1264.3530000000001</v>
      </c>
      <c r="C1108" s="10"/>
      <c r="E1108" s="11">
        <v>68242</v>
      </c>
      <c r="F1108" s="4">
        <f t="shared" si="29"/>
        <v>1264.3530000000001</v>
      </c>
    </row>
    <row r="1109" spans="1:6">
      <c r="A1109" s="11">
        <v>68272</v>
      </c>
      <c r="B1109" s="12">
        <f t="shared" si="28"/>
        <v>1264.3530000000001</v>
      </c>
      <c r="C1109" s="10"/>
      <c r="E1109" s="11">
        <v>68272</v>
      </c>
      <c r="F1109" s="4">
        <f t="shared" si="29"/>
        <v>1264.3530000000001</v>
      </c>
    </row>
    <row r="1110" spans="1:6">
      <c r="A1110" s="11">
        <v>68303</v>
      </c>
      <c r="B1110" s="12">
        <f t="shared" si="28"/>
        <v>1264.3530000000001</v>
      </c>
      <c r="C1110" s="10"/>
      <c r="E1110" s="11">
        <v>68303</v>
      </c>
      <c r="F1110" s="4">
        <f t="shared" si="29"/>
        <v>1264.3530000000001</v>
      </c>
    </row>
    <row r="1111" spans="1:6">
      <c r="A1111" s="11">
        <v>68334</v>
      </c>
      <c r="B1111" s="12">
        <f t="shared" si="28"/>
        <v>1264.3530000000001</v>
      </c>
      <c r="C1111" s="10"/>
      <c r="E1111" s="11">
        <v>68334</v>
      </c>
      <c r="F1111" s="4">
        <f t="shared" si="29"/>
        <v>1264.3530000000001</v>
      </c>
    </row>
    <row r="1112" spans="1:6">
      <c r="A1112" s="11">
        <v>68362</v>
      </c>
      <c r="B1112" s="12">
        <f t="shared" si="28"/>
        <v>1264.3530000000001</v>
      </c>
      <c r="C1112" s="10"/>
      <c r="E1112" s="11">
        <v>68362</v>
      </c>
      <c r="F1112" s="4">
        <f t="shared" si="29"/>
        <v>1264.3530000000001</v>
      </c>
    </row>
    <row r="1113" spans="1:6">
      <c r="A1113" s="11">
        <v>68393</v>
      </c>
      <c r="B1113" s="12">
        <f t="shared" si="28"/>
        <v>1264.3530000000001</v>
      </c>
      <c r="C1113" s="10"/>
      <c r="E1113" s="11">
        <v>68393</v>
      </c>
      <c r="F1113" s="4">
        <f t="shared" si="29"/>
        <v>1264.3530000000001</v>
      </c>
    </row>
    <row r="1114" spans="1:6">
      <c r="A1114" s="11">
        <v>68423</v>
      </c>
      <c r="B1114" s="12">
        <f t="shared" si="28"/>
        <v>1264.3530000000001</v>
      </c>
      <c r="C1114" s="10"/>
      <c r="E1114" s="11">
        <v>68423</v>
      </c>
      <c r="F1114" s="4">
        <f t="shared" si="29"/>
        <v>1264.3530000000001</v>
      </c>
    </row>
    <row r="1115" spans="1:6">
      <c r="A1115" s="11">
        <v>68454</v>
      </c>
      <c r="B1115" s="12">
        <f t="shared" si="28"/>
        <v>1264.3530000000001</v>
      </c>
      <c r="C1115" s="10"/>
      <c r="E1115" s="11">
        <v>68454</v>
      </c>
      <c r="F1115" s="4">
        <f t="shared" si="29"/>
        <v>1264.3530000000001</v>
      </c>
    </row>
    <row r="1116" spans="1:6">
      <c r="A1116" s="11">
        <v>68484</v>
      </c>
      <c r="B1116" s="12">
        <f t="shared" si="28"/>
        <v>1264.3530000000001</v>
      </c>
      <c r="C1116" s="10"/>
      <c r="E1116" s="11">
        <v>68484</v>
      </c>
      <c r="F1116" s="4">
        <f t="shared" si="29"/>
        <v>1264.3530000000001</v>
      </c>
    </row>
    <row r="1117" spans="1:6">
      <c r="A1117" s="11">
        <v>68515</v>
      </c>
      <c r="B1117" s="12">
        <f t="shared" si="28"/>
        <v>1264.3530000000001</v>
      </c>
      <c r="C1117" s="10"/>
      <c r="E1117" s="11">
        <v>68515</v>
      </c>
      <c r="F1117" s="4">
        <f t="shared" si="29"/>
        <v>1264.3530000000001</v>
      </c>
    </row>
    <row r="1118" spans="1:6">
      <c r="A1118" s="11">
        <v>68546</v>
      </c>
      <c r="B1118" s="12">
        <f t="shared" ref="B1118:B1181" si="30">B1117</f>
        <v>1264.3530000000001</v>
      </c>
      <c r="C1118" s="10"/>
      <c r="E1118" s="11">
        <v>68546</v>
      </c>
      <c r="F1118" s="4">
        <f t="shared" si="29"/>
        <v>1264.3530000000001</v>
      </c>
    </row>
    <row r="1119" spans="1:6">
      <c r="A1119" s="11">
        <v>68576</v>
      </c>
      <c r="B1119" s="12">
        <f t="shared" si="30"/>
        <v>1264.3530000000001</v>
      </c>
      <c r="C1119" s="10"/>
      <c r="E1119" s="11">
        <v>68576</v>
      </c>
      <c r="F1119" s="4">
        <f t="shared" si="29"/>
        <v>1264.3530000000001</v>
      </c>
    </row>
    <row r="1120" spans="1:6">
      <c r="A1120" s="11">
        <v>68607</v>
      </c>
      <c r="B1120" s="12">
        <f t="shared" si="30"/>
        <v>1264.3530000000001</v>
      </c>
      <c r="C1120" s="10"/>
      <c r="E1120" s="11">
        <v>68607</v>
      </c>
      <c r="F1120" s="4">
        <f t="shared" si="29"/>
        <v>1264.3530000000001</v>
      </c>
    </row>
    <row r="1121" spans="1:6">
      <c r="A1121" s="11">
        <v>68637</v>
      </c>
      <c r="B1121" s="12">
        <f t="shared" si="30"/>
        <v>1264.3530000000001</v>
      </c>
      <c r="C1121" s="10"/>
      <c r="E1121" s="11">
        <v>68637</v>
      </c>
      <c r="F1121" s="4">
        <f t="shared" si="29"/>
        <v>1264.3530000000001</v>
      </c>
    </row>
    <row r="1122" spans="1:6">
      <c r="A1122" s="11">
        <v>68668</v>
      </c>
      <c r="B1122" s="12">
        <f t="shared" si="30"/>
        <v>1264.3530000000001</v>
      </c>
      <c r="C1122" s="10"/>
      <c r="E1122" s="11">
        <v>68668</v>
      </c>
      <c r="F1122" s="4">
        <f t="shared" si="29"/>
        <v>1264.3530000000001</v>
      </c>
    </row>
    <row r="1123" spans="1:6">
      <c r="A1123" s="11">
        <v>68699</v>
      </c>
      <c r="B1123" s="12">
        <f t="shared" si="30"/>
        <v>1264.3530000000001</v>
      </c>
      <c r="C1123" s="10"/>
      <c r="E1123" s="11">
        <v>68699</v>
      </c>
      <c r="F1123" s="4">
        <f t="shared" si="29"/>
        <v>1264.3530000000001</v>
      </c>
    </row>
    <row r="1124" spans="1:6">
      <c r="A1124" s="11">
        <v>68728</v>
      </c>
      <c r="B1124" s="12">
        <f t="shared" si="30"/>
        <v>1264.3530000000001</v>
      </c>
      <c r="C1124" s="10"/>
      <c r="E1124" s="11">
        <v>68728</v>
      </c>
      <c r="F1124" s="4">
        <f t="shared" si="29"/>
        <v>1264.3530000000001</v>
      </c>
    </row>
    <row r="1125" spans="1:6">
      <c r="A1125" s="11">
        <v>68759</v>
      </c>
      <c r="B1125" s="12">
        <f t="shared" si="30"/>
        <v>1264.3530000000001</v>
      </c>
      <c r="C1125" s="10"/>
      <c r="E1125" s="11">
        <v>68759</v>
      </c>
      <c r="F1125" s="4">
        <f t="shared" si="29"/>
        <v>1264.3530000000001</v>
      </c>
    </row>
    <row r="1126" spans="1:6">
      <c r="A1126" s="11">
        <v>68789</v>
      </c>
      <c r="B1126" s="12">
        <f t="shared" si="30"/>
        <v>1264.3530000000001</v>
      </c>
      <c r="C1126" s="10"/>
      <c r="E1126" s="11">
        <v>68789</v>
      </c>
      <c r="F1126" s="4">
        <f t="shared" si="29"/>
        <v>1264.3530000000001</v>
      </c>
    </row>
    <row r="1127" spans="1:6">
      <c r="A1127" s="11">
        <v>68820</v>
      </c>
      <c r="B1127" s="12">
        <f t="shared" si="30"/>
        <v>1264.3530000000001</v>
      </c>
      <c r="C1127" s="10"/>
      <c r="E1127" s="11">
        <v>68820</v>
      </c>
      <c r="F1127" s="4">
        <f t="shared" si="29"/>
        <v>1264.3530000000001</v>
      </c>
    </row>
    <row r="1128" spans="1:6">
      <c r="A1128" s="11">
        <v>68850</v>
      </c>
      <c r="B1128" s="12">
        <f t="shared" si="30"/>
        <v>1264.3530000000001</v>
      </c>
      <c r="C1128" s="10"/>
      <c r="E1128" s="11">
        <v>68850</v>
      </c>
      <c r="F1128" s="4">
        <f t="shared" si="29"/>
        <v>1264.3530000000001</v>
      </c>
    </row>
    <row r="1129" spans="1:6">
      <c r="A1129" s="11">
        <v>68881</v>
      </c>
      <c r="B1129" s="12">
        <f t="shared" si="30"/>
        <v>1264.3530000000001</v>
      </c>
      <c r="C1129" s="10"/>
      <c r="E1129" s="11">
        <v>68881</v>
      </c>
      <c r="F1129" s="4">
        <f t="shared" si="29"/>
        <v>1264.3530000000001</v>
      </c>
    </row>
    <row r="1130" spans="1:6">
      <c r="A1130" s="11">
        <v>68912</v>
      </c>
      <c r="B1130" s="12">
        <f t="shared" si="30"/>
        <v>1264.3530000000001</v>
      </c>
      <c r="C1130" s="10"/>
      <c r="E1130" s="11">
        <v>68912</v>
      </c>
      <c r="F1130" s="4">
        <f t="shared" si="29"/>
        <v>1264.3530000000001</v>
      </c>
    </row>
    <row r="1131" spans="1:6">
      <c r="A1131" s="11">
        <v>68942</v>
      </c>
      <c r="B1131" s="12">
        <f t="shared" si="30"/>
        <v>1264.3530000000001</v>
      </c>
      <c r="C1131" s="10"/>
      <c r="E1131" s="11">
        <v>68942</v>
      </c>
      <c r="F1131" s="4">
        <f t="shared" si="29"/>
        <v>1264.3530000000001</v>
      </c>
    </row>
    <row r="1132" spans="1:6">
      <c r="A1132" s="11">
        <v>68973</v>
      </c>
      <c r="B1132" s="12">
        <f t="shared" si="30"/>
        <v>1264.3530000000001</v>
      </c>
      <c r="C1132" s="10"/>
      <c r="E1132" s="11">
        <v>68973</v>
      </c>
      <c r="F1132" s="4">
        <f t="shared" si="29"/>
        <v>1264.3530000000001</v>
      </c>
    </row>
    <row r="1133" spans="1:6">
      <c r="A1133" s="11">
        <v>69003</v>
      </c>
      <c r="B1133" s="12">
        <f t="shared" si="30"/>
        <v>1264.3530000000001</v>
      </c>
      <c r="C1133" s="10"/>
      <c r="E1133" s="11">
        <v>69003</v>
      </c>
      <c r="F1133" s="4">
        <f t="shared" si="29"/>
        <v>1264.3530000000001</v>
      </c>
    </row>
    <row r="1134" spans="1:6">
      <c r="A1134" s="11">
        <v>69034</v>
      </c>
      <c r="B1134" s="12">
        <f t="shared" si="30"/>
        <v>1264.3530000000001</v>
      </c>
      <c r="C1134" s="10"/>
      <c r="E1134" s="11">
        <v>69034</v>
      </c>
      <c r="F1134" s="4">
        <f t="shared" si="29"/>
        <v>1264.3530000000001</v>
      </c>
    </row>
    <row r="1135" spans="1:6">
      <c r="A1135" s="11">
        <v>69065</v>
      </c>
      <c r="B1135" s="12">
        <f t="shared" si="30"/>
        <v>1264.3530000000001</v>
      </c>
      <c r="C1135" s="10"/>
      <c r="E1135" s="11">
        <v>69065</v>
      </c>
      <c r="F1135" s="4">
        <f t="shared" si="29"/>
        <v>1264.3530000000001</v>
      </c>
    </row>
    <row r="1136" spans="1:6">
      <c r="A1136" s="11">
        <v>69093</v>
      </c>
      <c r="B1136" s="12">
        <f t="shared" si="30"/>
        <v>1264.3530000000001</v>
      </c>
      <c r="C1136" s="10"/>
      <c r="E1136" s="11">
        <v>69093</v>
      </c>
      <c r="F1136" s="4">
        <f t="shared" si="29"/>
        <v>1264.3530000000001</v>
      </c>
    </row>
    <row r="1137" spans="1:6">
      <c r="A1137" s="11">
        <v>69124</v>
      </c>
      <c r="B1137" s="12">
        <f t="shared" si="30"/>
        <v>1264.3530000000001</v>
      </c>
      <c r="C1137" s="10"/>
      <c r="E1137" s="11">
        <v>69124</v>
      </c>
      <c r="F1137" s="4">
        <f t="shared" si="29"/>
        <v>1264.3530000000001</v>
      </c>
    </row>
    <row r="1138" spans="1:6">
      <c r="A1138" s="11">
        <v>69154</v>
      </c>
      <c r="B1138" s="12">
        <f t="shared" si="30"/>
        <v>1264.3530000000001</v>
      </c>
      <c r="C1138" s="10"/>
      <c r="E1138" s="11">
        <v>69154</v>
      </c>
      <c r="F1138" s="4">
        <f t="shared" si="29"/>
        <v>1264.3530000000001</v>
      </c>
    </row>
    <row r="1139" spans="1:6">
      <c r="A1139" s="11">
        <v>69185</v>
      </c>
      <c r="B1139" s="12">
        <f t="shared" si="30"/>
        <v>1264.3530000000001</v>
      </c>
      <c r="C1139" s="10"/>
      <c r="E1139" s="11">
        <v>69185</v>
      </c>
      <c r="F1139" s="4">
        <f t="shared" si="29"/>
        <v>1264.3530000000001</v>
      </c>
    </row>
    <row r="1140" spans="1:6">
      <c r="A1140" s="11">
        <v>69215</v>
      </c>
      <c r="B1140" s="12">
        <f t="shared" si="30"/>
        <v>1264.3530000000001</v>
      </c>
      <c r="C1140" s="10"/>
      <c r="E1140" s="11">
        <v>69215</v>
      </c>
      <c r="F1140" s="4">
        <f t="shared" si="29"/>
        <v>1264.3530000000001</v>
      </c>
    </row>
    <row r="1141" spans="1:6">
      <c r="A1141" s="11">
        <v>69246</v>
      </c>
      <c r="B1141" s="12">
        <f t="shared" si="30"/>
        <v>1264.3530000000001</v>
      </c>
      <c r="C1141" s="10"/>
      <c r="E1141" s="11">
        <v>69246</v>
      </c>
      <c r="F1141" s="4">
        <f t="shared" si="29"/>
        <v>1264.3530000000001</v>
      </c>
    </row>
    <row r="1142" spans="1:6">
      <c r="A1142" s="11">
        <v>69277</v>
      </c>
      <c r="B1142" s="12">
        <f t="shared" si="30"/>
        <v>1264.3530000000001</v>
      </c>
      <c r="C1142" s="10"/>
      <c r="E1142" s="11">
        <v>69277</v>
      </c>
      <c r="F1142" s="4">
        <f t="shared" si="29"/>
        <v>1264.3530000000001</v>
      </c>
    </row>
    <row r="1143" spans="1:6">
      <c r="A1143" s="11">
        <v>69307</v>
      </c>
      <c r="B1143" s="12">
        <f t="shared" si="30"/>
        <v>1264.3530000000001</v>
      </c>
      <c r="C1143" s="10"/>
      <c r="E1143" s="11">
        <v>69307</v>
      </c>
      <c r="F1143" s="4">
        <f t="shared" si="29"/>
        <v>1264.3530000000001</v>
      </c>
    </row>
    <row r="1144" spans="1:6">
      <c r="A1144" s="11">
        <v>69338</v>
      </c>
      <c r="B1144" s="12">
        <f t="shared" si="30"/>
        <v>1264.3530000000001</v>
      </c>
      <c r="C1144" s="10"/>
      <c r="E1144" s="11">
        <v>69338</v>
      </c>
      <c r="F1144" s="4">
        <f t="shared" si="29"/>
        <v>1264.3530000000001</v>
      </c>
    </row>
    <row r="1145" spans="1:6">
      <c r="A1145" s="11">
        <v>69368</v>
      </c>
      <c r="B1145" s="12">
        <f t="shared" si="30"/>
        <v>1264.3530000000001</v>
      </c>
      <c r="C1145" s="10"/>
      <c r="E1145" s="11">
        <v>69368</v>
      </c>
      <c r="F1145" s="4">
        <f t="shared" si="29"/>
        <v>1264.3530000000001</v>
      </c>
    </row>
    <row r="1146" spans="1:6">
      <c r="A1146" s="11">
        <v>69399</v>
      </c>
      <c r="B1146" s="12">
        <f t="shared" si="30"/>
        <v>1264.3530000000001</v>
      </c>
      <c r="C1146" s="10"/>
      <c r="E1146" s="11">
        <v>69399</v>
      </c>
      <c r="F1146" s="4">
        <f t="shared" si="29"/>
        <v>1264.3530000000001</v>
      </c>
    </row>
    <row r="1147" spans="1:6">
      <c r="A1147" s="11">
        <v>69430</v>
      </c>
      <c r="B1147" s="12">
        <f t="shared" si="30"/>
        <v>1264.3530000000001</v>
      </c>
      <c r="C1147" s="10"/>
      <c r="E1147" s="11">
        <v>69430</v>
      </c>
      <c r="F1147" s="4">
        <f t="shared" si="29"/>
        <v>1264.3530000000001</v>
      </c>
    </row>
    <row r="1148" spans="1:6">
      <c r="A1148" s="11">
        <v>69458</v>
      </c>
      <c r="B1148" s="12">
        <f t="shared" si="30"/>
        <v>1264.3530000000001</v>
      </c>
      <c r="C1148" s="10"/>
      <c r="E1148" s="11">
        <v>69458</v>
      </c>
      <c r="F1148" s="4">
        <f t="shared" si="29"/>
        <v>1264.3530000000001</v>
      </c>
    </row>
    <row r="1149" spans="1:6">
      <c r="A1149" s="11">
        <v>69489</v>
      </c>
      <c r="B1149" s="12">
        <f t="shared" si="30"/>
        <v>1264.3530000000001</v>
      </c>
      <c r="C1149" s="10"/>
      <c r="E1149" s="11">
        <v>69489</v>
      </c>
      <c r="F1149" s="4">
        <f t="shared" si="29"/>
        <v>1264.3530000000001</v>
      </c>
    </row>
    <row r="1150" spans="1:6">
      <c r="A1150" s="11">
        <v>69519</v>
      </c>
      <c r="B1150" s="12">
        <f t="shared" si="30"/>
        <v>1264.3530000000001</v>
      </c>
      <c r="C1150" s="10"/>
      <c r="E1150" s="11">
        <v>69519</v>
      </c>
      <c r="F1150" s="4">
        <f t="shared" si="29"/>
        <v>1264.3530000000001</v>
      </c>
    </row>
    <row r="1151" spans="1:6">
      <c r="A1151" s="11">
        <v>69550</v>
      </c>
      <c r="B1151" s="12">
        <f t="shared" si="30"/>
        <v>1264.3530000000001</v>
      </c>
      <c r="C1151" s="10"/>
      <c r="E1151" s="11">
        <v>69550</v>
      </c>
      <c r="F1151" s="4">
        <f t="shared" si="29"/>
        <v>1264.3530000000001</v>
      </c>
    </row>
    <row r="1152" spans="1:6">
      <c r="A1152" s="11">
        <v>69580</v>
      </c>
      <c r="B1152" s="12">
        <f t="shared" si="30"/>
        <v>1264.3530000000001</v>
      </c>
      <c r="C1152" s="10"/>
      <c r="E1152" s="11">
        <v>69580</v>
      </c>
      <c r="F1152" s="4">
        <f t="shared" si="29"/>
        <v>1264.3530000000001</v>
      </c>
    </row>
    <row r="1153" spans="1:6">
      <c r="A1153" s="11">
        <v>69611</v>
      </c>
      <c r="B1153" s="12">
        <f t="shared" si="30"/>
        <v>1264.3530000000001</v>
      </c>
      <c r="C1153" s="10"/>
      <c r="E1153" s="11">
        <v>69611</v>
      </c>
      <c r="F1153" s="4">
        <f t="shared" si="29"/>
        <v>1264.3530000000001</v>
      </c>
    </row>
    <row r="1154" spans="1:6">
      <c r="A1154" s="11">
        <v>69642</v>
      </c>
      <c r="B1154" s="12">
        <f t="shared" si="30"/>
        <v>1264.3530000000001</v>
      </c>
      <c r="C1154" s="10"/>
      <c r="E1154" s="11">
        <v>69642</v>
      </c>
      <c r="F1154" s="4">
        <f t="shared" si="29"/>
        <v>1264.3530000000001</v>
      </c>
    </row>
    <row r="1155" spans="1:6">
      <c r="A1155" s="11">
        <v>69672</v>
      </c>
      <c r="B1155" s="12">
        <f t="shared" si="30"/>
        <v>1264.3530000000001</v>
      </c>
      <c r="C1155" s="10"/>
      <c r="E1155" s="11">
        <v>69672</v>
      </c>
      <c r="F1155" s="4">
        <f t="shared" ref="F1155:F1218" si="31">B1154</f>
        <v>1264.3530000000001</v>
      </c>
    </row>
    <row r="1156" spans="1:6">
      <c r="A1156" s="11">
        <v>69703</v>
      </c>
      <c r="B1156" s="12">
        <f t="shared" si="30"/>
        <v>1264.3530000000001</v>
      </c>
      <c r="C1156" s="10"/>
      <c r="E1156" s="11">
        <v>69703</v>
      </c>
      <c r="F1156" s="4">
        <f t="shared" si="31"/>
        <v>1264.3530000000001</v>
      </c>
    </row>
    <row r="1157" spans="1:6">
      <c r="A1157" s="11">
        <v>69733</v>
      </c>
      <c r="B1157" s="12">
        <f t="shared" si="30"/>
        <v>1264.3530000000001</v>
      </c>
      <c r="C1157" s="10"/>
      <c r="E1157" s="11">
        <v>69733</v>
      </c>
      <c r="F1157" s="4">
        <f t="shared" si="31"/>
        <v>1264.3530000000001</v>
      </c>
    </row>
    <row r="1158" spans="1:6">
      <c r="A1158" s="11">
        <v>69764</v>
      </c>
      <c r="B1158" s="12">
        <f t="shared" si="30"/>
        <v>1264.3530000000001</v>
      </c>
      <c r="C1158" s="10"/>
      <c r="E1158" s="11">
        <v>69764</v>
      </c>
      <c r="F1158" s="4">
        <f t="shared" si="31"/>
        <v>1264.3530000000001</v>
      </c>
    </row>
    <row r="1159" spans="1:6">
      <c r="A1159" s="11">
        <v>69795</v>
      </c>
      <c r="B1159" s="12">
        <f t="shared" si="30"/>
        <v>1264.3530000000001</v>
      </c>
      <c r="C1159" s="10"/>
      <c r="E1159" s="11">
        <v>69795</v>
      </c>
      <c r="F1159" s="4">
        <f t="shared" si="31"/>
        <v>1264.3530000000001</v>
      </c>
    </row>
    <row r="1160" spans="1:6">
      <c r="A1160" s="11">
        <v>69823</v>
      </c>
      <c r="B1160" s="12">
        <f t="shared" si="30"/>
        <v>1264.3530000000001</v>
      </c>
      <c r="C1160" s="10"/>
      <c r="E1160" s="11">
        <v>69823</v>
      </c>
      <c r="F1160" s="4">
        <f t="shared" si="31"/>
        <v>1264.3530000000001</v>
      </c>
    </row>
    <row r="1161" spans="1:6">
      <c r="A1161" s="11">
        <v>69854</v>
      </c>
      <c r="B1161" s="12">
        <f t="shared" si="30"/>
        <v>1264.3530000000001</v>
      </c>
      <c r="C1161" s="10"/>
      <c r="E1161" s="11">
        <v>69854</v>
      </c>
      <c r="F1161" s="4">
        <f t="shared" si="31"/>
        <v>1264.3530000000001</v>
      </c>
    </row>
    <row r="1162" spans="1:6">
      <c r="A1162" s="11">
        <v>69884</v>
      </c>
      <c r="B1162" s="12">
        <f t="shared" si="30"/>
        <v>1264.3530000000001</v>
      </c>
      <c r="C1162" s="10"/>
      <c r="E1162" s="11">
        <v>69884</v>
      </c>
      <c r="F1162" s="4">
        <f t="shared" si="31"/>
        <v>1264.3530000000001</v>
      </c>
    </row>
    <row r="1163" spans="1:6">
      <c r="A1163" s="11">
        <v>69915</v>
      </c>
      <c r="B1163" s="12">
        <f t="shared" si="30"/>
        <v>1264.3530000000001</v>
      </c>
      <c r="C1163" s="10"/>
      <c r="E1163" s="11">
        <v>69915</v>
      </c>
      <c r="F1163" s="4">
        <f t="shared" si="31"/>
        <v>1264.3530000000001</v>
      </c>
    </row>
    <row r="1164" spans="1:6">
      <c r="A1164" s="11">
        <v>69945</v>
      </c>
      <c r="B1164" s="12">
        <f t="shared" si="30"/>
        <v>1264.3530000000001</v>
      </c>
      <c r="C1164" s="10"/>
      <c r="E1164" s="11">
        <v>69945</v>
      </c>
      <c r="F1164" s="4">
        <f t="shared" si="31"/>
        <v>1264.3530000000001</v>
      </c>
    </row>
    <row r="1165" spans="1:6">
      <c r="A1165" s="11">
        <v>69976</v>
      </c>
      <c r="B1165" s="12">
        <f t="shared" si="30"/>
        <v>1264.3530000000001</v>
      </c>
      <c r="C1165" s="10"/>
      <c r="E1165" s="11">
        <v>69976</v>
      </c>
      <c r="F1165" s="4">
        <f t="shared" si="31"/>
        <v>1264.3530000000001</v>
      </c>
    </row>
    <row r="1166" spans="1:6">
      <c r="A1166" s="11">
        <v>70007</v>
      </c>
      <c r="B1166" s="12">
        <f t="shared" si="30"/>
        <v>1264.3530000000001</v>
      </c>
      <c r="C1166" s="10"/>
      <c r="E1166" s="11">
        <v>70007</v>
      </c>
      <c r="F1166" s="4">
        <f t="shared" si="31"/>
        <v>1264.3530000000001</v>
      </c>
    </row>
    <row r="1167" spans="1:6">
      <c r="A1167" s="11">
        <v>70037</v>
      </c>
      <c r="B1167" s="12">
        <f t="shared" si="30"/>
        <v>1264.3530000000001</v>
      </c>
      <c r="C1167" s="10"/>
      <c r="E1167" s="11">
        <v>70037</v>
      </c>
      <c r="F1167" s="4">
        <f t="shared" si="31"/>
        <v>1264.3530000000001</v>
      </c>
    </row>
    <row r="1168" spans="1:6">
      <c r="A1168" s="11">
        <v>70068</v>
      </c>
      <c r="B1168" s="12">
        <f t="shared" si="30"/>
        <v>1264.3530000000001</v>
      </c>
      <c r="C1168" s="10"/>
      <c r="E1168" s="11">
        <v>70068</v>
      </c>
      <c r="F1168" s="4">
        <f t="shared" si="31"/>
        <v>1264.3530000000001</v>
      </c>
    </row>
    <row r="1169" spans="1:6">
      <c r="A1169" s="11">
        <v>70098</v>
      </c>
      <c r="B1169" s="12">
        <f t="shared" si="30"/>
        <v>1264.3530000000001</v>
      </c>
      <c r="C1169" s="10"/>
      <c r="E1169" s="11">
        <v>70098</v>
      </c>
      <c r="F1169" s="4">
        <f t="shared" si="31"/>
        <v>1264.3530000000001</v>
      </c>
    </row>
    <row r="1170" spans="1:6">
      <c r="A1170" s="11">
        <v>70129</v>
      </c>
      <c r="B1170" s="12">
        <f t="shared" si="30"/>
        <v>1264.3530000000001</v>
      </c>
      <c r="C1170" s="10"/>
      <c r="E1170" s="11">
        <v>70129</v>
      </c>
      <c r="F1170" s="4">
        <f t="shared" si="31"/>
        <v>1264.3530000000001</v>
      </c>
    </row>
    <row r="1171" spans="1:6">
      <c r="A1171" s="11">
        <v>70160</v>
      </c>
      <c r="B1171" s="12">
        <f t="shared" si="30"/>
        <v>1264.3530000000001</v>
      </c>
      <c r="C1171" s="10"/>
      <c r="E1171" s="11">
        <v>70160</v>
      </c>
      <c r="F1171" s="4">
        <f t="shared" si="31"/>
        <v>1264.3530000000001</v>
      </c>
    </row>
    <row r="1172" spans="1:6">
      <c r="A1172" s="11">
        <v>70189</v>
      </c>
      <c r="B1172" s="12">
        <f t="shared" si="30"/>
        <v>1264.3530000000001</v>
      </c>
      <c r="C1172" s="10"/>
      <c r="E1172" s="11">
        <v>70189</v>
      </c>
      <c r="F1172" s="4">
        <f t="shared" si="31"/>
        <v>1264.3530000000001</v>
      </c>
    </row>
    <row r="1173" spans="1:6">
      <c r="A1173" s="11">
        <v>70220</v>
      </c>
      <c r="B1173" s="12">
        <f t="shared" si="30"/>
        <v>1264.3530000000001</v>
      </c>
      <c r="C1173" s="10"/>
      <c r="E1173" s="11">
        <v>70220</v>
      </c>
      <c r="F1173" s="4">
        <f t="shared" si="31"/>
        <v>1264.3530000000001</v>
      </c>
    </row>
    <row r="1174" spans="1:6">
      <c r="A1174" s="11">
        <v>70250</v>
      </c>
      <c r="B1174" s="12">
        <f t="shared" si="30"/>
        <v>1264.3530000000001</v>
      </c>
      <c r="C1174" s="10"/>
      <c r="E1174" s="11">
        <v>70250</v>
      </c>
      <c r="F1174" s="4">
        <f t="shared" si="31"/>
        <v>1264.3530000000001</v>
      </c>
    </row>
    <row r="1175" spans="1:6">
      <c r="A1175" s="11">
        <v>70281</v>
      </c>
      <c r="B1175" s="12">
        <f t="shared" si="30"/>
        <v>1264.3530000000001</v>
      </c>
      <c r="C1175" s="10"/>
      <c r="E1175" s="11">
        <v>70281</v>
      </c>
      <c r="F1175" s="4">
        <f t="shared" si="31"/>
        <v>1264.3530000000001</v>
      </c>
    </row>
    <row r="1176" spans="1:6">
      <c r="A1176" s="11">
        <v>70311</v>
      </c>
      <c r="B1176" s="12">
        <f t="shared" si="30"/>
        <v>1264.3530000000001</v>
      </c>
      <c r="C1176" s="10"/>
      <c r="E1176" s="11">
        <v>70311</v>
      </c>
      <c r="F1176" s="4">
        <f t="shared" si="31"/>
        <v>1264.3530000000001</v>
      </c>
    </row>
    <row r="1177" spans="1:6">
      <c r="A1177" s="11">
        <v>70342</v>
      </c>
      <c r="B1177" s="12">
        <f t="shared" si="30"/>
        <v>1264.3530000000001</v>
      </c>
      <c r="C1177" s="10"/>
      <c r="E1177" s="11">
        <v>70342</v>
      </c>
      <c r="F1177" s="4">
        <f t="shared" si="31"/>
        <v>1264.3530000000001</v>
      </c>
    </row>
    <row r="1178" spans="1:6">
      <c r="A1178" s="11">
        <v>70373</v>
      </c>
      <c r="B1178" s="12">
        <f t="shared" si="30"/>
        <v>1264.3530000000001</v>
      </c>
      <c r="C1178" s="10"/>
      <c r="E1178" s="11">
        <v>70373</v>
      </c>
      <c r="F1178" s="4">
        <f t="shared" si="31"/>
        <v>1264.3530000000001</v>
      </c>
    </row>
    <row r="1179" spans="1:6">
      <c r="A1179" s="11">
        <v>70403</v>
      </c>
      <c r="B1179" s="12">
        <f t="shared" si="30"/>
        <v>1264.3530000000001</v>
      </c>
      <c r="C1179" s="10"/>
      <c r="E1179" s="11">
        <v>70403</v>
      </c>
      <c r="F1179" s="4">
        <f t="shared" si="31"/>
        <v>1264.3530000000001</v>
      </c>
    </row>
    <row r="1180" spans="1:6">
      <c r="A1180" s="11">
        <v>70434</v>
      </c>
      <c r="B1180" s="12">
        <f t="shared" si="30"/>
        <v>1264.3530000000001</v>
      </c>
      <c r="C1180" s="10"/>
      <c r="E1180" s="11">
        <v>70434</v>
      </c>
      <c r="F1180" s="4">
        <f t="shared" si="31"/>
        <v>1264.3530000000001</v>
      </c>
    </row>
    <row r="1181" spans="1:6">
      <c r="A1181" s="11">
        <v>70464</v>
      </c>
      <c r="B1181" s="12">
        <f t="shared" si="30"/>
        <v>1264.3530000000001</v>
      </c>
      <c r="C1181" s="10"/>
      <c r="E1181" s="11">
        <v>70464</v>
      </c>
      <c r="F1181" s="4">
        <f t="shared" si="31"/>
        <v>1264.3530000000001</v>
      </c>
    </row>
    <row r="1182" spans="1:6">
      <c r="A1182" s="11">
        <v>70495</v>
      </c>
      <c r="B1182" s="12">
        <f t="shared" ref="B1182:B1245" si="32">B1181</f>
        <v>1264.3530000000001</v>
      </c>
      <c r="C1182" s="10"/>
      <c r="E1182" s="11">
        <v>70495</v>
      </c>
      <c r="F1182" s="4">
        <f t="shared" si="31"/>
        <v>1264.3530000000001</v>
      </c>
    </row>
    <row r="1183" spans="1:6">
      <c r="A1183" s="11">
        <v>70526</v>
      </c>
      <c r="B1183" s="12">
        <f t="shared" si="32"/>
        <v>1264.3530000000001</v>
      </c>
      <c r="C1183" s="10"/>
      <c r="E1183" s="11">
        <v>70526</v>
      </c>
      <c r="F1183" s="4">
        <f t="shared" si="31"/>
        <v>1264.3530000000001</v>
      </c>
    </row>
    <row r="1184" spans="1:6">
      <c r="A1184" s="11">
        <v>70554</v>
      </c>
      <c r="B1184" s="12">
        <f t="shared" si="32"/>
        <v>1264.3530000000001</v>
      </c>
      <c r="C1184" s="10"/>
      <c r="E1184" s="11">
        <v>70554</v>
      </c>
      <c r="F1184" s="4">
        <f t="shared" si="31"/>
        <v>1264.3530000000001</v>
      </c>
    </row>
    <row r="1185" spans="1:6">
      <c r="A1185" s="11">
        <v>70585</v>
      </c>
      <c r="B1185" s="12">
        <f t="shared" si="32"/>
        <v>1264.3530000000001</v>
      </c>
      <c r="C1185" s="10"/>
      <c r="E1185" s="11">
        <v>70585</v>
      </c>
      <c r="F1185" s="4">
        <f t="shared" si="31"/>
        <v>1264.3530000000001</v>
      </c>
    </row>
    <row r="1186" spans="1:6">
      <c r="A1186" s="11">
        <v>70615</v>
      </c>
      <c r="B1186" s="12">
        <f t="shared" si="32"/>
        <v>1264.3530000000001</v>
      </c>
      <c r="C1186" s="10"/>
      <c r="E1186" s="11">
        <v>70615</v>
      </c>
      <c r="F1186" s="4">
        <f t="shared" si="31"/>
        <v>1264.3530000000001</v>
      </c>
    </row>
    <row r="1187" spans="1:6">
      <c r="A1187" s="11">
        <v>70646</v>
      </c>
      <c r="B1187" s="12">
        <f t="shared" si="32"/>
        <v>1264.3530000000001</v>
      </c>
      <c r="C1187" s="10"/>
      <c r="E1187" s="11">
        <v>70646</v>
      </c>
      <c r="F1187" s="4">
        <f t="shared" si="31"/>
        <v>1264.3530000000001</v>
      </c>
    </row>
    <row r="1188" spans="1:6">
      <c r="A1188" s="11">
        <v>70676</v>
      </c>
      <c r="B1188" s="12">
        <f t="shared" si="32"/>
        <v>1264.3530000000001</v>
      </c>
      <c r="C1188" s="10"/>
      <c r="E1188" s="11">
        <v>70676</v>
      </c>
      <c r="F1188" s="4">
        <f t="shared" si="31"/>
        <v>1264.3530000000001</v>
      </c>
    </row>
    <row r="1189" spans="1:6">
      <c r="A1189" s="11">
        <v>70707</v>
      </c>
      <c r="B1189" s="12">
        <f t="shared" si="32"/>
        <v>1264.3530000000001</v>
      </c>
      <c r="C1189" s="10"/>
      <c r="E1189" s="11">
        <v>70707</v>
      </c>
      <c r="F1189" s="4">
        <f t="shared" si="31"/>
        <v>1264.3530000000001</v>
      </c>
    </row>
    <row r="1190" spans="1:6">
      <c r="A1190" s="11">
        <v>70738</v>
      </c>
      <c r="B1190" s="12">
        <f t="shared" si="32"/>
        <v>1264.3530000000001</v>
      </c>
      <c r="C1190" s="10"/>
      <c r="E1190" s="11">
        <v>70738</v>
      </c>
      <c r="F1190" s="4">
        <f t="shared" si="31"/>
        <v>1264.3530000000001</v>
      </c>
    </row>
    <row r="1191" spans="1:6">
      <c r="A1191" s="11">
        <v>70768</v>
      </c>
      <c r="B1191" s="12">
        <f t="shared" si="32"/>
        <v>1264.3530000000001</v>
      </c>
      <c r="C1191" s="10"/>
      <c r="E1191" s="11">
        <v>70768</v>
      </c>
      <c r="F1191" s="4">
        <f t="shared" si="31"/>
        <v>1264.3530000000001</v>
      </c>
    </row>
    <row r="1192" spans="1:6">
      <c r="A1192" s="11">
        <v>70799</v>
      </c>
      <c r="B1192" s="12">
        <f t="shared" si="32"/>
        <v>1264.3530000000001</v>
      </c>
      <c r="C1192" s="10"/>
      <c r="E1192" s="11">
        <v>70799</v>
      </c>
      <c r="F1192" s="4">
        <f t="shared" si="31"/>
        <v>1264.3530000000001</v>
      </c>
    </row>
    <row r="1193" spans="1:6">
      <c r="A1193" s="11">
        <v>70829</v>
      </c>
      <c r="B1193" s="12">
        <f t="shared" si="32"/>
        <v>1264.3530000000001</v>
      </c>
      <c r="C1193" s="10"/>
      <c r="E1193" s="11">
        <v>70829</v>
      </c>
      <c r="F1193" s="4">
        <f t="shared" si="31"/>
        <v>1264.3530000000001</v>
      </c>
    </row>
    <row r="1194" spans="1:6">
      <c r="A1194" s="11">
        <v>70860</v>
      </c>
      <c r="B1194" s="12">
        <f t="shared" si="32"/>
        <v>1264.3530000000001</v>
      </c>
      <c r="C1194" s="10"/>
      <c r="E1194" s="11">
        <v>70860</v>
      </c>
      <c r="F1194" s="4">
        <f t="shared" si="31"/>
        <v>1264.3530000000001</v>
      </c>
    </row>
    <row r="1195" spans="1:6">
      <c r="A1195" s="11">
        <v>70891</v>
      </c>
      <c r="B1195" s="12">
        <f t="shared" si="32"/>
        <v>1264.3530000000001</v>
      </c>
      <c r="C1195" s="10"/>
      <c r="E1195" s="11">
        <v>70891</v>
      </c>
      <c r="F1195" s="4">
        <f t="shared" si="31"/>
        <v>1264.3530000000001</v>
      </c>
    </row>
    <row r="1196" spans="1:6">
      <c r="A1196" s="11">
        <v>70919</v>
      </c>
      <c r="B1196" s="12">
        <f t="shared" si="32"/>
        <v>1264.3530000000001</v>
      </c>
      <c r="C1196" s="10"/>
      <c r="E1196" s="11">
        <v>70919</v>
      </c>
      <c r="F1196" s="4">
        <f t="shared" si="31"/>
        <v>1264.3530000000001</v>
      </c>
    </row>
    <row r="1197" spans="1:6">
      <c r="A1197" s="11">
        <v>70950</v>
      </c>
      <c r="B1197" s="12">
        <f t="shared" si="32"/>
        <v>1264.3530000000001</v>
      </c>
      <c r="C1197" s="10"/>
      <c r="E1197" s="11">
        <v>70950</v>
      </c>
      <c r="F1197" s="4">
        <f t="shared" si="31"/>
        <v>1264.3530000000001</v>
      </c>
    </row>
    <row r="1198" spans="1:6">
      <c r="A1198" s="11">
        <v>70980</v>
      </c>
      <c r="B1198" s="12">
        <f t="shared" si="32"/>
        <v>1264.3530000000001</v>
      </c>
      <c r="C1198" s="10"/>
      <c r="E1198" s="11">
        <v>70980</v>
      </c>
      <c r="F1198" s="4">
        <f t="shared" si="31"/>
        <v>1264.3530000000001</v>
      </c>
    </row>
    <row r="1199" spans="1:6">
      <c r="A1199" s="11">
        <v>71011</v>
      </c>
      <c r="B1199" s="12">
        <f t="shared" si="32"/>
        <v>1264.3530000000001</v>
      </c>
      <c r="C1199" s="10"/>
      <c r="E1199" s="11">
        <v>71011</v>
      </c>
      <c r="F1199" s="4">
        <f t="shared" si="31"/>
        <v>1264.3530000000001</v>
      </c>
    </row>
    <row r="1200" spans="1:6">
      <c r="A1200" s="11">
        <v>71041</v>
      </c>
      <c r="B1200" s="12">
        <f t="shared" si="32"/>
        <v>1264.3530000000001</v>
      </c>
      <c r="C1200" s="10"/>
      <c r="E1200" s="11">
        <v>71041</v>
      </c>
      <c r="F1200" s="4">
        <f t="shared" si="31"/>
        <v>1264.3530000000001</v>
      </c>
    </row>
    <row r="1201" spans="1:6">
      <c r="A1201" s="11">
        <v>71072</v>
      </c>
      <c r="B1201" s="12">
        <f t="shared" si="32"/>
        <v>1264.3530000000001</v>
      </c>
      <c r="C1201" s="10"/>
      <c r="E1201" s="11">
        <v>71072</v>
      </c>
      <c r="F1201" s="4">
        <f t="shared" si="31"/>
        <v>1264.3530000000001</v>
      </c>
    </row>
    <row r="1202" spans="1:6">
      <c r="A1202" s="11">
        <v>71103</v>
      </c>
      <c r="B1202" s="12">
        <f t="shared" si="32"/>
        <v>1264.3530000000001</v>
      </c>
      <c r="C1202" s="10"/>
      <c r="E1202" s="11">
        <v>71103</v>
      </c>
      <c r="F1202" s="4">
        <f t="shared" si="31"/>
        <v>1264.3530000000001</v>
      </c>
    </row>
    <row r="1203" spans="1:6">
      <c r="A1203" s="11">
        <v>71133</v>
      </c>
      <c r="B1203" s="12">
        <f t="shared" si="32"/>
        <v>1264.3530000000001</v>
      </c>
      <c r="C1203" s="10"/>
      <c r="E1203" s="11">
        <v>71133</v>
      </c>
      <c r="F1203" s="4">
        <f t="shared" si="31"/>
        <v>1264.3530000000001</v>
      </c>
    </row>
    <row r="1204" spans="1:6">
      <c r="A1204" s="11">
        <v>71164</v>
      </c>
      <c r="B1204" s="12">
        <f t="shared" si="32"/>
        <v>1264.3530000000001</v>
      </c>
      <c r="C1204" s="10"/>
      <c r="E1204" s="11">
        <v>71164</v>
      </c>
      <c r="F1204" s="4">
        <f t="shared" si="31"/>
        <v>1264.3530000000001</v>
      </c>
    </row>
    <row r="1205" spans="1:6">
      <c r="A1205" s="11">
        <v>71194</v>
      </c>
      <c r="B1205" s="12">
        <f t="shared" si="32"/>
        <v>1264.3530000000001</v>
      </c>
      <c r="C1205" s="10"/>
      <c r="E1205" s="11">
        <v>71194</v>
      </c>
      <c r="F1205" s="4">
        <f t="shared" si="31"/>
        <v>1264.3530000000001</v>
      </c>
    </row>
    <row r="1206" spans="1:6">
      <c r="A1206" s="11">
        <v>71225</v>
      </c>
      <c r="B1206" s="12">
        <f t="shared" si="32"/>
        <v>1264.3530000000001</v>
      </c>
      <c r="C1206" s="10"/>
      <c r="E1206" s="11">
        <v>71225</v>
      </c>
      <c r="F1206" s="4">
        <f t="shared" si="31"/>
        <v>1264.3530000000001</v>
      </c>
    </row>
    <row r="1207" spans="1:6">
      <c r="A1207" s="11">
        <v>71256</v>
      </c>
      <c r="B1207" s="12">
        <f t="shared" si="32"/>
        <v>1264.3530000000001</v>
      </c>
      <c r="C1207" s="10"/>
      <c r="E1207" s="11">
        <v>71256</v>
      </c>
      <c r="F1207" s="4">
        <f t="shared" si="31"/>
        <v>1264.3530000000001</v>
      </c>
    </row>
    <row r="1208" spans="1:6">
      <c r="A1208" s="11">
        <v>71284</v>
      </c>
      <c r="B1208" s="12">
        <f t="shared" si="32"/>
        <v>1264.3530000000001</v>
      </c>
      <c r="C1208" s="10"/>
      <c r="E1208" s="11">
        <v>71284</v>
      </c>
      <c r="F1208" s="4">
        <f t="shared" si="31"/>
        <v>1264.3530000000001</v>
      </c>
    </row>
    <row r="1209" spans="1:6">
      <c r="A1209" s="11">
        <v>71315</v>
      </c>
      <c r="B1209" s="12">
        <f t="shared" si="32"/>
        <v>1264.3530000000001</v>
      </c>
      <c r="C1209" s="10"/>
      <c r="E1209" s="11">
        <v>71315</v>
      </c>
      <c r="F1209" s="4">
        <f t="shared" si="31"/>
        <v>1264.3530000000001</v>
      </c>
    </row>
    <row r="1210" spans="1:6">
      <c r="A1210" s="11">
        <v>71345</v>
      </c>
      <c r="B1210" s="12">
        <f t="shared" si="32"/>
        <v>1264.3530000000001</v>
      </c>
      <c r="C1210" s="10"/>
      <c r="E1210" s="11">
        <v>71345</v>
      </c>
      <c r="F1210" s="4">
        <f t="shared" si="31"/>
        <v>1264.3530000000001</v>
      </c>
    </row>
    <row r="1211" spans="1:6">
      <c r="A1211" s="11">
        <v>71376</v>
      </c>
      <c r="B1211" s="12">
        <f t="shared" si="32"/>
        <v>1264.3530000000001</v>
      </c>
      <c r="C1211" s="10"/>
      <c r="E1211" s="11">
        <v>71376</v>
      </c>
      <c r="F1211" s="4">
        <f t="shared" si="31"/>
        <v>1264.3530000000001</v>
      </c>
    </row>
    <row r="1212" spans="1:6">
      <c r="A1212" s="11">
        <v>71406</v>
      </c>
      <c r="B1212" s="12">
        <f t="shared" si="32"/>
        <v>1264.3530000000001</v>
      </c>
      <c r="C1212" s="10"/>
      <c r="E1212" s="11">
        <v>71406</v>
      </c>
      <c r="F1212" s="4">
        <f t="shared" si="31"/>
        <v>1264.3530000000001</v>
      </c>
    </row>
    <row r="1213" spans="1:6">
      <c r="A1213" s="11">
        <v>71437</v>
      </c>
      <c r="B1213" s="12">
        <f t="shared" si="32"/>
        <v>1264.3530000000001</v>
      </c>
      <c r="C1213" s="10"/>
      <c r="E1213" s="11">
        <v>71437</v>
      </c>
      <c r="F1213" s="4">
        <f t="shared" si="31"/>
        <v>1264.3530000000001</v>
      </c>
    </row>
    <row r="1214" spans="1:6">
      <c r="A1214" s="11">
        <v>71468</v>
      </c>
      <c r="B1214" s="12">
        <f t="shared" si="32"/>
        <v>1264.3530000000001</v>
      </c>
      <c r="C1214" s="10"/>
      <c r="E1214" s="11">
        <v>71468</v>
      </c>
      <c r="F1214" s="4">
        <f t="shared" si="31"/>
        <v>1264.3530000000001</v>
      </c>
    </row>
    <row r="1215" spans="1:6">
      <c r="A1215" s="11">
        <v>71498</v>
      </c>
      <c r="B1215" s="12">
        <f t="shared" si="32"/>
        <v>1264.3530000000001</v>
      </c>
      <c r="C1215" s="10"/>
      <c r="E1215" s="11">
        <v>71498</v>
      </c>
      <c r="F1215" s="4">
        <f t="shared" si="31"/>
        <v>1264.3530000000001</v>
      </c>
    </row>
    <row r="1216" spans="1:6">
      <c r="A1216" s="11">
        <v>71529</v>
      </c>
      <c r="B1216" s="12">
        <f t="shared" si="32"/>
        <v>1264.3530000000001</v>
      </c>
      <c r="C1216" s="10"/>
      <c r="E1216" s="11">
        <v>71529</v>
      </c>
      <c r="F1216" s="4">
        <f t="shared" si="31"/>
        <v>1264.3530000000001</v>
      </c>
    </row>
    <row r="1217" spans="1:6">
      <c r="A1217" s="11">
        <v>71559</v>
      </c>
      <c r="B1217" s="12">
        <f t="shared" si="32"/>
        <v>1264.3530000000001</v>
      </c>
      <c r="C1217" s="10"/>
      <c r="E1217" s="11">
        <v>71559</v>
      </c>
      <c r="F1217" s="4">
        <f t="shared" si="31"/>
        <v>1264.3530000000001</v>
      </c>
    </row>
    <row r="1218" spans="1:6">
      <c r="A1218" s="11">
        <v>71590</v>
      </c>
      <c r="B1218" s="12">
        <f t="shared" si="32"/>
        <v>1264.3530000000001</v>
      </c>
      <c r="C1218" s="10"/>
      <c r="E1218" s="11">
        <v>71590</v>
      </c>
      <c r="F1218" s="4">
        <f t="shared" si="31"/>
        <v>1264.3530000000001</v>
      </c>
    </row>
    <row r="1219" spans="1:6">
      <c r="A1219" s="11">
        <v>71621</v>
      </c>
      <c r="B1219" s="12">
        <f t="shared" si="32"/>
        <v>1264.3530000000001</v>
      </c>
      <c r="C1219" s="10"/>
      <c r="E1219" s="11">
        <v>71621</v>
      </c>
      <c r="F1219" s="4">
        <f t="shared" ref="F1219:F1282" si="33">B1218</f>
        <v>1264.3530000000001</v>
      </c>
    </row>
    <row r="1220" spans="1:6">
      <c r="A1220" s="11">
        <v>71650</v>
      </c>
      <c r="B1220" s="12">
        <f t="shared" si="32"/>
        <v>1264.3530000000001</v>
      </c>
      <c r="C1220" s="10"/>
      <c r="E1220" s="11">
        <v>71650</v>
      </c>
      <c r="F1220" s="4">
        <f t="shared" si="33"/>
        <v>1264.3530000000001</v>
      </c>
    </row>
    <row r="1221" spans="1:6">
      <c r="A1221" s="11">
        <v>71681</v>
      </c>
      <c r="B1221" s="12">
        <f t="shared" si="32"/>
        <v>1264.3530000000001</v>
      </c>
      <c r="C1221" s="10"/>
      <c r="E1221" s="11">
        <v>71681</v>
      </c>
      <c r="F1221" s="4">
        <f t="shared" si="33"/>
        <v>1264.3530000000001</v>
      </c>
    </row>
    <row r="1222" spans="1:6">
      <c r="A1222" s="11">
        <v>71711</v>
      </c>
      <c r="B1222" s="12">
        <f t="shared" si="32"/>
        <v>1264.3530000000001</v>
      </c>
      <c r="C1222" s="10"/>
      <c r="E1222" s="11">
        <v>71711</v>
      </c>
      <c r="F1222" s="4">
        <f t="shared" si="33"/>
        <v>1264.3530000000001</v>
      </c>
    </row>
    <row r="1223" spans="1:6">
      <c r="A1223" s="11">
        <v>71742</v>
      </c>
      <c r="B1223" s="12">
        <f t="shared" si="32"/>
        <v>1264.3530000000001</v>
      </c>
      <c r="C1223" s="10"/>
      <c r="E1223" s="11">
        <v>71742</v>
      </c>
      <c r="F1223" s="4">
        <f t="shared" si="33"/>
        <v>1264.3530000000001</v>
      </c>
    </row>
    <row r="1224" spans="1:6">
      <c r="A1224" s="11">
        <v>71772</v>
      </c>
      <c r="B1224" s="12">
        <f t="shared" si="32"/>
        <v>1264.3530000000001</v>
      </c>
      <c r="C1224" s="10"/>
      <c r="E1224" s="11">
        <v>71772</v>
      </c>
      <c r="F1224" s="4">
        <f t="shared" si="33"/>
        <v>1264.3530000000001</v>
      </c>
    </row>
    <row r="1225" spans="1:6">
      <c r="A1225" s="11">
        <v>71803</v>
      </c>
      <c r="B1225" s="12">
        <f t="shared" si="32"/>
        <v>1264.3530000000001</v>
      </c>
      <c r="C1225" s="10"/>
      <c r="E1225" s="11">
        <v>71803</v>
      </c>
      <c r="F1225" s="4">
        <f t="shared" si="33"/>
        <v>1264.3530000000001</v>
      </c>
    </row>
    <row r="1226" spans="1:6">
      <c r="A1226" s="11">
        <v>71834</v>
      </c>
      <c r="B1226" s="12">
        <f t="shared" si="32"/>
        <v>1264.3530000000001</v>
      </c>
      <c r="C1226" s="10"/>
      <c r="E1226" s="11">
        <v>71834</v>
      </c>
      <c r="F1226" s="4">
        <f t="shared" si="33"/>
        <v>1264.3530000000001</v>
      </c>
    </row>
    <row r="1227" spans="1:6">
      <c r="A1227" s="11">
        <v>71864</v>
      </c>
      <c r="B1227" s="12">
        <f t="shared" si="32"/>
        <v>1264.3530000000001</v>
      </c>
      <c r="C1227" s="10"/>
      <c r="E1227" s="11">
        <v>71864</v>
      </c>
      <c r="F1227" s="4">
        <f t="shared" si="33"/>
        <v>1264.3530000000001</v>
      </c>
    </row>
    <row r="1228" spans="1:6">
      <c r="A1228" s="11">
        <v>71895</v>
      </c>
      <c r="B1228" s="12">
        <f t="shared" si="32"/>
        <v>1264.3530000000001</v>
      </c>
      <c r="C1228" s="10"/>
      <c r="E1228" s="11">
        <v>71895</v>
      </c>
      <c r="F1228" s="4">
        <f t="shared" si="33"/>
        <v>1264.3530000000001</v>
      </c>
    </row>
    <row r="1229" spans="1:6">
      <c r="A1229" s="11">
        <v>71925</v>
      </c>
      <c r="B1229" s="12">
        <f t="shared" si="32"/>
        <v>1264.3530000000001</v>
      </c>
      <c r="C1229" s="10"/>
      <c r="E1229" s="11">
        <v>71925</v>
      </c>
      <c r="F1229" s="4">
        <f t="shared" si="33"/>
        <v>1264.3530000000001</v>
      </c>
    </row>
    <row r="1230" spans="1:6">
      <c r="A1230" s="11">
        <v>71956</v>
      </c>
      <c r="B1230" s="12">
        <f t="shared" si="32"/>
        <v>1264.3530000000001</v>
      </c>
      <c r="C1230" s="10"/>
      <c r="E1230" s="11">
        <v>71956</v>
      </c>
      <c r="F1230" s="4">
        <f t="shared" si="33"/>
        <v>1264.3530000000001</v>
      </c>
    </row>
    <row r="1231" spans="1:6">
      <c r="A1231" s="11">
        <v>71987</v>
      </c>
      <c r="B1231" s="12">
        <f t="shared" si="32"/>
        <v>1264.3530000000001</v>
      </c>
      <c r="C1231" s="10"/>
      <c r="E1231" s="11">
        <v>71987</v>
      </c>
      <c r="F1231" s="4">
        <f t="shared" si="33"/>
        <v>1264.3530000000001</v>
      </c>
    </row>
    <row r="1232" spans="1:6">
      <c r="A1232" s="11">
        <v>72015</v>
      </c>
      <c r="B1232" s="12">
        <f t="shared" si="32"/>
        <v>1264.3530000000001</v>
      </c>
      <c r="C1232" s="10"/>
      <c r="E1232" s="11">
        <v>72015</v>
      </c>
      <c r="F1232" s="4">
        <f t="shared" si="33"/>
        <v>1264.3530000000001</v>
      </c>
    </row>
    <row r="1233" spans="1:6">
      <c r="A1233" s="11">
        <v>72046</v>
      </c>
      <c r="B1233" s="12">
        <f t="shared" si="32"/>
        <v>1264.3530000000001</v>
      </c>
      <c r="C1233" s="10"/>
      <c r="E1233" s="11">
        <v>72046</v>
      </c>
      <c r="F1233" s="4">
        <f t="shared" si="33"/>
        <v>1264.3530000000001</v>
      </c>
    </row>
    <row r="1234" spans="1:6">
      <c r="A1234" s="11">
        <v>72076</v>
      </c>
      <c r="B1234" s="12">
        <f t="shared" si="32"/>
        <v>1264.3530000000001</v>
      </c>
      <c r="C1234" s="10"/>
      <c r="E1234" s="11">
        <v>72076</v>
      </c>
      <c r="F1234" s="4">
        <f t="shared" si="33"/>
        <v>1264.3530000000001</v>
      </c>
    </row>
    <row r="1235" spans="1:6">
      <c r="A1235" s="11">
        <v>72107</v>
      </c>
      <c r="B1235" s="12">
        <f t="shared" si="32"/>
        <v>1264.3530000000001</v>
      </c>
      <c r="C1235" s="10"/>
      <c r="E1235" s="11">
        <v>72107</v>
      </c>
      <c r="F1235" s="4">
        <f t="shared" si="33"/>
        <v>1264.3530000000001</v>
      </c>
    </row>
    <row r="1236" spans="1:6">
      <c r="A1236" s="11">
        <v>72137</v>
      </c>
      <c r="B1236" s="12">
        <f t="shared" si="32"/>
        <v>1264.3530000000001</v>
      </c>
      <c r="C1236" s="10"/>
      <c r="E1236" s="11">
        <v>72137</v>
      </c>
      <c r="F1236" s="4">
        <f t="shared" si="33"/>
        <v>1264.3530000000001</v>
      </c>
    </row>
    <row r="1237" spans="1:6">
      <c r="A1237" s="11">
        <v>72168</v>
      </c>
      <c r="B1237" s="12">
        <f t="shared" si="32"/>
        <v>1264.3530000000001</v>
      </c>
      <c r="C1237" s="10"/>
      <c r="E1237" s="11">
        <v>72168</v>
      </c>
      <c r="F1237" s="4">
        <f t="shared" si="33"/>
        <v>1264.3530000000001</v>
      </c>
    </row>
    <row r="1238" spans="1:6">
      <c r="A1238" s="11">
        <v>72199</v>
      </c>
      <c r="B1238" s="12">
        <f t="shared" si="32"/>
        <v>1264.3530000000001</v>
      </c>
      <c r="C1238" s="10"/>
      <c r="E1238" s="11">
        <v>72199</v>
      </c>
      <c r="F1238" s="4">
        <f t="shared" si="33"/>
        <v>1264.3530000000001</v>
      </c>
    </row>
    <row r="1239" spans="1:6">
      <c r="A1239" s="11">
        <v>72229</v>
      </c>
      <c r="B1239" s="12">
        <f t="shared" si="32"/>
        <v>1264.3530000000001</v>
      </c>
      <c r="C1239" s="10"/>
      <c r="E1239" s="11">
        <v>72229</v>
      </c>
      <c r="F1239" s="4">
        <f t="shared" si="33"/>
        <v>1264.3530000000001</v>
      </c>
    </row>
    <row r="1240" spans="1:6">
      <c r="A1240" s="11">
        <v>72260</v>
      </c>
      <c r="B1240" s="12">
        <f t="shared" si="32"/>
        <v>1264.3530000000001</v>
      </c>
      <c r="C1240" s="10"/>
      <c r="E1240" s="11">
        <v>72260</v>
      </c>
      <c r="F1240" s="4">
        <f t="shared" si="33"/>
        <v>1264.3530000000001</v>
      </c>
    </row>
    <row r="1241" spans="1:6">
      <c r="A1241" s="11">
        <v>72290</v>
      </c>
      <c r="B1241" s="12">
        <f t="shared" si="32"/>
        <v>1264.3530000000001</v>
      </c>
      <c r="C1241" s="10"/>
      <c r="E1241" s="11">
        <v>72290</v>
      </c>
      <c r="F1241" s="4">
        <f t="shared" si="33"/>
        <v>1264.3530000000001</v>
      </c>
    </row>
    <row r="1242" spans="1:6">
      <c r="A1242" s="11">
        <v>72321</v>
      </c>
      <c r="B1242" s="12">
        <f t="shared" si="32"/>
        <v>1264.3530000000001</v>
      </c>
      <c r="C1242" s="10"/>
      <c r="E1242" s="11">
        <v>72321</v>
      </c>
      <c r="F1242" s="4">
        <f t="shared" si="33"/>
        <v>1264.3530000000001</v>
      </c>
    </row>
    <row r="1243" spans="1:6">
      <c r="A1243" s="11">
        <v>72352</v>
      </c>
      <c r="B1243" s="12">
        <f t="shared" si="32"/>
        <v>1264.3530000000001</v>
      </c>
      <c r="C1243" s="10"/>
      <c r="E1243" s="11">
        <v>72352</v>
      </c>
      <c r="F1243" s="4">
        <f t="shared" si="33"/>
        <v>1264.3530000000001</v>
      </c>
    </row>
    <row r="1244" spans="1:6">
      <c r="A1244" s="11">
        <v>72380</v>
      </c>
      <c r="B1244" s="12">
        <f t="shared" si="32"/>
        <v>1264.3530000000001</v>
      </c>
      <c r="C1244" s="10"/>
      <c r="E1244" s="11">
        <v>72380</v>
      </c>
      <c r="F1244" s="4">
        <f t="shared" si="33"/>
        <v>1264.3530000000001</v>
      </c>
    </row>
    <row r="1245" spans="1:6">
      <c r="A1245" s="11">
        <v>72411</v>
      </c>
      <c r="B1245" s="12">
        <f t="shared" si="32"/>
        <v>1264.3530000000001</v>
      </c>
      <c r="C1245" s="10"/>
      <c r="E1245" s="11">
        <v>72411</v>
      </c>
      <c r="F1245" s="4">
        <f t="shared" si="33"/>
        <v>1264.3530000000001</v>
      </c>
    </row>
    <row r="1246" spans="1:6">
      <c r="A1246" s="11">
        <v>72441</v>
      </c>
      <c r="B1246" s="12">
        <f t="shared" ref="B1246:B1309" si="34">B1245</f>
        <v>1264.3530000000001</v>
      </c>
      <c r="C1246" s="10"/>
      <c r="E1246" s="11">
        <v>72441</v>
      </c>
      <c r="F1246" s="4">
        <f t="shared" si="33"/>
        <v>1264.3530000000001</v>
      </c>
    </row>
    <row r="1247" spans="1:6">
      <c r="A1247" s="11">
        <v>72472</v>
      </c>
      <c r="B1247" s="12">
        <f t="shared" si="34"/>
        <v>1264.3530000000001</v>
      </c>
      <c r="C1247" s="10"/>
      <c r="E1247" s="11">
        <v>72472</v>
      </c>
      <c r="F1247" s="4">
        <f t="shared" si="33"/>
        <v>1264.3530000000001</v>
      </c>
    </row>
    <row r="1248" spans="1:6">
      <c r="A1248" s="11">
        <v>72502</v>
      </c>
      <c r="B1248" s="12">
        <f t="shared" si="34"/>
        <v>1264.3530000000001</v>
      </c>
      <c r="C1248" s="10"/>
      <c r="E1248" s="11">
        <v>72502</v>
      </c>
      <c r="F1248" s="4">
        <f t="shared" si="33"/>
        <v>1264.3530000000001</v>
      </c>
    </row>
    <row r="1249" spans="1:6">
      <c r="A1249" s="11">
        <v>72533</v>
      </c>
      <c r="B1249" s="12">
        <f t="shared" si="34"/>
        <v>1264.3530000000001</v>
      </c>
      <c r="C1249" s="10"/>
      <c r="E1249" s="11">
        <v>72533</v>
      </c>
      <c r="F1249" s="4">
        <f t="shared" si="33"/>
        <v>1264.3530000000001</v>
      </c>
    </row>
    <row r="1250" spans="1:6">
      <c r="A1250" s="11">
        <v>72564</v>
      </c>
      <c r="B1250" s="12">
        <f t="shared" si="34"/>
        <v>1264.3530000000001</v>
      </c>
      <c r="C1250" s="10"/>
      <c r="E1250" s="11">
        <v>72564</v>
      </c>
      <c r="F1250" s="4">
        <f t="shared" si="33"/>
        <v>1264.3530000000001</v>
      </c>
    </row>
    <row r="1251" spans="1:6">
      <c r="A1251" s="11">
        <v>72594</v>
      </c>
      <c r="B1251" s="12">
        <f t="shared" si="34"/>
        <v>1264.3530000000001</v>
      </c>
      <c r="C1251" s="10"/>
      <c r="E1251" s="11">
        <v>72594</v>
      </c>
      <c r="F1251" s="4">
        <f t="shared" si="33"/>
        <v>1264.3530000000001</v>
      </c>
    </row>
    <row r="1252" spans="1:6">
      <c r="A1252" s="11">
        <v>72625</v>
      </c>
      <c r="B1252" s="12">
        <f t="shared" si="34"/>
        <v>1264.3530000000001</v>
      </c>
      <c r="C1252" s="10"/>
      <c r="E1252" s="11">
        <v>72625</v>
      </c>
      <c r="F1252" s="4">
        <f t="shared" si="33"/>
        <v>1264.3530000000001</v>
      </c>
    </row>
    <row r="1253" spans="1:6">
      <c r="A1253" s="11">
        <v>72655</v>
      </c>
      <c r="B1253" s="12">
        <f t="shared" si="34"/>
        <v>1264.3530000000001</v>
      </c>
      <c r="C1253" s="10"/>
      <c r="E1253" s="11">
        <v>72655</v>
      </c>
      <c r="F1253" s="4">
        <f t="shared" si="33"/>
        <v>1264.3530000000001</v>
      </c>
    </row>
    <row r="1254" spans="1:6">
      <c r="A1254" s="11">
        <v>72686</v>
      </c>
      <c r="B1254" s="12">
        <f t="shared" si="34"/>
        <v>1264.3530000000001</v>
      </c>
      <c r="C1254" s="10"/>
      <c r="E1254" s="11">
        <v>72686</v>
      </c>
      <c r="F1254" s="4">
        <f t="shared" si="33"/>
        <v>1264.3530000000001</v>
      </c>
    </row>
    <row r="1255" spans="1:6">
      <c r="A1255" s="11">
        <v>72717</v>
      </c>
      <c r="B1255" s="12">
        <f t="shared" si="34"/>
        <v>1264.3530000000001</v>
      </c>
      <c r="C1255" s="10"/>
      <c r="E1255" s="11">
        <v>72717</v>
      </c>
      <c r="F1255" s="4">
        <f t="shared" si="33"/>
        <v>1264.3530000000001</v>
      </c>
    </row>
    <row r="1256" spans="1:6">
      <c r="A1256" s="11">
        <v>72745</v>
      </c>
      <c r="B1256" s="12">
        <f t="shared" si="34"/>
        <v>1264.3530000000001</v>
      </c>
      <c r="C1256" s="10"/>
      <c r="E1256" s="11">
        <v>72745</v>
      </c>
      <c r="F1256" s="4">
        <f t="shared" si="33"/>
        <v>1264.3530000000001</v>
      </c>
    </row>
    <row r="1257" spans="1:6">
      <c r="A1257" s="11">
        <v>72776</v>
      </c>
      <c r="B1257" s="12">
        <f t="shared" si="34"/>
        <v>1264.3530000000001</v>
      </c>
      <c r="C1257" s="10"/>
      <c r="E1257" s="11">
        <v>72776</v>
      </c>
      <c r="F1257" s="4">
        <f t="shared" si="33"/>
        <v>1264.3530000000001</v>
      </c>
    </row>
    <row r="1258" spans="1:6">
      <c r="A1258" s="11">
        <v>72806</v>
      </c>
      <c r="B1258" s="12">
        <f t="shared" si="34"/>
        <v>1264.3530000000001</v>
      </c>
      <c r="C1258" s="10"/>
      <c r="E1258" s="11">
        <v>72806</v>
      </c>
      <c r="F1258" s="4">
        <f t="shared" si="33"/>
        <v>1264.3530000000001</v>
      </c>
    </row>
    <row r="1259" spans="1:6">
      <c r="A1259" s="11">
        <v>72837</v>
      </c>
      <c r="B1259" s="12">
        <f t="shared" si="34"/>
        <v>1264.3530000000001</v>
      </c>
      <c r="C1259" s="10"/>
      <c r="E1259" s="11">
        <v>72837</v>
      </c>
      <c r="F1259" s="4">
        <f t="shared" si="33"/>
        <v>1264.3530000000001</v>
      </c>
    </row>
    <row r="1260" spans="1:6">
      <c r="A1260" s="11">
        <v>72867</v>
      </c>
      <c r="B1260" s="12">
        <f t="shared" si="34"/>
        <v>1264.3530000000001</v>
      </c>
      <c r="C1260" s="10"/>
      <c r="E1260" s="11">
        <v>72867</v>
      </c>
      <c r="F1260" s="4">
        <f t="shared" si="33"/>
        <v>1264.3530000000001</v>
      </c>
    </row>
    <row r="1261" spans="1:6">
      <c r="A1261" s="11">
        <v>72898</v>
      </c>
      <c r="B1261" s="12">
        <f t="shared" si="34"/>
        <v>1264.3530000000001</v>
      </c>
      <c r="C1261" s="10"/>
      <c r="E1261" s="11">
        <v>72898</v>
      </c>
      <c r="F1261" s="4">
        <f t="shared" si="33"/>
        <v>1264.3530000000001</v>
      </c>
    </row>
    <row r="1262" spans="1:6">
      <c r="A1262" s="11">
        <v>72929</v>
      </c>
      <c r="B1262" s="12">
        <f t="shared" si="34"/>
        <v>1264.3530000000001</v>
      </c>
      <c r="C1262" s="10"/>
      <c r="E1262" s="11">
        <v>72929</v>
      </c>
      <c r="F1262" s="4">
        <f t="shared" si="33"/>
        <v>1264.3530000000001</v>
      </c>
    </row>
    <row r="1263" spans="1:6">
      <c r="A1263" s="11">
        <v>72959</v>
      </c>
      <c r="B1263" s="12">
        <f t="shared" si="34"/>
        <v>1264.3530000000001</v>
      </c>
      <c r="C1263" s="10"/>
      <c r="E1263" s="11">
        <v>72959</v>
      </c>
      <c r="F1263" s="4">
        <f t="shared" si="33"/>
        <v>1264.3530000000001</v>
      </c>
    </row>
    <row r="1264" spans="1:6">
      <c r="A1264" s="11">
        <v>72990</v>
      </c>
      <c r="B1264" s="12">
        <f t="shared" si="34"/>
        <v>1264.3530000000001</v>
      </c>
      <c r="C1264" s="10"/>
      <c r="E1264" s="11">
        <v>72990</v>
      </c>
      <c r="F1264" s="4">
        <f t="shared" si="33"/>
        <v>1264.3530000000001</v>
      </c>
    </row>
    <row r="1265" spans="1:6">
      <c r="A1265" s="11">
        <v>73020</v>
      </c>
      <c r="B1265" s="12">
        <f t="shared" si="34"/>
        <v>1264.3530000000001</v>
      </c>
      <c r="C1265" s="10"/>
      <c r="E1265" s="11">
        <v>73020</v>
      </c>
      <c r="F1265" s="4">
        <f t="shared" si="33"/>
        <v>1264.3530000000001</v>
      </c>
    </row>
    <row r="1266" spans="1:6">
      <c r="A1266" s="11">
        <v>73051</v>
      </c>
      <c r="B1266" s="12">
        <f t="shared" si="34"/>
        <v>1264.3530000000001</v>
      </c>
      <c r="C1266" s="10"/>
      <c r="E1266" s="11">
        <v>73051</v>
      </c>
      <c r="F1266" s="4">
        <f t="shared" si="33"/>
        <v>1264.3530000000001</v>
      </c>
    </row>
    <row r="1267" spans="1:6">
      <c r="A1267" s="11">
        <v>73082</v>
      </c>
      <c r="B1267" s="12">
        <f t="shared" si="34"/>
        <v>1264.3530000000001</v>
      </c>
      <c r="C1267" s="10"/>
      <c r="E1267" s="11">
        <v>73082</v>
      </c>
      <c r="F1267" s="4">
        <f t="shared" si="33"/>
        <v>1264.3530000000001</v>
      </c>
    </row>
    <row r="1268" spans="1:6">
      <c r="A1268" s="11">
        <v>73110</v>
      </c>
      <c r="B1268" s="12">
        <f t="shared" si="34"/>
        <v>1264.3530000000001</v>
      </c>
      <c r="C1268" s="10"/>
      <c r="E1268" s="11">
        <v>73110</v>
      </c>
      <c r="F1268" s="4">
        <f t="shared" si="33"/>
        <v>1264.3530000000001</v>
      </c>
    </row>
    <row r="1269" spans="1:6">
      <c r="A1269" s="11">
        <v>73141</v>
      </c>
      <c r="B1269" s="12">
        <f t="shared" si="34"/>
        <v>1264.3530000000001</v>
      </c>
      <c r="C1269" s="10"/>
      <c r="E1269" s="11">
        <v>73141</v>
      </c>
      <c r="F1269" s="4">
        <f t="shared" si="33"/>
        <v>1264.3530000000001</v>
      </c>
    </row>
    <row r="1270" spans="1:6">
      <c r="A1270" s="11">
        <v>73171</v>
      </c>
      <c r="B1270" s="12">
        <f t="shared" si="34"/>
        <v>1264.3530000000001</v>
      </c>
      <c r="C1270" s="10"/>
      <c r="E1270" s="11">
        <v>73171</v>
      </c>
      <c r="F1270" s="4">
        <f t="shared" si="33"/>
        <v>1264.3530000000001</v>
      </c>
    </row>
    <row r="1271" spans="1:6">
      <c r="A1271" s="11">
        <v>73202</v>
      </c>
      <c r="B1271" s="12">
        <f t="shared" si="34"/>
        <v>1264.3530000000001</v>
      </c>
      <c r="C1271" s="10"/>
      <c r="E1271" s="11">
        <v>73202</v>
      </c>
      <c r="F1271" s="4">
        <f t="shared" si="33"/>
        <v>1264.3530000000001</v>
      </c>
    </row>
    <row r="1272" spans="1:6">
      <c r="A1272" s="11">
        <v>73232</v>
      </c>
      <c r="B1272" s="12">
        <f t="shared" si="34"/>
        <v>1264.3530000000001</v>
      </c>
      <c r="C1272" s="10"/>
      <c r="E1272" s="11">
        <v>73232</v>
      </c>
      <c r="F1272" s="4">
        <f t="shared" si="33"/>
        <v>1264.3530000000001</v>
      </c>
    </row>
    <row r="1273" spans="1:6">
      <c r="A1273" s="11">
        <v>73263</v>
      </c>
      <c r="B1273" s="12">
        <f t="shared" si="34"/>
        <v>1264.3530000000001</v>
      </c>
      <c r="C1273" s="10"/>
      <c r="E1273" s="11">
        <v>73263</v>
      </c>
      <c r="F1273" s="4">
        <f t="shared" si="33"/>
        <v>1264.3530000000001</v>
      </c>
    </row>
    <row r="1274" spans="1:6">
      <c r="A1274" s="11">
        <v>73294</v>
      </c>
      <c r="B1274" s="12">
        <f t="shared" si="34"/>
        <v>1264.3530000000001</v>
      </c>
      <c r="C1274" s="10"/>
      <c r="E1274" s="11">
        <v>73294</v>
      </c>
      <c r="F1274" s="4">
        <f t="shared" si="33"/>
        <v>1264.3530000000001</v>
      </c>
    </row>
    <row r="1275" spans="1:6">
      <c r="A1275" s="11">
        <v>73324</v>
      </c>
      <c r="B1275" s="12">
        <f t="shared" si="34"/>
        <v>1264.3530000000001</v>
      </c>
      <c r="C1275" s="10"/>
      <c r="E1275" s="11">
        <v>73324</v>
      </c>
      <c r="F1275" s="4">
        <f t="shared" si="33"/>
        <v>1264.3530000000001</v>
      </c>
    </row>
    <row r="1276" spans="1:6">
      <c r="A1276" s="11">
        <v>73355</v>
      </c>
      <c r="B1276" s="12">
        <f t="shared" si="34"/>
        <v>1264.3530000000001</v>
      </c>
      <c r="C1276" s="10"/>
      <c r="E1276" s="11">
        <v>73355</v>
      </c>
      <c r="F1276" s="4">
        <f t="shared" si="33"/>
        <v>1264.3530000000001</v>
      </c>
    </row>
    <row r="1277" spans="1:6">
      <c r="A1277" s="11">
        <v>73385</v>
      </c>
      <c r="B1277" s="12">
        <f t="shared" si="34"/>
        <v>1264.3530000000001</v>
      </c>
      <c r="C1277" s="10"/>
      <c r="E1277" s="11">
        <v>73385</v>
      </c>
      <c r="F1277" s="4">
        <f t="shared" si="33"/>
        <v>1264.3530000000001</v>
      </c>
    </row>
    <row r="1278" spans="1:6">
      <c r="A1278" s="11">
        <v>73416</v>
      </c>
      <c r="B1278" s="12">
        <f t="shared" si="34"/>
        <v>1264.3530000000001</v>
      </c>
      <c r="C1278" s="10"/>
      <c r="E1278" s="11">
        <v>73416</v>
      </c>
      <c r="F1278" s="4">
        <f t="shared" si="33"/>
        <v>1264.3530000000001</v>
      </c>
    </row>
    <row r="1279" spans="1:6">
      <c r="A1279" s="11">
        <v>73447</v>
      </c>
      <c r="B1279" s="12">
        <f t="shared" si="34"/>
        <v>1264.3530000000001</v>
      </c>
      <c r="C1279" s="10"/>
      <c r="E1279" s="11">
        <v>73447</v>
      </c>
      <c r="F1279" s="4">
        <f t="shared" si="33"/>
        <v>1264.3530000000001</v>
      </c>
    </row>
    <row r="1280" spans="1:6">
      <c r="A1280" s="11">
        <v>73475</v>
      </c>
      <c r="B1280" s="12">
        <f t="shared" si="34"/>
        <v>1264.3530000000001</v>
      </c>
      <c r="C1280" s="10"/>
      <c r="E1280" s="11">
        <v>73475</v>
      </c>
      <c r="F1280" s="4">
        <f t="shared" si="33"/>
        <v>1264.3530000000001</v>
      </c>
    </row>
    <row r="1281" spans="1:6">
      <c r="A1281" s="11">
        <v>73506</v>
      </c>
      <c r="B1281" s="12">
        <f t="shared" si="34"/>
        <v>1264.3530000000001</v>
      </c>
      <c r="C1281" s="10"/>
      <c r="E1281" s="11">
        <v>73506</v>
      </c>
      <c r="F1281" s="4">
        <f t="shared" si="33"/>
        <v>1264.3530000000001</v>
      </c>
    </row>
    <row r="1282" spans="1:6">
      <c r="A1282" s="11">
        <v>73536</v>
      </c>
      <c r="B1282" s="12">
        <f t="shared" si="34"/>
        <v>1264.3530000000001</v>
      </c>
      <c r="C1282" s="10"/>
      <c r="E1282" s="11">
        <v>73536</v>
      </c>
      <c r="F1282" s="4">
        <f t="shared" si="33"/>
        <v>1264.3530000000001</v>
      </c>
    </row>
    <row r="1283" spans="1:6">
      <c r="A1283" s="11">
        <v>73567</v>
      </c>
      <c r="B1283" s="12">
        <f t="shared" si="34"/>
        <v>1264.3530000000001</v>
      </c>
      <c r="C1283" s="10"/>
      <c r="E1283" s="11">
        <v>73567</v>
      </c>
      <c r="F1283" s="4">
        <f t="shared" ref="F1283:F1346" si="35">B1282</f>
        <v>1264.3530000000001</v>
      </c>
    </row>
    <row r="1284" spans="1:6">
      <c r="A1284" s="11">
        <v>73597</v>
      </c>
      <c r="B1284" s="12">
        <f t="shared" si="34"/>
        <v>1264.3530000000001</v>
      </c>
      <c r="C1284" s="10"/>
      <c r="E1284" s="11">
        <v>73597</v>
      </c>
      <c r="F1284" s="4">
        <f t="shared" si="35"/>
        <v>1264.3530000000001</v>
      </c>
    </row>
    <row r="1285" spans="1:6">
      <c r="A1285" s="11">
        <v>73628</v>
      </c>
      <c r="B1285" s="12">
        <f t="shared" si="34"/>
        <v>1264.3530000000001</v>
      </c>
      <c r="C1285" s="10"/>
      <c r="E1285" s="11">
        <v>73628</v>
      </c>
      <c r="F1285" s="4">
        <f t="shared" si="35"/>
        <v>1264.3530000000001</v>
      </c>
    </row>
    <row r="1286" spans="1:6">
      <c r="A1286" s="11">
        <v>73659</v>
      </c>
      <c r="B1286" s="12">
        <f t="shared" si="34"/>
        <v>1264.3530000000001</v>
      </c>
      <c r="C1286" s="10"/>
      <c r="E1286" s="11">
        <v>73659</v>
      </c>
      <c r="F1286" s="4">
        <f t="shared" si="35"/>
        <v>1264.3530000000001</v>
      </c>
    </row>
    <row r="1287" spans="1:6">
      <c r="A1287" s="11">
        <v>73689</v>
      </c>
      <c r="B1287" s="12">
        <f t="shared" si="34"/>
        <v>1264.3530000000001</v>
      </c>
      <c r="C1287" s="10"/>
      <c r="E1287" s="11">
        <v>73689</v>
      </c>
      <c r="F1287" s="4">
        <f t="shared" si="35"/>
        <v>1264.3530000000001</v>
      </c>
    </row>
    <row r="1288" spans="1:6">
      <c r="A1288" s="11">
        <v>73720</v>
      </c>
      <c r="B1288" s="12">
        <f t="shared" si="34"/>
        <v>1264.3530000000001</v>
      </c>
      <c r="C1288" s="10"/>
      <c r="E1288" s="11">
        <v>73720</v>
      </c>
      <c r="F1288" s="4">
        <f t="shared" si="35"/>
        <v>1264.3530000000001</v>
      </c>
    </row>
    <row r="1289" spans="1:6">
      <c r="A1289" s="11">
        <v>73750</v>
      </c>
      <c r="B1289" s="12">
        <f t="shared" si="34"/>
        <v>1264.3530000000001</v>
      </c>
      <c r="C1289" s="10"/>
      <c r="E1289" s="11">
        <v>73750</v>
      </c>
      <c r="F1289" s="4">
        <f t="shared" si="35"/>
        <v>1264.3530000000001</v>
      </c>
    </row>
    <row r="1290" spans="1:6">
      <c r="A1290" s="11">
        <v>73781</v>
      </c>
      <c r="B1290" s="12">
        <f t="shared" si="34"/>
        <v>1264.3530000000001</v>
      </c>
      <c r="C1290" s="10"/>
      <c r="E1290" s="11">
        <v>73781</v>
      </c>
      <c r="F1290" s="4">
        <f t="shared" si="35"/>
        <v>1264.3530000000001</v>
      </c>
    </row>
    <row r="1291" spans="1:6">
      <c r="A1291" s="11">
        <v>73812</v>
      </c>
      <c r="B1291" s="12">
        <f t="shared" si="34"/>
        <v>1264.3530000000001</v>
      </c>
      <c r="C1291" s="10"/>
      <c r="E1291" s="11">
        <v>73812</v>
      </c>
      <c r="F1291" s="4">
        <f t="shared" si="35"/>
        <v>1264.3530000000001</v>
      </c>
    </row>
    <row r="1292" spans="1:6">
      <c r="A1292" s="11">
        <v>73840</v>
      </c>
      <c r="B1292" s="12">
        <f t="shared" si="34"/>
        <v>1264.3530000000001</v>
      </c>
      <c r="C1292" s="10"/>
      <c r="E1292" s="11">
        <v>73840</v>
      </c>
      <c r="F1292" s="4">
        <f t="shared" si="35"/>
        <v>1264.3530000000001</v>
      </c>
    </row>
    <row r="1293" spans="1:6">
      <c r="A1293" s="11">
        <v>73871</v>
      </c>
      <c r="B1293" s="12">
        <f t="shared" si="34"/>
        <v>1264.3530000000001</v>
      </c>
      <c r="C1293" s="10"/>
      <c r="E1293" s="11">
        <v>73871</v>
      </c>
      <c r="F1293" s="4">
        <f t="shared" si="35"/>
        <v>1264.3530000000001</v>
      </c>
    </row>
    <row r="1294" spans="1:6">
      <c r="A1294" s="11">
        <v>73901</v>
      </c>
      <c r="B1294" s="12">
        <f t="shared" si="34"/>
        <v>1264.3530000000001</v>
      </c>
      <c r="C1294" s="10"/>
      <c r="E1294" s="11">
        <v>73901</v>
      </c>
      <c r="F1294" s="4">
        <f t="shared" si="35"/>
        <v>1264.3530000000001</v>
      </c>
    </row>
    <row r="1295" spans="1:6">
      <c r="A1295" s="11">
        <v>73932</v>
      </c>
      <c r="B1295" s="12">
        <f t="shared" si="34"/>
        <v>1264.3530000000001</v>
      </c>
      <c r="C1295" s="10"/>
      <c r="E1295" s="11">
        <v>73932</v>
      </c>
      <c r="F1295" s="4">
        <f t="shared" si="35"/>
        <v>1264.3530000000001</v>
      </c>
    </row>
    <row r="1296" spans="1:6">
      <c r="A1296" s="11">
        <v>73962</v>
      </c>
      <c r="B1296" s="12">
        <f t="shared" si="34"/>
        <v>1264.3530000000001</v>
      </c>
      <c r="C1296" s="10"/>
      <c r="E1296" s="11">
        <v>73962</v>
      </c>
      <c r="F1296" s="4">
        <f t="shared" si="35"/>
        <v>1264.3530000000001</v>
      </c>
    </row>
    <row r="1297" spans="1:6">
      <c r="A1297" s="11">
        <v>73993</v>
      </c>
      <c r="B1297" s="12">
        <f t="shared" si="34"/>
        <v>1264.3530000000001</v>
      </c>
      <c r="C1297" s="10"/>
      <c r="E1297" s="11">
        <v>73993</v>
      </c>
      <c r="F1297" s="4">
        <f t="shared" si="35"/>
        <v>1264.3530000000001</v>
      </c>
    </row>
    <row r="1298" spans="1:6">
      <c r="A1298" s="11">
        <v>74024</v>
      </c>
      <c r="B1298" s="12">
        <f t="shared" si="34"/>
        <v>1264.3530000000001</v>
      </c>
      <c r="C1298" s="10"/>
      <c r="E1298" s="11">
        <v>74024</v>
      </c>
      <c r="F1298" s="4">
        <f t="shared" si="35"/>
        <v>1264.3530000000001</v>
      </c>
    </row>
    <row r="1299" spans="1:6">
      <c r="A1299" s="11">
        <v>74054</v>
      </c>
      <c r="B1299" s="12">
        <f t="shared" si="34"/>
        <v>1264.3530000000001</v>
      </c>
      <c r="C1299" s="10"/>
      <c r="E1299" s="11">
        <v>74054</v>
      </c>
      <c r="F1299" s="4">
        <f t="shared" si="35"/>
        <v>1264.3530000000001</v>
      </c>
    </row>
    <row r="1300" spans="1:6">
      <c r="A1300" s="11">
        <v>74085</v>
      </c>
      <c r="B1300" s="12">
        <f t="shared" si="34"/>
        <v>1264.3530000000001</v>
      </c>
      <c r="C1300" s="10"/>
      <c r="E1300" s="11">
        <v>74085</v>
      </c>
      <c r="F1300" s="4">
        <f t="shared" si="35"/>
        <v>1264.3530000000001</v>
      </c>
    </row>
    <row r="1301" spans="1:6">
      <c r="A1301" s="11">
        <v>74115</v>
      </c>
      <c r="B1301" s="12">
        <f t="shared" si="34"/>
        <v>1264.3530000000001</v>
      </c>
      <c r="C1301" s="10"/>
      <c r="E1301" s="11">
        <v>74115</v>
      </c>
      <c r="F1301" s="4">
        <f t="shared" si="35"/>
        <v>1264.3530000000001</v>
      </c>
    </row>
    <row r="1302" spans="1:6">
      <c r="A1302" s="11">
        <v>74146</v>
      </c>
      <c r="B1302" s="12">
        <f t="shared" si="34"/>
        <v>1264.3530000000001</v>
      </c>
      <c r="C1302" s="10"/>
      <c r="E1302" s="11">
        <v>74146</v>
      </c>
      <c r="F1302" s="4">
        <f t="shared" si="35"/>
        <v>1264.3530000000001</v>
      </c>
    </row>
    <row r="1303" spans="1:6">
      <c r="A1303" s="11">
        <v>74177</v>
      </c>
      <c r="B1303" s="12">
        <f t="shared" si="34"/>
        <v>1264.3530000000001</v>
      </c>
      <c r="C1303" s="10"/>
      <c r="E1303" s="11">
        <v>74177</v>
      </c>
      <c r="F1303" s="4">
        <f t="shared" si="35"/>
        <v>1264.3530000000001</v>
      </c>
    </row>
    <row r="1304" spans="1:6">
      <c r="A1304" s="11">
        <v>74205</v>
      </c>
      <c r="B1304" s="12">
        <f t="shared" si="34"/>
        <v>1264.3530000000001</v>
      </c>
      <c r="C1304" s="10"/>
      <c r="E1304" s="11">
        <v>74205</v>
      </c>
      <c r="F1304" s="4">
        <f t="shared" si="35"/>
        <v>1264.3530000000001</v>
      </c>
    </row>
    <row r="1305" spans="1:6">
      <c r="A1305" s="11">
        <v>74236</v>
      </c>
      <c r="B1305" s="12">
        <f t="shared" si="34"/>
        <v>1264.3530000000001</v>
      </c>
      <c r="C1305" s="10"/>
      <c r="E1305" s="11">
        <v>74236</v>
      </c>
      <c r="F1305" s="4">
        <f t="shared" si="35"/>
        <v>1264.3530000000001</v>
      </c>
    </row>
    <row r="1306" spans="1:6">
      <c r="A1306" s="11">
        <v>74266</v>
      </c>
      <c r="B1306" s="12">
        <f t="shared" si="34"/>
        <v>1264.3530000000001</v>
      </c>
      <c r="C1306" s="10"/>
      <c r="E1306" s="11">
        <v>74266</v>
      </c>
      <c r="F1306" s="4">
        <f t="shared" si="35"/>
        <v>1264.3530000000001</v>
      </c>
    </row>
    <row r="1307" spans="1:6">
      <c r="A1307" s="11">
        <v>74297</v>
      </c>
      <c r="B1307" s="12">
        <f t="shared" si="34"/>
        <v>1264.3530000000001</v>
      </c>
      <c r="C1307" s="10"/>
      <c r="E1307" s="11">
        <v>74297</v>
      </c>
      <c r="F1307" s="4">
        <f t="shared" si="35"/>
        <v>1264.3530000000001</v>
      </c>
    </row>
    <row r="1308" spans="1:6">
      <c r="A1308" s="11">
        <v>74327</v>
      </c>
      <c r="B1308" s="12">
        <f t="shared" si="34"/>
        <v>1264.3530000000001</v>
      </c>
      <c r="C1308" s="10"/>
      <c r="E1308" s="11">
        <v>74327</v>
      </c>
      <c r="F1308" s="4">
        <f t="shared" si="35"/>
        <v>1264.3530000000001</v>
      </c>
    </row>
    <row r="1309" spans="1:6">
      <c r="A1309" s="11">
        <v>74358</v>
      </c>
      <c r="B1309" s="12">
        <f t="shared" si="34"/>
        <v>1264.3530000000001</v>
      </c>
      <c r="C1309" s="10"/>
      <c r="E1309" s="11">
        <v>74358</v>
      </c>
      <c r="F1309" s="4">
        <f t="shared" si="35"/>
        <v>1264.3530000000001</v>
      </c>
    </row>
    <row r="1310" spans="1:6">
      <c r="A1310" s="11">
        <v>74389</v>
      </c>
      <c r="B1310" s="12">
        <f t="shared" ref="B1310:B1373" si="36">B1309</f>
        <v>1264.3530000000001</v>
      </c>
      <c r="C1310" s="10"/>
      <c r="E1310" s="11">
        <v>74389</v>
      </c>
      <c r="F1310" s="4">
        <f t="shared" si="35"/>
        <v>1264.3530000000001</v>
      </c>
    </row>
    <row r="1311" spans="1:6">
      <c r="A1311" s="11">
        <v>74419</v>
      </c>
      <c r="B1311" s="12">
        <f t="shared" si="36"/>
        <v>1264.3530000000001</v>
      </c>
      <c r="C1311" s="10"/>
      <c r="E1311" s="11">
        <v>74419</v>
      </c>
      <c r="F1311" s="4">
        <f t="shared" si="35"/>
        <v>1264.3530000000001</v>
      </c>
    </row>
    <row r="1312" spans="1:6">
      <c r="A1312" s="11">
        <v>74450</v>
      </c>
      <c r="B1312" s="12">
        <f t="shared" si="36"/>
        <v>1264.3530000000001</v>
      </c>
      <c r="C1312" s="10"/>
      <c r="E1312" s="11">
        <v>74450</v>
      </c>
      <c r="F1312" s="4">
        <f t="shared" si="35"/>
        <v>1264.3530000000001</v>
      </c>
    </row>
    <row r="1313" spans="1:6">
      <c r="A1313" s="11">
        <v>74480</v>
      </c>
      <c r="B1313" s="12">
        <f t="shared" si="36"/>
        <v>1264.3530000000001</v>
      </c>
      <c r="C1313" s="10"/>
      <c r="E1313" s="11">
        <v>74480</v>
      </c>
      <c r="F1313" s="4">
        <f t="shared" si="35"/>
        <v>1264.3530000000001</v>
      </c>
    </row>
    <row r="1314" spans="1:6">
      <c r="A1314" s="11">
        <v>74511</v>
      </c>
      <c r="B1314" s="12">
        <f t="shared" si="36"/>
        <v>1264.3530000000001</v>
      </c>
      <c r="C1314" s="10"/>
      <c r="E1314" s="11">
        <v>74511</v>
      </c>
      <c r="F1314" s="4">
        <f t="shared" si="35"/>
        <v>1264.3530000000001</v>
      </c>
    </row>
    <row r="1315" spans="1:6">
      <c r="A1315" s="11">
        <v>74542</v>
      </c>
      <c r="B1315" s="12">
        <f t="shared" si="36"/>
        <v>1264.3530000000001</v>
      </c>
      <c r="C1315" s="10"/>
      <c r="E1315" s="11">
        <v>74542</v>
      </c>
      <c r="F1315" s="4">
        <f t="shared" si="35"/>
        <v>1264.3530000000001</v>
      </c>
    </row>
    <row r="1316" spans="1:6">
      <c r="A1316" s="11">
        <v>74571</v>
      </c>
      <c r="B1316" s="12">
        <f t="shared" si="36"/>
        <v>1264.3530000000001</v>
      </c>
      <c r="C1316" s="10"/>
      <c r="E1316" s="11">
        <v>74571</v>
      </c>
      <c r="F1316" s="4">
        <f t="shared" si="35"/>
        <v>1264.3530000000001</v>
      </c>
    </row>
    <row r="1317" spans="1:6">
      <c r="A1317" s="11">
        <v>74602</v>
      </c>
      <c r="B1317" s="12">
        <f t="shared" si="36"/>
        <v>1264.3530000000001</v>
      </c>
      <c r="C1317" s="10"/>
      <c r="E1317" s="11">
        <v>74602</v>
      </c>
      <c r="F1317" s="4">
        <f t="shared" si="35"/>
        <v>1264.3530000000001</v>
      </c>
    </row>
    <row r="1318" spans="1:6">
      <c r="A1318" s="11">
        <v>74632</v>
      </c>
      <c r="B1318" s="12">
        <f t="shared" si="36"/>
        <v>1264.3530000000001</v>
      </c>
      <c r="C1318" s="10"/>
      <c r="E1318" s="11">
        <v>74632</v>
      </c>
      <c r="F1318" s="4">
        <f t="shared" si="35"/>
        <v>1264.3530000000001</v>
      </c>
    </row>
    <row r="1319" spans="1:6">
      <c r="A1319" s="11">
        <v>74663</v>
      </c>
      <c r="B1319" s="12">
        <f t="shared" si="36"/>
        <v>1264.3530000000001</v>
      </c>
      <c r="C1319" s="10"/>
      <c r="E1319" s="11">
        <v>74663</v>
      </c>
      <c r="F1319" s="4">
        <f t="shared" si="35"/>
        <v>1264.3530000000001</v>
      </c>
    </row>
    <row r="1320" spans="1:6">
      <c r="A1320" s="11">
        <v>74693</v>
      </c>
      <c r="B1320" s="12">
        <f t="shared" si="36"/>
        <v>1264.3530000000001</v>
      </c>
      <c r="C1320" s="10"/>
      <c r="E1320" s="11">
        <v>74693</v>
      </c>
      <c r="F1320" s="4">
        <f t="shared" si="35"/>
        <v>1264.3530000000001</v>
      </c>
    </row>
    <row r="1321" spans="1:6">
      <c r="A1321" s="11">
        <v>74724</v>
      </c>
      <c r="B1321" s="12">
        <f t="shared" si="36"/>
        <v>1264.3530000000001</v>
      </c>
      <c r="C1321" s="10"/>
      <c r="E1321" s="11">
        <v>74724</v>
      </c>
      <c r="F1321" s="4">
        <f t="shared" si="35"/>
        <v>1264.3530000000001</v>
      </c>
    </row>
    <row r="1322" spans="1:6">
      <c r="A1322" s="11">
        <v>74755</v>
      </c>
      <c r="B1322" s="12">
        <f t="shared" si="36"/>
        <v>1264.3530000000001</v>
      </c>
      <c r="C1322" s="10"/>
      <c r="E1322" s="11">
        <v>74755</v>
      </c>
      <c r="F1322" s="4">
        <f t="shared" si="35"/>
        <v>1264.3530000000001</v>
      </c>
    </row>
    <row r="1323" spans="1:6">
      <c r="A1323" s="11">
        <v>74785</v>
      </c>
      <c r="B1323" s="12">
        <f t="shared" si="36"/>
        <v>1264.3530000000001</v>
      </c>
      <c r="C1323" s="10"/>
      <c r="E1323" s="11">
        <v>74785</v>
      </c>
      <c r="F1323" s="4">
        <f t="shared" si="35"/>
        <v>1264.3530000000001</v>
      </c>
    </row>
    <row r="1324" spans="1:6">
      <c r="A1324" s="11">
        <v>74816</v>
      </c>
      <c r="B1324" s="12">
        <f t="shared" si="36"/>
        <v>1264.3530000000001</v>
      </c>
      <c r="C1324" s="10"/>
      <c r="E1324" s="11">
        <v>74816</v>
      </c>
      <c r="F1324" s="4">
        <f t="shared" si="35"/>
        <v>1264.3530000000001</v>
      </c>
    </row>
    <row r="1325" spans="1:6">
      <c r="A1325" s="11">
        <v>74846</v>
      </c>
      <c r="B1325" s="12">
        <f t="shared" si="36"/>
        <v>1264.3530000000001</v>
      </c>
      <c r="C1325" s="10"/>
      <c r="E1325" s="11">
        <v>74846</v>
      </c>
      <c r="F1325" s="4">
        <f t="shared" si="35"/>
        <v>1264.3530000000001</v>
      </c>
    </row>
    <row r="1326" spans="1:6">
      <c r="A1326" s="11">
        <v>74877</v>
      </c>
      <c r="B1326" s="12">
        <f t="shared" si="36"/>
        <v>1264.3530000000001</v>
      </c>
      <c r="C1326" s="10"/>
      <c r="E1326" s="11">
        <v>74877</v>
      </c>
      <c r="F1326" s="4">
        <f t="shared" si="35"/>
        <v>1264.3530000000001</v>
      </c>
    </row>
    <row r="1327" spans="1:6">
      <c r="A1327" s="11">
        <v>74908</v>
      </c>
      <c r="B1327" s="12">
        <f t="shared" si="36"/>
        <v>1264.3530000000001</v>
      </c>
      <c r="C1327" s="10"/>
      <c r="E1327" s="11">
        <v>74908</v>
      </c>
      <c r="F1327" s="4">
        <f t="shared" si="35"/>
        <v>1264.3530000000001</v>
      </c>
    </row>
    <row r="1328" spans="1:6">
      <c r="A1328" s="11">
        <v>74936</v>
      </c>
      <c r="B1328" s="12">
        <f t="shared" si="36"/>
        <v>1264.3530000000001</v>
      </c>
      <c r="C1328" s="10"/>
      <c r="E1328" s="11">
        <v>74936</v>
      </c>
      <c r="F1328" s="4">
        <f t="shared" si="35"/>
        <v>1264.3530000000001</v>
      </c>
    </row>
    <row r="1329" spans="1:6">
      <c r="A1329" s="11">
        <v>74967</v>
      </c>
      <c r="B1329" s="12">
        <f t="shared" si="36"/>
        <v>1264.3530000000001</v>
      </c>
      <c r="C1329" s="10"/>
      <c r="E1329" s="11">
        <v>74967</v>
      </c>
      <c r="F1329" s="4">
        <f t="shared" si="35"/>
        <v>1264.3530000000001</v>
      </c>
    </row>
    <row r="1330" spans="1:6">
      <c r="A1330" s="11">
        <v>74997</v>
      </c>
      <c r="B1330" s="12">
        <f t="shared" si="36"/>
        <v>1264.3530000000001</v>
      </c>
      <c r="C1330" s="10"/>
      <c r="E1330" s="11">
        <v>74997</v>
      </c>
      <c r="F1330" s="4">
        <f t="shared" si="35"/>
        <v>1264.3530000000001</v>
      </c>
    </row>
    <row r="1331" spans="1:6">
      <c r="A1331" s="11">
        <v>75028</v>
      </c>
      <c r="B1331" s="12">
        <f t="shared" si="36"/>
        <v>1264.3530000000001</v>
      </c>
      <c r="C1331" s="10"/>
      <c r="E1331" s="11">
        <v>75028</v>
      </c>
      <c r="F1331" s="4">
        <f t="shared" si="35"/>
        <v>1264.3530000000001</v>
      </c>
    </row>
    <row r="1332" spans="1:6">
      <c r="A1332" s="11">
        <v>75058</v>
      </c>
      <c r="B1332" s="12">
        <f t="shared" si="36"/>
        <v>1264.3530000000001</v>
      </c>
      <c r="C1332" s="10"/>
      <c r="E1332" s="11">
        <v>75058</v>
      </c>
      <c r="F1332" s="4">
        <f t="shared" si="35"/>
        <v>1264.3530000000001</v>
      </c>
    </row>
    <row r="1333" spans="1:6">
      <c r="A1333" s="11">
        <v>75089</v>
      </c>
      <c r="B1333" s="12">
        <f t="shared" si="36"/>
        <v>1264.3530000000001</v>
      </c>
      <c r="C1333" s="10"/>
      <c r="E1333" s="11">
        <v>75089</v>
      </c>
      <c r="F1333" s="4">
        <f t="shared" si="35"/>
        <v>1264.3530000000001</v>
      </c>
    </row>
    <row r="1334" spans="1:6">
      <c r="A1334" s="11">
        <v>75120</v>
      </c>
      <c r="B1334" s="12">
        <f t="shared" si="36"/>
        <v>1264.3530000000001</v>
      </c>
      <c r="C1334" s="10"/>
      <c r="E1334" s="11">
        <v>75120</v>
      </c>
      <c r="F1334" s="4">
        <f t="shared" si="35"/>
        <v>1264.3530000000001</v>
      </c>
    </row>
    <row r="1335" spans="1:6">
      <c r="A1335" s="11">
        <v>75150</v>
      </c>
      <c r="B1335" s="12">
        <f t="shared" si="36"/>
        <v>1264.3530000000001</v>
      </c>
      <c r="C1335" s="10"/>
      <c r="E1335" s="11">
        <v>75150</v>
      </c>
      <c r="F1335" s="4">
        <f t="shared" si="35"/>
        <v>1264.3530000000001</v>
      </c>
    </row>
    <row r="1336" spans="1:6">
      <c r="A1336" s="11">
        <v>75181</v>
      </c>
      <c r="B1336" s="12">
        <f t="shared" si="36"/>
        <v>1264.3530000000001</v>
      </c>
      <c r="C1336" s="10"/>
      <c r="E1336" s="11">
        <v>75181</v>
      </c>
      <c r="F1336" s="4">
        <f t="shared" si="35"/>
        <v>1264.3530000000001</v>
      </c>
    </row>
    <row r="1337" spans="1:6">
      <c r="A1337" s="11">
        <v>75211</v>
      </c>
      <c r="B1337" s="12">
        <f t="shared" si="36"/>
        <v>1264.3530000000001</v>
      </c>
      <c r="C1337" s="10"/>
      <c r="E1337" s="11">
        <v>75211</v>
      </c>
      <c r="F1337" s="4">
        <f t="shared" si="35"/>
        <v>1264.3530000000001</v>
      </c>
    </row>
    <row r="1338" spans="1:6">
      <c r="A1338" s="11">
        <v>75242</v>
      </c>
      <c r="B1338" s="12">
        <f t="shared" si="36"/>
        <v>1264.3530000000001</v>
      </c>
      <c r="C1338" s="10"/>
      <c r="E1338" s="11">
        <v>75242</v>
      </c>
      <c r="F1338" s="4">
        <f t="shared" si="35"/>
        <v>1264.3530000000001</v>
      </c>
    </row>
    <row r="1339" spans="1:6">
      <c r="A1339" s="11">
        <v>75273</v>
      </c>
      <c r="B1339" s="12">
        <f t="shared" si="36"/>
        <v>1264.3530000000001</v>
      </c>
      <c r="C1339" s="10"/>
      <c r="E1339" s="11">
        <v>75273</v>
      </c>
      <c r="F1339" s="4">
        <f t="shared" si="35"/>
        <v>1264.3530000000001</v>
      </c>
    </row>
    <row r="1340" spans="1:6">
      <c r="A1340" s="11">
        <v>75301</v>
      </c>
      <c r="B1340" s="12">
        <f t="shared" si="36"/>
        <v>1264.3530000000001</v>
      </c>
      <c r="C1340" s="10"/>
      <c r="E1340" s="11">
        <v>75301</v>
      </c>
      <c r="F1340" s="4">
        <f t="shared" si="35"/>
        <v>1264.3530000000001</v>
      </c>
    </row>
    <row r="1341" spans="1:6">
      <c r="A1341" s="11">
        <v>75332</v>
      </c>
      <c r="B1341" s="12">
        <f t="shared" si="36"/>
        <v>1264.3530000000001</v>
      </c>
      <c r="C1341" s="10"/>
      <c r="E1341" s="11">
        <v>75332</v>
      </c>
      <c r="F1341" s="4">
        <f t="shared" si="35"/>
        <v>1264.3530000000001</v>
      </c>
    </row>
    <row r="1342" spans="1:6">
      <c r="A1342" s="11">
        <v>75362</v>
      </c>
      <c r="B1342" s="12">
        <f t="shared" si="36"/>
        <v>1264.3530000000001</v>
      </c>
      <c r="C1342" s="10"/>
      <c r="E1342" s="11">
        <v>75362</v>
      </c>
      <c r="F1342" s="4">
        <f t="shared" si="35"/>
        <v>1264.3530000000001</v>
      </c>
    </row>
    <row r="1343" spans="1:6">
      <c r="A1343" s="11">
        <v>75393</v>
      </c>
      <c r="B1343" s="12">
        <f t="shared" si="36"/>
        <v>1264.3530000000001</v>
      </c>
      <c r="C1343" s="10"/>
      <c r="E1343" s="11">
        <v>75393</v>
      </c>
      <c r="F1343" s="4">
        <f t="shared" si="35"/>
        <v>1264.3530000000001</v>
      </c>
    </row>
    <row r="1344" spans="1:6">
      <c r="A1344" s="11">
        <v>75423</v>
      </c>
      <c r="B1344" s="12">
        <f t="shared" si="36"/>
        <v>1264.3530000000001</v>
      </c>
      <c r="C1344" s="10"/>
      <c r="E1344" s="11">
        <v>75423</v>
      </c>
      <c r="F1344" s="4">
        <f t="shared" si="35"/>
        <v>1264.3530000000001</v>
      </c>
    </row>
    <row r="1345" spans="1:6">
      <c r="A1345" s="11">
        <v>75454</v>
      </c>
      <c r="B1345" s="12">
        <f t="shared" si="36"/>
        <v>1264.3530000000001</v>
      </c>
      <c r="C1345" s="10"/>
      <c r="E1345" s="11">
        <v>75454</v>
      </c>
      <c r="F1345" s="4">
        <f t="shared" si="35"/>
        <v>1264.3530000000001</v>
      </c>
    </row>
    <row r="1346" spans="1:6">
      <c r="A1346" s="11">
        <v>75485</v>
      </c>
      <c r="B1346" s="12">
        <f t="shared" si="36"/>
        <v>1264.3530000000001</v>
      </c>
      <c r="C1346" s="10"/>
      <c r="E1346" s="11">
        <v>75485</v>
      </c>
      <c r="F1346" s="4">
        <f t="shared" si="35"/>
        <v>1264.3530000000001</v>
      </c>
    </row>
    <row r="1347" spans="1:6">
      <c r="A1347" s="11">
        <v>75515</v>
      </c>
      <c r="B1347" s="12">
        <f t="shared" si="36"/>
        <v>1264.3530000000001</v>
      </c>
      <c r="C1347" s="10"/>
      <c r="E1347" s="11">
        <v>75515</v>
      </c>
      <c r="F1347" s="4">
        <f t="shared" ref="F1347:F1410" si="37">B1346</f>
        <v>1264.3530000000001</v>
      </c>
    </row>
    <row r="1348" spans="1:6">
      <c r="A1348" s="11">
        <v>75546</v>
      </c>
      <c r="B1348" s="12">
        <f t="shared" si="36"/>
        <v>1264.3530000000001</v>
      </c>
      <c r="C1348" s="10"/>
      <c r="E1348" s="11">
        <v>75546</v>
      </c>
      <c r="F1348" s="4">
        <f t="shared" si="37"/>
        <v>1264.3530000000001</v>
      </c>
    </row>
    <row r="1349" spans="1:6">
      <c r="A1349" s="11">
        <v>75576</v>
      </c>
      <c r="B1349" s="12">
        <f t="shared" si="36"/>
        <v>1264.3530000000001</v>
      </c>
      <c r="C1349" s="10"/>
      <c r="E1349" s="11">
        <v>75576</v>
      </c>
      <c r="F1349" s="4">
        <f t="shared" si="37"/>
        <v>1264.3530000000001</v>
      </c>
    </row>
    <row r="1350" spans="1:6">
      <c r="A1350" s="11">
        <v>75607</v>
      </c>
      <c r="B1350" s="12">
        <f t="shared" si="36"/>
        <v>1264.3530000000001</v>
      </c>
      <c r="C1350" s="10"/>
      <c r="E1350" s="11">
        <v>75607</v>
      </c>
      <c r="F1350" s="4">
        <f t="shared" si="37"/>
        <v>1264.3530000000001</v>
      </c>
    </row>
    <row r="1351" spans="1:6">
      <c r="A1351" s="11">
        <v>75638</v>
      </c>
      <c r="B1351" s="12">
        <f t="shared" si="36"/>
        <v>1264.3530000000001</v>
      </c>
      <c r="C1351" s="10"/>
      <c r="E1351" s="11">
        <v>75638</v>
      </c>
      <c r="F1351" s="4">
        <f t="shared" si="37"/>
        <v>1264.3530000000001</v>
      </c>
    </row>
    <row r="1352" spans="1:6">
      <c r="A1352" s="11">
        <v>75666</v>
      </c>
      <c r="B1352" s="12">
        <f t="shared" si="36"/>
        <v>1264.3530000000001</v>
      </c>
      <c r="C1352" s="10"/>
      <c r="E1352" s="11">
        <v>75666</v>
      </c>
      <c r="F1352" s="4">
        <f t="shared" si="37"/>
        <v>1264.3530000000001</v>
      </c>
    </row>
    <row r="1353" spans="1:6">
      <c r="A1353" s="11">
        <v>75697</v>
      </c>
      <c r="B1353" s="12">
        <f t="shared" si="36"/>
        <v>1264.3530000000001</v>
      </c>
      <c r="C1353" s="10"/>
      <c r="E1353" s="11">
        <v>75697</v>
      </c>
      <c r="F1353" s="4">
        <f t="shared" si="37"/>
        <v>1264.3530000000001</v>
      </c>
    </row>
    <row r="1354" spans="1:6">
      <c r="A1354" s="11">
        <v>75727</v>
      </c>
      <c r="B1354" s="12">
        <f t="shared" si="36"/>
        <v>1264.3530000000001</v>
      </c>
      <c r="C1354" s="10"/>
      <c r="E1354" s="11">
        <v>75727</v>
      </c>
      <c r="F1354" s="4">
        <f t="shared" si="37"/>
        <v>1264.3530000000001</v>
      </c>
    </row>
    <row r="1355" spans="1:6">
      <c r="A1355" s="11">
        <v>75758</v>
      </c>
      <c r="B1355" s="12">
        <f t="shared" si="36"/>
        <v>1264.3530000000001</v>
      </c>
      <c r="C1355" s="10"/>
      <c r="E1355" s="11">
        <v>75758</v>
      </c>
      <c r="F1355" s="4">
        <f t="shared" si="37"/>
        <v>1264.3530000000001</v>
      </c>
    </row>
    <row r="1356" spans="1:6">
      <c r="A1356" s="11">
        <v>75788</v>
      </c>
      <c r="B1356" s="12">
        <f t="shared" si="36"/>
        <v>1264.3530000000001</v>
      </c>
      <c r="C1356" s="10"/>
      <c r="E1356" s="11">
        <v>75788</v>
      </c>
      <c r="F1356" s="4">
        <f t="shared" si="37"/>
        <v>1264.3530000000001</v>
      </c>
    </row>
    <row r="1357" spans="1:6">
      <c r="A1357" s="11">
        <v>75819</v>
      </c>
      <c r="B1357" s="12">
        <f t="shared" si="36"/>
        <v>1264.3530000000001</v>
      </c>
      <c r="C1357" s="10"/>
      <c r="E1357" s="11">
        <v>75819</v>
      </c>
      <c r="F1357" s="4">
        <f t="shared" si="37"/>
        <v>1264.3530000000001</v>
      </c>
    </row>
    <row r="1358" spans="1:6">
      <c r="A1358" s="11">
        <v>75850</v>
      </c>
      <c r="B1358" s="12">
        <f t="shared" si="36"/>
        <v>1264.3530000000001</v>
      </c>
      <c r="C1358" s="10"/>
      <c r="E1358" s="11">
        <v>75850</v>
      </c>
      <c r="F1358" s="4">
        <f t="shared" si="37"/>
        <v>1264.3530000000001</v>
      </c>
    </row>
    <row r="1359" spans="1:6">
      <c r="A1359" s="11">
        <v>75880</v>
      </c>
      <c r="B1359" s="12">
        <f t="shared" si="36"/>
        <v>1264.3530000000001</v>
      </c>
      <c r="C1359" s="10"/>
      <c r="E1359" s="11">
        <v>75880</v>
      </c>
      <c r="F1359" s="4">
        <f t="shared" si="37"/>
        <v>1264.3530000000001</v>
      </c>
    </row>
    <row r="1360" spans="1:6">
      <c r="A1360" s="11">
        <v>75911</v>
      </c>
      <c r="B1360" s="12">
        <f t="shared" si="36"/>
        <v>1264.3530000000001</v>
      </c>
      <c r="C1360" s="10"/>
      <c r="E1360" s="11">
        <v>75911</v>
      </c>
      <c r="F1360" s="4">
        <f t="shared" si="37"/>
        <v>1264.3530000000001</v>
      </c>
    </row>
    <row r="1361" spans="1:6">
      <c r="A1361" s="11">
        <v>75941</v>
      </c>
      <c r="B1361" s="12">
        <f t="shared" si="36"/>
        <v>1264.3530000000001</v>
      </c>
      <c r="C1361" s="10"/>
      <c r="E1361" s="11">
        <v>75941</v>
      </c>
      <c r="F1361" s="4">
        <f t="shared" si="37"/>
        <v>1264.3530000000001</v>
      </c>
    </row>
    <row r="1362" spans="1:6">
      <c r="A1362" s="11">
        <v>75972</v>
      </c>
      <c r="B1362" s="12">
        <f t="shared" si="36"/>
        <v>1264.3530000000001</v>
      </c>
      <c r="C1362" s="10"/>
      <c r="E1362" s="11">
        <v>75972</v>
      </c>
      <c r="F1362" s="4">
        <f t="shared" si="37"/>
        <v>1264.3530000000001</v>
      </c>
    </row>
    <row r="1363" spans="1:6">
      <c r="A1363" s="11">
        <v>76003</v>
      </c>
      <c r="B1363" s="12">
        <f t="shared" si="36"/>
        <v>1264.3530000000001</v>
      </c>
      <c r="C1363" s="10"/>
      <c r="E1363" s="11">
        <v>76003</v>
      </c>
      <c r="F1363" s="4">
        <f t="shared" si="37"/>
        <v>1264.3530000000001</v>
      </c>
    </row>
    <row r="1364" spans="1:6">
      <c r="A1364" s="11">
        <v>76032</v>
      </c>
      <c r="B1364" s="12">
        <f t="shared" si="36"/>
        <v>1264.3530000000001</v>
      </c>
      <c r="C1364" s="10"/>
      <c r="E1364" s="11">
        <v>76032</v>
      </c>
      <c r="F1364" s="4">
        <f t="shared" si="37"/>
        <v>1264.3530000000001</v>
      </c>
    </row>
    <row r="1365" spans="1:6">
      <c r="A1365" s="11">
        <v>76063</v>
      </c>
      <c r="B1365" s="12">
        <f t="shared" si="36"/>
        <v>1264.3530000000001</v>
      </c>
      <c r="C1365" s="10"/>
      <c r="E1365" s="11">
        <v>76063</v>
      </c>
      <c r="F1365" s="4">
        <f t="shared" si="37"/>
        <v>1264.3530000000001</v>
      </c>
    </row>
    <row r="1366" spans="1:6">
      <c r="A1366" s="11">
        <v>76093</v>
      </c>
      <c r="B1366" s="12">
        <f t="shared" si="36"/>
        <v>1264.3530000000001</v>
      </c>
      <c r="C1366" s="10"/>
      <c r="E1366" s="11">
        <v>76093</v>
      </c>
      <c r="F1366" s="4">
        <f t="shared" si="37"/>
        <v>1264.3530000000001</v>
      </c>
    </row>
    <row r="1367" spans="1:6">
      <c r="A1367" s="11">
        <v>76124</v>
      </c>
      <c r="B1367" s="12">
        <f t="shared" si="36"/>
        <v>1264.3530000000001</v>
      </c>
      <c r="C1367" s="10"/>
      <c r="E1367" s="11">
        <v>76124</v>
      </c>
      <c r="F1367" s="4">
        <f t="shared" si="37"/>
        <v>1264.3530000000001</v>
      </c>
    </row>
    <row r="1368" spans="1:6">
      <c r="A1368" s="11">
        <v>76154</v>
      </c>
      <c r="B1368" s="12">
        <f t="shared" si="36"/>
        <v>1264.3530000000001</v>
      </c>
      <c r="C1368" s="10"/>
      <c r="E1368" s="11">
        <v>76154</v>
      </c>
      <c r="F1368" s="4">
        <f t="shared" si="37"/>
        <v>1264.3530000000001</v>
      </c>
    </row>
    <row r="1369" spans="1:6">
      <c r="A1369" s="11">
        <v>76185</v>
      </c>
      <c r="B1369" s="12">
        <f t="shared" si="36"/>
        <v>1264.3530000000001</v>
      </c>
      <c r="C1369" s="10"/>
      <c r="E1369" s="11">
        <v>76185</v>
      </c>
      <c r="F1369" s="4">
        <f t="shared" si="37"/>
        <v>1264.3530000000001</v>
      </c>
    </row>
    <row r="1370" spans="1:6">
      <c r="A1370" s="11">
        <v>76216</v>
      </c>
      <c r="B1370" s="12">
        <f t="shared" si="36"/>
        <v>1264.3530000000001</v>
      </c>
      <c r="C1370" s="10"/>
      <c r="E1370" s="11">
        <v>76216</v>
      </c>
      <c r="F1370" s="4">
        <f t="shared" si="37"/>
        <v>1264.3530000000001</v>
      </c>
    </row>
    <row r="1371" spans="1:6">
      <c r="A1371" s="11">
        <v>76246</v>
      </c>
      <c r="B1371" s="12">
        <f t="shared" si="36"/>
        <v>1264.3530000000001</v>
      </c>
      <c r="C1371" s="10"/>
      <c r="E1371" s="11">
        <v>76246</v>
      </c>
      <c r="F1371" s="4">
        <f t="shared" si="37"/>
        <v>1264.3530000000001</v>
      </c>
    </row>
    <row r="1372" spans="1:6">
      <c r="A1372" s="11">
        <v>76277</v>
      </c>
      <c r="B1372" s="12">
        <f t="shared" si="36"/>
        <v>1264.3530000000001</v>
      </c>
      <c r="C1372" s="10"/>
      <c r="E1372" s="11">
        <v>76277</v>
      </c>
      <c r="F1372" s="4">
        <f t="shared" si="37"/>
        <v>1264.3530000000001</v>
      </c>
    </row>
    <row r="1373" spans="1:6">
      <c r="A1373" s="11">
        <v>76307</v>
      </c>
      <c r="B1373" s="12">
        <f t="shared" si="36"/>
        <v>1264.3530000000001</v>
      </c>
      <c r="C1373" s="10"/>
      <c r="E1373" s="11">
        <v>76307</v>
      </c>
      <c r="F1373" s="4">
        <f t="shared" si="37"/>
        <v>1264.3530000000001</v>
      </c>
    </row>
    <row r="1374" spans="1:6">
      <c r="A1374" s="11">
        <v>76338</v>
      </c>
      <c r="B1374" s="12">
        <f t="shared" ref="B1374:B1437" si="38">B1373</f>
        <v>1264.3530000000001</v>
      </c>
      <c r="C1374" s="10"/>
      <c r="E1374" s="11">
        <v>76338</v>
      </c>
      <c r="F1374" s="4">
        <f t="shared" si="37"/>
        <v>1264.3530000000001</v>
      </c>
    </row>
    <row r="1375" spans="1:6">
      <c r="A1375" s="11">
        <v>76369</v>
      </c>
      <c r="B1375" s="12">
        <f t="shared" si="38"/>
        <v>1264.3530000000001</v>
      </c>
      <c r="C1375" s="10"/>
      <c r="E1375" s="11">
        <v>76369</v>
      </c>
      <c r="F1375" s="4">
        <f t="shared" si="37"/>
        <v>1264.3530000000001</v>
      </c>
    </row>
    <row r="1376" spans="1:6">
      <c r="A1376" s="11">
        <v>76397</v>
      </c>
      <c r="B1376" s="12">
        <f t="shared" si="38"/>
        <v>1264.3530000000001</v>
      </c>
      <c r="C1376" s="10"/>
      <c r="E1376" s="11">
        <v>76397</v>
      </c>
      <c r="F1376" s="4">
        <f t="shared" si="37"/>
        <v>1264.3530000000001</v>
      </c>
    </row>
    <row r="1377" spans="1:6">
      <c r="A1377" s="11">
        <v>76428</v>
      </c>
      <c r="B1377" s="12">
        <f t="shared" si="38"/>
        <v>1264.3530000000001</v>
      </c>
      <c r="C1377" s="10"/>
      <c r="E1377" s="11">
        <v>76428</v>
      </c>
      <c r="F1377" s="4">
        <f t="shared" si="37"/>
        <v>1264.3530000000001</v>
      </c>
    </row>
    <row r="1378" spans="1:6">
      <c r="A1378" s="11">
        <v>76458</v>
      </c>
      <c r="B1378" s="12">
        <f t="shared" si="38"/>
        <v>1264.3530000000001</v>
      </c>
      <c r="C1378" s="10"/>
      <c r="E1378" s="11">
        <v>76458</v>
      </c>
      <c r="F1378" s="4">
        <f t="shared" si="37"/>
        <v>1264.3530000000001</v>
      </c>
    </row>
    <row r="1379" spans="1:6">
      <c r="A1379" s="11">
        <v>76489</v>
      </c>
      <c r="B1379" s="12">
        <f t="shared" si="38"/>
        <v>1264.3530000000001</v>
      </c>
      <c r="C1379" s="10"/>
      <c r="E1379" s="11">
        <v>76489</v>
      </c>
      <c r="F1379" s="4">
        <f t="shared" si="37"/>
        <v>1264.3530000000001</v>
      </c>
    </row>
    <row r="1380" spans="1:6">
      <c r="A1380" s="11">
        <v>76519</v>
      </c>
      <c r="B1380" s="12">
        <f t="shared" si="38"/>
        <v>1264.3530000000001</v>
      </c>
      <c r="C1380" s="10"/>
      <c r="E1380" s="11">
        <v>76519</v>
      </c>
      <c r="F1380" s="4">
        <f t="shared" si="37"/>
        <v>1264.3530000000001</v>
      </c>
    </row>
    <row r="1381" spans="1:6">
      <c r="A1381" s="11">
        <v>76550</v>
      </c>
      <c r="B1381" s="12">
        <f t="shared" si="38"/>
        <v>1264.3530000000001</v>
      </c>
      <c r="C1381" s="10"/>
      <c r="E1381" s="11">
        <v>76550</v>
      </c>
      <c r="F1381" s="4">
        <f t="shared" si="37"/>
        <v>1264.3530000000001</v>
      </c>
    </row>
    <row r="1382" spans="1:6">
      <c r="A1382" s="11">
        <v>76581</v>
      </c>
      <c r="B1382" s="12">
        <f t="shared" si="38"/>
        <v>1264.3530000000001</v>
      </c>
      <c r="C1382" s="10"/>
      <c r="E1382" s="11">
        <v>76581</v>
      </c>
      <c r="F1382" s="4">
        <f t="shared" si="37"/>
        <v>1264.3530000000001</v>
      </c>
    </row>
    <row r="1383" spans="1:6">
      <c r="A1383" s="11">
        <v>76611</v>
      </c>
      <c r="B1383" s="12">
        <f t="shared" si="38"/>
        <v>1264.3530000000001</v>
      </c>
      <c r="C1383" s="10"/>
      <c r="E1383" s="11">
        <v>76611</v>
      </c>
      <c r="F1383" s="4">
        <f t="shared" si="37"/>
        <v>1264.3530000000001</v>
      </c>
    </row>
    <row r="1384" spans="1:6">
      <c r="A1384" s="11">
        <v>76642</v>
      </c>
      <c r="B1384" s="12">
        <f t="shared" si="38"/>
        <v>1264.3530000000001</v>
      </c>
      <c r="C1384" s="10"/>
      <c r="E1384" s="11">
        <v>76642</v>
      </c>
      <c r="F1384" s="4">
        <f t="shared" si="37"/>
        <v>1264.3530000000001</v>
      </c>
    </row>
    <row r="1385" spans="1:6">
      <c r="A1385" s="11">
        <v>76672</v>
      </c>
      <c r="B1385" s="12">
        <f t="shared" si="38"/>
        <v>1264.3530000000001</v>
      </c>
      <c r="C1385" s="10"/>
      <c r="E1385" s="11">
        <v>76672</v>
      </c>
      <c r="F1385" s="4">
        <f t="shared" si="37"/>
        <v>1264.3530000000001</v>
      </c>
    </row>
    <row r="1386" spans="1:6">
      <c r="A1386" s="11">
        <v>76703</v>
      </c>
      <c r="B1386" s="12">
        <f t="shared" si="38"/>
        <v>1264.3530000000001</v>
      </c>
      <c r="C1386" s="10"/>
      <c r="E1386" s="11">
        <v>76703</v>
      </c>
      <c r="F1386" s="4">
        <f t="shared" si="37"/>
        <v>1264.3530000000001</v>
      </c>
    </row>
    <row r="1387" spans="1:6">
      <c r="A1387" s="11">
        <v>76734</v>
      </c>
      <c r="B1387" s="12">
        <f t="shared" si="38"/>
        <v>1264.3530000000001</v>
      </c>
      <c r="C1387" s="10"/>
      <c r="E1387" s="11">
        <v>76734</v>
      </c>
      <c r="F1387" s="4">
        <f t="shared" si="37"/>
        <v>1264.3530000000001</v>
      </c>
    </row>
    <row r="1388" spans="1:6">
      <c r="A1388" s="11">
        <v>76762</v>
      </c>
      <c r="B1388" s="12">
        <f t="shared" si="38"/>
        <v>1264.3530000000001</v>
      </c>
      <c r="C1388" s="10"/>
      <c r="E1388" s="11">
        <v>76762</v>
      </c>
      <c r="F1388" s="4">
        <f t="shared" si="37"/>
        <v>1264.3530000000001</v>
      </c>
    </row>
    <row r="1389" spans="1:6">
      <c r="A1389" s="11">
        <v>76793</v>
      </c>
      <c r="B1389" s="12">
        <f t="shared" si="38"/>
        <v>1264.3530000000001</v>
      </c>
      <c r="C1389" s="10"/>
      <c r="E1389" s="11">
        <v>76793</v>
      </c>
      <c r="F1389" s="4">
        <f t="shared" si="37"/>
        <v>1264.3530000000001</v>
      </c>
    </row>
    <row r="1390" spans="1:6">
      <c r="A1390" s="11">
        <v>76823</v>
      </c>
      <c r="B1390" s="12">
        <f t="shared" si="38"/>
        <v>1264.3530000000001</v>
      </c>
      <c r="C1390" s="10"/>
      <c r="E1390" s="11">
        <v>76823</v>
      </c>
      <c r="F1390" s="4">
        <f t="shared" si="37"/>
        <v>1264.3530000000001</v>
      </c>
    </row>
    <row r="1391" spans="1:6">
      <c r="A1391" s="11">
        <v>76854</v>
      </c>
      <c r="B1391" s="12">
        <f t="shared" si="38"/>
        <v>1264.3530000000001</v>
      </c>
      <c r="C1391" s="10"/>
      <c r="E1391" s="11">
        <v>76854</v>
      </c>
      <c r="F1391" s="4">
        <f t="shared" si="37"/>
        <v>1264.3530000000001</v>
      </c>
    </row>
    <row r="1392" spans="1:6">
      <c r="A1392" s="11">
        <v>76884</v>
      </c>
      <c r="B1392" s="12">
        <f t="shared" si="38"/>
        <v>1264.3530000000001</v>
      </c>
      <c r="C1392" s="10"/>
      <c r="E1392" s="11">
        <v>76884</v>
      </c>
      <c r="F1392" s="4">
        <f t="shared" si="37"/>
        <v>1264.3530000000001</v>
      </c>
    </row>
    <row r="1393" spans="1:6">
      <c r="A1393" s="11">
        <v>76915</v>
      </c>
      <c r="B1393" s="12">
        <f t="shared" si="38"/>
        <v>1264.3530000000001</v>
      </c>
      <c r="C1393" s="10"/>
      <c r="E1393" s="11">
        <v>76915</v>
      </c>
      <c r="F1393" s="4">
        <f t="shared" si="37"/>
        <v>1264.3530000000001</v>
      </c>
    </row>
    <row r="1394" spans="1:6">
      <c r="A1394" s="11">
        <v>76946</v>
      </c>
      <c r="B1394" s="12">
        <f t="shared" si="38"/>
        <v>1264.3530000000001</v>
      </c>
      <c r="C1394" s="10"/>
      <c r="E1394" s="11">
        <v>76946</v>
      </c>
      <c r="F1394" s="4">
        <f t="shared" si="37"/>
        <v>1264.3530000000001</v>
      </c>
    </row>
    <row r="1395" spans="1:6">
      <c r="A1395" s="11">
        <v>76976</v>
      </c>
      <c r="B1395" s="12">
        <f t="shared" si="38"/>
        <v>1264.3530000000001</v>
      </c>
      <c r="C1395" s="10"/>
      <c r="E1395" s="11">
        <v>76976</v>
      </c>
      <c r="F1395" s="4">
        <f t="shared" si="37"/>
        <v>1264.3530000000001</v>
      </c>
    </row>
    <row r="1396" spans="1:6">
      <c r="A1396" s="11">
        <v>77007</v>
      </c>
      <c r="B1396" s="12">
        <f t="shared" si="38"/>
        <v>1264.3530000000001</v>
      </c>
      <c r="C1396" s="10"/>
      <c r="E1396" s="11">
        <v>77007</v>
      </c>
      <c r="F1396" s="4">
        <f t="shared" si="37"/>
        <v>1264.3530000000001</v>
      </c>
    </row>
    <row r="1397" spans="1:6">
      <c r="A1397" s="11">
        <v>77037</v>
      </c>
      <c r="B1397" s="12">
        <f t="shared" si="38"/>
        <v>1264.3530000000001</v>
      </c>
      <c r="C1397" s="10"/>
      <c r="E1397" s="11">
        <v>77037</v>
      </c>
      <c r="F1397" s="4">
        <f t="shared" si="37"/>
        <v>1264.3530000000001</v>
      </c>
    </row>
    <row r="1398" spans="1:6">
      <c r="A1398" s="11">
        <v>77068</v>
      </c>
      <c r="B1398" s="12">
        <f t="shared" si="38"/>
        <v>1264.3530000000001</v>
      </c>
      <c r="C1398" s="10"/>
      <c r="E1398" s="11">
        <v>77068</v>
      </c>
      <c r="F1398" s="4">
        <f t="shared" si="37"/>
        <v>1264.3530000000001</v>
      </c>
    </row>
    <row r="1399" spans="1:6">
      <c r="A1399" s="11">
        <v>77099</v>
      </c>
      <c r="B1399" s="12">
        <f t="shared" si="38"/>
        <v>1264.3530000000001</v>
      </c>
      <c r="C1399" s="10"/>
      <c r="E1399" s="11">
        <v>77099</v>
      </c>
      <c r="F1399" s="4">
        <f t="shared" si="37"/>
        <v>1264.3530000000001</v>
      </c>
    </row>
    <row r="1400" spans="1:6">
      <c r="A1400" s="11">
        <v>77127</v>
      </c>
      <c r="B1400" s="12">
        <f t="shared" si="38"/>
        <v>1264.3530000000001</v>
      </c>
      <c r="C1400" s="10"/>
      <c r="E1400" s="11">
        <v>77127</v>
      </c>
      <c r="F1400" s="4">
        <f t="shared" si="37"/>
        <v>1264.3530000000001</v>
      </c>
    </row>
    <row r="1401" spans="1:6">
      <c r="A1401" s="11">
        <v>77158</v>
      </c>
      <c r="B1401" s="12">
        <f t="shared" si="38"/>
        <v>1264.3530000000001</v>
      </c>
      <c r="C1401" s="10"/>
      <c r="E1401" s="11">
        <v>77158</v>
      </c>
      <c r="F1401" s="4">
        <f t="shared" si="37"/>
        <v>1264.3530000000001</v>
      </c>
    </row>
    <row r="1402" spans="1:6">
      <c r="A1402" s="11">
        <v>77188</v>
      </c>
      <c r="B1402" s="12">
        <f t="shared" si="38"/>
        <v>1264.3530000000001</v>
      </c>
      <c r="C1402" s="10"/>
      <c r="E1402" s="11">
        <v>77188</v>
      </c>
      <c r="F1402" s="4">
        <f t="shared" si="37"/>
        <v>1264.3530000000001</v>
      </c>
    </row>
    <row r="1403" spans="1:6">
      <c r="A1403" s="11">
        <v>77219</v>
      </c>
      <c r="B1403" s="12">
        <f t="shared" si="38"/>
        <v>1264.3530000000001</v>
      </c>
      <c r="C1403" s="10"/>
      <c r="E1403" s="11">
        <v>77219</v>
      </c>
      <c r="F1403" s="4">
        <f t="shared" si="37"/>
        <v>1264.3530000000001</v>
      </c>
    </row>
    <row r="1404" spans="1:6">
      <c r="A1404" s="11">
        <v>77249</v>
      </c>
      <c r="B1404" s="12">
        <f t="shared" si="38"/>
        <v>1264.3530000000001</v>
      </c>
      <c r="C1404" s="10"/>
      <c r="E1404" s="11">
        <v>77249</v>
      </c>
      <c r="F1404" s="4">
        <f t="shared" si="37"/>
        <v>1264.3530000000001</v>
      </c>
    </row>
    <row r="1405" spans="1:6">
      <c r="A1405" s="11">
        <v>77280</v>
      </c>
      <c r="B1405" s="12">
        <f t="shared" si="38"/>
        <v>1264.3530000000001</v>
      </c>
      <c r="C1405" s="10"/>
      <c r="E1405" s="11">
        <v>77280</v>
      </c>
      <c r="F1405" s="4">
        <f t="shared" si="37"/>
        <v>1264.3530000000001</v>
      </c>
    </row>
    <row r="1406" spans="1:6">
      <c r="A1406" s="11">
        <v>77311</v>
      </c>
      <c r="B1406" s="12">
        <f t="shared" si="38"/>
        <v>1264.3530000000001</v>
      </c>
      <c r="C1406" s="10"/>
      <c r="E1406" s="11">
        <v>77311</v>
      </c>
      <c r="F1406" s="4">
        <f t="shared" si="37"/>
        <v>1264.3530000000001</v>
      </c>
    </row>
    <row r="1407" spans="1:6">
      <c r="A1407" s="11">
        <v>77341</v>
      </c>
      <c r="B1407" s="12">
        <f t="shared" si="38"/>
        <v>1264.3530000000001</v>
      </c>
      <c r="C1407" s="10"/>
      <c r="E1407" s="11">
        <v>77341</v>
      </c>
      <c r="F1407" s="4">
        <f t="shared" si="37"/>
        <v>1264.3530000000001</v>
      </c>
    </row>
    <row r="1408" spans="1:6">
      <c r="A1408" s="11">
        <v>77372</v>
      </c>
      <c r="B1408" s="12">
        <f t="shared" si="38"/>
        <v>1264.3530000000001</v>
      </c>
      <c r="C1408" s="10"/>
      <c r="E1408" s="11">
        <v>77372</v>
      </c>
      <c r="F1408" s="4">
        <f t="shared" si="37"/>
        <v>1264.3530000000001</v>
      </c>
    </row>
    <row r="1409" spans="1:6">
      <c r="A1409" s="11">
        <v>77402</v>
      </c>
      <c r="B1409" s="12">
        <f t="shared" si="38"/>
        <v>1264.3530000000001</v>
      </c>
      <c r="C1409" s="10"/>
      <c r="E1409" s="11">
        <v>77402</v>
      </c>
      <c r="F1409" s="4">
        <f t="shared" si="37"/>
        <v>1264.3530000000001</v>
      </c>
    </row>
    <row r="1410" spans="1:6">
      <c r="A1410" s="11">
        <v>77433</v>
      </c>
      <c r="B1410" s="12">
        <f t="shared" si="38"/>
        <v>1264.3530000000001</v>
      </c>
      <c r="C1410" s="10"/>
      <c r="E1410" s="11">
        <v>77433</v>
      </c>
      <c r="F1410" s="4">
        <f t="shared" si="37"/>
        <v>1264.3530000000001</v>
      </c>
    </row>
    <row r="1411" spans="1:6">
      <c r="A1411" s="11">
        <v>77464</v>
      </c>
      <c r="B1411" s="12">
        <f t="shared" si="38"/>
        <v>1264.3530000000001</v>
      </c>
      <c r="C1411" s="10"/>
      <c r="E1411" s="11">
        <v>77464</v>
      </c>
      <c r="F1411" s="4">
        <f t="shared" ref="F1411:F1474" si="39">B1410</f>
        <v>1264.3530000000001</v>
      </c>
    </row>
    <row r="1412" spans="1:6">
      <c r="A1412" s="11">
        <v>77493</v>
      </c>
      <c r="B1412" s="12">
        <f t="shared" si="38"/>
        <v>1264.3530000000001</v>
      </c>
      <c r="C1412" s="10"/>
      <c r="E1412" s="11">
        <v>77493</v>
      </c>
      <c r="F1412" s="4">
        <f t="shared" si="39"/>
        <v>1264.3530000000001</v>
      </c>
    </row>
    <row r="1413" spans="1:6">
      <c r="A1413" s="11">
        <v>77524</v>
      </c>
      <c r="B1413" s="12">
        <f t="shared" si="38"/>
        <v>1264.3530000000001</v>
      </c>
      <c r="C1413" s="10"/>
      <c r="E1413" s="11">
        <v>77524</v>
      </c>
      <c r="F1413" s="4">
        <f t="shared" si="39"/>
        <v>1264.3530000000001</v>
      </c>
    </row>
    <row r="1414" spans="1:6">
      <c r="A1414" s="11">
        <v>77554</v>
      </c>
      <c r="B1414" s="12">
        <f t="shared" si="38"/>
        <v>1264.3530000000001</v>
      </c>
      <c r="C1414" s="10"/>
      <c r="E1414" s="11">
        <v>77554</v>
      </c>
      <c r="F1414" s="4">
        <f t="shared" si="39"/>
        <v>1264.3530000000001</v>
      </c>
    </row>
    <row r="1415" spans="1:6">
      <c r="A1415" s="11">
        <v>77585</v>
      </c>
      <c r="B1415" s="12">
        <f t="shared" si="38"/>
        <v>1264.3530000000001</v>
      </c>
      <c r="C1415" s="10"/>
      <c r="E1415" s="11">
        <v>77585</v>
      </c>
      <c r="F1415" s="4">
        <f t="shared" si="39"/>
        <v>1264.3530000000001</v>
      </c>
    </row>
    <row r="1416" spans="1:6">
      <c r="A1416" s="11">
        <v>77615</v>
      </c>
      <c r="B1416" s="12">
        <f t="shared" si="38"/>
        <v>1264.3530000000001</v>
      </c>
      <c r="C1416" s="10"/>
      <c r="E1416" s="11">
        <v>77615</v>
      </c>
      <c r="F1416" s="4">
        <f t="shared" si="39"/>
        <v>1264.3530000000001</v>
      </c>
    </row>
    <row r="1417" spans="1:6">
      <c r="A1417" s="11">
        <v>77646</v>
      </c>
      <c r="B1417" s="12">
        <f t="shared" si="38"/>
        <v>1264.3530000000001</v>
      </c>
      <c r="C1417" s="10"/>
      <c r="E1417" s="11">
        <v>77646</v>
      </c>
      <c r="F1417" s="4">
        <f t="shared" si="39"/>
        <v>1264.3530000000001</v>
      </c>
    </row>
    <row r="1418" spans="1:6">
      <c r="A1418" s="11">
        <v>77677</v>
      </c>
      <c r="B1418" s="12">
        <f t="shared" si="38"/>
        <v>1264.3530000000001</v>
      </c>
      <c r="C1418" s="10"/>
      <c r="E1418" s="11">
        <v>77677</v>
      </c>
      <c r="F1418" s="4">
        <f t="shared" si="39"/>
        <v>1264.3530000000001</v>
      </c>
    </row>
    <row r="1419" spans="1:6">
      <c r="A1419" s="11">
        <v>77707</v>
      </c>
      <c r="B1419" s="12">
        <f t="shared" si="38"/>
        <v>1264.3530000000001</v>
      </c>
      <c r="C1419" s="10"/>
      <c r="E1419" s="11">
        <v>77707</v>
      </c>
      <c r="F1419" s="4">
        <f t="shared" si="39"/>
        <v>1264.3530000000001</v>
      </c>
    </row>
    <row r="1420" spans="1:6">
      <c r="A1420" s="11">
        <v>77738</v>
      </c>
      <c r="B1420" s="12">
        <f t="shared" si="38"/>
        <v>1264.3530000000001</v>
      </c>
      <c r="C1420" s="10"/>
      <c r="E1420" s="11">
        <v>77738</v>
      </c>
      <c r="F1420" s="4">
        <f t="shared" si="39"/>
        <v>1264.3530000000001</v>
      </c>
    </row>
    <row r="1421" spans="1:6">
      <c r="A1421" s="11">
        <v>77768</v>
      </c>
      <c r="B1421" s="12">
        <f t="shared" si="38"/>
        <v>1264.3530000000001</v>
      </c>
      <c r="C1421" s="10"/>
      <c r="E1421" s="11">
        <v>77768</v>
      </c>
      <c r="F1421" s="4">
        <f t="shared" si="39"/>
        <v>1264.3530000000001</v>
      </c>
    </row>
    <row r="1422" spans="1:6">
      <c r="A1422" s="11">
        <v>77799</v>
      </c>
      <c r="B1422" s="12">
        <f t="shared" si="38"/>
        <v>1264.3530000000001</v>
      </c>
      <c r="C1422" s="10"/>
      <c r="E1422" s="11">
        <v>77799</v>
      </c>
      <c r="F1422" s="4">
        <f t="shared" si="39"/>
        <v>1264.3530000000001</v>
      </c>
    </row>
    <row r="1423" spans="1:6">
      <c r="A1423" s="11">
        <v>77830</v>
      </c>
      <c r="B1423" s="12">
        <f t="shared" si="38"/>
        <v>1264.3530000000001</v>
      </c>
      <c r="C1423" s="10"/>
      <c r="E1423" s="11">
        <v>77830</v>
      </c>
      <c r="F1423" s="4">
        <f t="shared" si="39"/>
        <v>1264.3530000000001</v>
      </c>
    </row>
    <row r="1424" spans="1:6">
      <c r="A1424" s="11">
        <v>77858</v>
      </c>
      <c r="B1424" s="12">
        <f t="shared" si="38"/>
        <v>1264.3530000000001</v>
      </c>
      <c r="C1424" s="10"/>
      <c r="E1424" s="11">
        <v>77858</v>
      </c>
      <c r="F1424" s="4">
        <f t="shared" si="39"/>
        <v>1264.3530000000001</v>
      </c>
    </row>
    <row r="1425" spans="1:6">
      <c r="A1425" s="11">
        <v>77889</v>
      </c>
      <c r="B1425" s="12">
        <f t="shared" si="38"/>
        <v>1264.3530000000001</v>
      </c>
      <c r="C1425" s="10"/>
      <c r="E1425" s="11">
        <v>77889</v>
      </c>
      <c r="F1425" s="4">
        <f t="shared" si="39"/>
        <v>1264.3530000000001</v>
      </c>
    </row>
    <row r="1426" spans="1:6">
      <c r="A1426" s="11">
        <v>77919</v>
      </c>
      <c r="B1426" s="12">
        <f t="shared" si="38"/>
        <v>1264.3530000000001</v>
      </c>
      <c r="C1426" s="10"/>
      <c r="E1426" s="11">
        <v>77919</v>
      </c>
      <c r="F1426" s="4">
        <f t="shared" si="39"/>
        <v>1264.3530000000001</v>
      </c>
    </row>
    <row r="1427" spans="1:6">
      <c r="A1427" s="11">
        <v>77950</v>
      </c>
      <c r="B1427" s="12">
        <f t="shared" si="38"/>
        <v>1264.3530000000001</v>
      </c>
      <c r="C1427" s="10"/>
      <c r="E1427" s="11">
        <v>77950</v>
      </c>
      <c r="F1427" s="4">
        <f t="shared" si="39"/>
        <v>1264.3530000000001</v>
      </c>
    </row>
    <row r="1428" spans="1:6">
      <c r="A1428" s="11">
        <v>77980</v>
      </c>
      <c r="B1428" s="12">
        <f t="shared" si="38"/>
        <v>1264.3530000000001</v>
      </c>
      <c r="C1428" s="10"/>
      <c r="E1428" s="11">
        <v>77980</v>
      </c>
      <c r="F1428" s="4">
        <f t="shared" si="39"/>
        <v>1264.3530000000001</v>
      </c>
    </row>
    <row r="1429" spans="1:6">
      <c r="A1429" s="11">
        <v>78011</v>
      </c>
      <c r="B1429" s="12">
        <f t="shared" si="38"/>
        <v>1264.3530000000001</v>
      </c>
      <c r="C1429" s="10"/>
      <c r="E1429" s="11">
        <v>78011</v>
      </c>
      <c r="F1429" s="4">
        <f t="shared" si="39"/>
        <v>1264.3530000000001</v>
      </c>
    </row>
    <row r="1430" spans="1:6">
      <c r="A1430" s="11">
        <v>78042</v>
      </c>
      <c r="B1430" s="12">
        <f t="shared" si="38"/>
        <v>1264.3530000000001</v>
      </c>
      <c r="C1430" s="10"/>
      <c r="E1430" s="11">
        <v>78042</v>
      </c>
      <c r="F1430" s="4">
        <f t="shared" si="39"/>
        <v>1264.3530000000001</v>
      </c>
    </row>
    <row r="1431" spans="1:6">
      <c r="A1431" s="11">
        <v>78072</v>
      </c>
      <c r="B1431" s="12">
        <f t="shared" si="38"/>
        <v>1264.3530000000001</v>
      </c>
      <c r="C1431" s="10"/>
      <c r="E1431" s="11">
        <v>78072</v>
      </c>
      <c r="F1431" s="4">
        <f t="shared" si="39"/>
        <v>1264.3530000000001</v>
      </c>
    </row>
    <row r="1432" spans="1:6">
      <c r="A1432" s="11">
        <v>78103</v>
      </c>
      <c r="B1432" s="12">
        <f t="shared" si="38"/>
        <v>1264.3530000000001</v>
      </c>
      <c r="C1432" s="10"/>
      <c r="E1432" s="11">
        <v>78103</v>
      </c>
      <c r="F1432" s="4">
        <f t="shared" si="39"/>
        <v>1264.3530000000001</v>
      </c>
    </row>
    <row r="1433" spans="1:6">
      <c r="A1433" s="11">
        <v>78133</v>
      </c>
      <c r="B1433" s="12">
        <f t="shared" si="38"/>
        <v>1264.3530000000001</v>
      </c>
      <c r="C1433" s="10"/>
      <c r="E1433" s="11">
        <v>78133</v>
      </c>
      <c r="F1433" s="4">
        <f t="shared" si="39"/>
        <v>1264.3530000000001</v>
      </c>
    </row>
    <row r="1434" spans="1:6">
      <c r="A1434" s="11">
        <v>78164</v>
      </c>
      <c r="B1434" s="12">
        <f t="shared" si="38"/>
        <v>1264.3530000000001</v>
      </c>
      <c r="C1434" s="10"/>
      <c r="E1434" s="11">
        <v>78164</v>
      </c>
      <c r="F1434" s="4">
        <f t="shared" si="39"/>
        <v>1264.3530000000001</v>
      </c>
    </row>
    <row r="1435" spans="1:6">
      <c r="A1435" s="11">
        <v>78195</v>
      </c>
      <c r="B1435" s="12">
        <f t="shared" si="38"/>
        <v>1264.3530000000001</v>
      </c>
      <c r="C1435" s="10"/>
      <c r="E1435" s="11">
        <v>78195</v>
      </c>
      <c r="F1435" s="4">
        <f t="shared" si="39"/>
        <v>1264.3530000000001</v>
      </c>
    </row>
    <row r="1436" spans="1:6">
      <c r="A1436" s="11">
        <v>78223</v>
      </c>
      <c r="B1436" s="12">
        <f t="shared" si="38"/>
        <v>1264.3530000000001</v>
      </c>
      <c r="C1436" s="10"/>
      <c r="E1436" s="11">
        <v>78223</v>
      </c>
      <c r="F1436" s="4">
        <f t="shared" si="39"/>
        <v>1264.3530000000001</v>
      </c>
    </row>
    <row r="1437" spans="1:6">
      <c r="A1437" s="11">
        <v>78254</v>
      </c>
      <c r="B1437" s="12">
        <f t="shared" si="38"/>
        <v>1264.3530000000001</v>
      </c>
      <c r="C1437" s="10"/>
      <c r="E1437" s="11">
        <v>78254</v>
      </c>
      <c r="F1437" s="4">
        <f t="shared" si="39"/>
        <v>1264.3530000000001</v>
      </c>
    </row>
    <row r="1438" spans="1:6">
      <c r="A1438" s="11">
        <v>78284</v>
      </c>
      <c r="B1438" s="12">
        <f t="shared" ref="B1438:B1501" si="40">B1437</f>
        <v>1264.3530000000001</v>
      </c>
      <c r="C1438" s="10"/>
      <c r="E1438" s="11">
        <v>78284</v>
      </c>
      <c r="F1438" s="4">
        <f t="shared" si="39"/>
        <v>1264.3530000000001</v>
      </c>
    </row>
    <row r="1439" spans="1:6">
      <c r="A1439" s="11">
        <v>78315</v>
      </c>
      <c r="B1439" s="12">
        <f t="shared" si="40"/>
        <v>1264.3530000000001</v>
      </c>
      <c r="C1439" s="10"/>
      <c r="E1439" s="11">
        <v>78315</v>
      </c>
      <c r="F1439" s="4">
        <f t="shared" si="39"/>
        <v>1264.3530000000001</v>
      </c>
    </row>
    <row r="1440" spans="1:6">
      <c r="A1440" s="11">
        <v>78345</v>
      </c>
      <c r="B1440" s="12">
        <f t="shared" si="40"/>
        <v>1264.3530000000001</v>
      </c>
      <c r="C1440" s="10"/>
      <c r="E1440" s="11">
        <v>78345</v>
      </c>
      <c r="F1440" s="4">
        <f t="shared" si="39"/>
        <v>1264.3530000000001</v>
      </c>
    </row>
    <row r="1441" spans="1:6">
      <c r="A1441" s="11">
        <v>78376</v>
      </c>
      <c r="B1441" s="12">
        <f t="shared" si="40"/>
        <v>1264.3530000000001</v>
      </c>
      <c r="C1441" s="10"/>
      <c r="E1441" s="11">
        <v>78376</v>
      </c>
      <c r="F1441" s="4">
        <f t="shared" si="39"/>
        <v>1264.3530000000001</v>
      </c>
    </row>
    <row r="1442" spans="1:6">
      <c r="A1442" s="11">
        <v>78407</v>
      </c>
      <c r="B1442" s="12">
        <f t="shared" si="40"/>
        <v>1264.3530000000001</v>
      </c>
      <c r="C1442" s="10"/>
      <c r="E1442" s="11">
        <v>78407</v>
      </c>
      <c r="F1442" s="4">
        <f t="shared" si="39"/>
        <v>1264.3530000000001</v>
      </c>
    </row>
    <row r="1443" spans="1:6">
      <c r="A1443" s="11">
        <v>78437</v>
      </c>
      <c r="B1443" s="12">
        <f t="shared" si="40"/>
        <v>1264.3530000000001</v>
      </c>
      <c r="C1443" s="10"/>
      <c r="E1443" s="11">
        <v>78437</v>
      </c>
      <c r="F1443" s="4">
        <f t="shared" si="39"/>
        <v>1264.3530000000001</v>
      </c>
    </row>
    <row r="1444" spans="1:6">
      <c r="A1444" s="11">
        <v>78468</v>
      </c>
      <c r="B1444" s="12">
        <f t="shared" si="40"/>
        <v>1264.3530000000001</v>
      </c>
      <c r="C1444" s="10"/>
      <c r="E1444" s="11">
        <v>78468</v>
      </c>
      <c r="F1444" s="4">
        <f t="shared" si="39"/>
        <v>1264.3530000000001</v>
      </c>
    </row>
    <row r="1445" spans="1:6">
      <c r="A1445" s="11">
        <v>78498</v>
      </c>
      <c r="B1445" s="12">
        <f t="shared" si="40"/>
        <v>1264.3530000000001</v>
      </c>
      <c r="C1445" s="10"/>
      <c r="E1445" s="11">
        <v>78498</v>
      </c>
      <c r="F1445" s="4">
        <f t="shared" si="39"/>
        <v>1264.3530000000001</v>
      </c>
    </row>
    <row r="1446" spans="1:6">
      <c r="A1446" s="11">
        <v>78529</v>
      </c>
      <c r="B1446" s="12">
        <f t="shared" si="40"/>
        <v>1264.3530000000001</v>
      </c>
      <c r="C1446" s="10"/>
      <c r="E1446" s="11">
        <v>78529</v>
      </c>
      <c r="F1446" s="4">
        <f t="shared" si="39"/>
        <v>1264.3530000000001</v>
      </c>
    </row>
    <row r="1447" spans="1:6">
      <c r="A1447" s="11">
        <v>78560</v>
      </c>
      <c r="B1447" s="12">
        <f t="shared" si="40"/>
        <v>1264.3530000000001</v>
      </c>
      <c r="C1447" s="10"/>
      <c r="E1447" s="11">
        <v>78560</v>
      </c>
      <c r="F1447" s="4">
        <f t="shared" si="39"/>
        <v>1264.3530000000001</v>
      </c>
    </row>
    <row r="1448" spans="1:6">
      <c r="A1448" s="11">
        <v>78588</v>
      </c>
      <c r="B1448" s="12">
        <f t="shared" si="40"/>
        <v>1264.3530000000001</v>
      </c>
      <c r="C1448" s="10"/>
      <c r="E1448" s="11">
        <v>78588</v>
      </c>
      <c r="F1448" s="4">
        <f t="shared" si="39"/>
        <v>1264.3530000000001</v>
      </c>
    </row>
    <row r="1449" spans="1:6">
      <c r="A1449" s="11">
        <v>78619</v>
      </c>
      <c r="B1449" s="12">
        <f t="shared" si="40"/>
        <v>1264.3530000000001</v>
      </c>
      <c r="C1449" s="10"/>
      <c r="E1449" s="11">
        <v>78619</v>
      </c>
      <c r="F1449" s="4">
        <f t="shared" si="39"/>
        <v>1264.3530000000001</v>
      </c>
    </row>
    <row r="1450" spans="1:6">
      <c r="A1450" s="11">
        <v>78649</v>
      </c>
      <c r="B1450" s="12">
        <f t="shared" si="40"/>
        <v>1264.3530000000001</v>
      </c>
      <c r="C1450" s="10"/>
      <c r="E1450" s="11">
        <v>78649</v>
      </c>
      <c r="F1450" s="4">
        <f t="shared" si="39"/>
        <v>1264.3530000000001</v>
      </c>
    </row>
    <row r="1451" spans="1:6">
      <c r="A1451" s="11">
        <v>78680</v>
      </c>
      <c r="B1451" s="12">
        <f t="shared" si="40"/>
        <v>1264.3530000000001</v>
      </c>
      <c r="C1451" s="10"/>
      <c r="E1451" s="11">
        <v>78680</v>
      </c>
      <c r="F1451" s="4">
        <f t="shared" si="39"/>
        <v>1264.3530000000001</v>
      </c>
    </row>
    <row r="1452" spans="1:6">
      <c r="A1452" s="11">
        <v>78710</v>
      </c>
      <c r="B1452" s="12">
        <f t="shared" si="40"/>
        <v>1264.3530000000001</v>
      </c>
      <c r="C1452" s="10"/>
      <c r="E1452" s="11">
        <v>78710</v>
      </c>
      <c r="F1452" s="4">
        <f t="shared" si="39"/>
        <v>1264.3530000000001</v>
      </c>
    </row>
    <row r="1453" spans="1:6">
      <c r="A1453" s="11">
        <v>78741</v>
      </c>
      <c r="B1453" s="12">
        <f t="shared" si="40"/>
        <v>1264.3530000000001</v>
      </c>
      <c r="C1453" s="10"/>
      <c r="E1453" s="11">
        <v>78741</v>
      </c>
      <c r="F1453" s="4">
        <f t="shared" si="39"/>
        <v>1264.3530000000001</v>
      </c>
    </row>
    <row r="1454" spans="1:6">
      <c r="A1454" s="11">
        <v>78772</v>
      </c>
      <c r="B1454" s="12">
        <f t="shared" si="40"/>
        <v>1264.3530000000001</v>
      </c>
      <c r="C1454" s="10"/>
      <c r="E1454" s="11">
        <v>78772</v>
      </c>
      <c r="F1454" s="4">
        <f t="shared" si="39"/>
        <v>1264.3530000000001</v>
      </c>
    </row>
    <row r="1455" spans="1:6">
      <c r="A1455" s="11">
        <v>78802</v>
      </c>
      <c r="B1455" s="12">
        <f t="shared" si="40"/>
        <v>1264.3530000000001</v>
      </c>
      <c r="C1455" s="10"/>
      <c r="E1455" s="11">
        <v>78802</v>
      </c>
      <c r="F1455" s="4">
        <f t="shared" si="39"/>
        <v>1264.3530000000001</v>
      </c>
    </row>
    <row r="1456" spans="1:6">
      <c r="A1456" s="11">
        <v>78833</v>
      </c>
      <c r="B1456" s="12">
        <f t="shared" si="40"/>
        <v>1264.3530000000001</v>
      </c>
      <c r="C1456" s="10"/>
      <c r="E1456" s="11">
        <v>78833</v>
      </c>
      <c r="F1456" s="4">
        <f t="shared" si="39"/>
        <v>1264.3530000000001</v>
      </c>
    </row>
    <row r="1457" spans="1:6">
      <c r="A1457" s="11">
        <v>78863</v>
      </c>
      <c r="B1457" s="12">
        <f t="shared" si="40"/>
        <v>1264.3530000000001</v>
      </c>
      <c r="C1457" s="10"/>
      <c r="E1457" s="11">
        <v>78863</v>
      </c>
      <c r="F1457" s="4">
        <f t="shared" si="39"/>
        <v>1264.3530000000001</v>
      </c>
    </row>
    <row r="1458" spans="1:6">
      <c r="A1458" s="11">
        <v>78894</v>
      </c>
      <c r="B1458" s="12">
        <f t="shared" si="40"/>
        <v>1264.3530000000001</v>
      </c>
      <c r="C1458" s="10"/>
      <c r="E1458" s="11">
        <v>78894</v>
      </c>
      <c r="F1458" s="4">
        <f t="shared" si="39"/>
        <v>1264.3530000000001</v>
      </c>
    </row>
    <row r="1459" spans="1:6">
      <c r="A1459" s="11">
        <v>78925</v>
      </c>
      <c r="B1459" s="12">
        <f t="shared" si="40"/>
        <v>1264.3530000000001</v>
      </c>
      <c r="C1459" s="10"/>
      <c r="E1459" s="11">
        <v>78925</v>
      </c>
      <c r="F1459" s="4">
        <f t="shared" si="39"/>
        <v>1264.3530000000001</v>
      </c>
    </row>
    <row r="1460" spans="1:6">
      <c r="A1460" s="11">
        <v>78954</v>
      </c>
      <c r="B1460" s="12">
        <f t="shared" si="40"/>
        <v>1264.3530000000001</v>
      </c>
      <c r="C1460" s="10"/>
      <c r="E1460" s="11">
        <v>78954</v>
      </c>
      <c r="F1460" s="4">
        <f t="shared" si="39"/>
        <v>1264.3530000000001</v>
      </c>
    </row>
    <row r="1461" spans="1:6">
      <c r="A1461" s="11">
        <v>78985</v>
      </c>
      <c r="B1461" s="12">
        <f t="shared" si="40"/>
        <v>1264.3530000000001</v>
      </c>
      <c r="C1461" s="10"/>
      <c r="E1461" s="11">
        <v>78985</v>
      </c>
      <c r="F1461" s="4">
        <f t="shared" si="39"/>
        <v>1264.3530000000001</v>
      </c>
    </row>
    <row r="1462" spans="1:6">
      <c r="A1462" s="11">
        <v>79015</v>
      </c>
      <c r="B1462" s="12">
        <f t="shared" si="40"/>
        <v>1264.3530000000001</v>
      </c>
      <c r="C1462" s="10"/>
      <c r="E1462" s="11">
        <v>79015</v>
      </c>
      <c r="F1462" s="4">
        <f t="shared" si="39"/>
        <v>1264.3530000000001</v>
      </c>
    </row>
    <row r="1463" spans="1:6">
      <c r="A1463" s="11">
        <v>79046</v>
      </c>
      <c r="B1463" s="12">
        <f t="shared" si="40"/>
        <v>1264.3530000000001</v>
      </c>
      <c r="C1463" s="10"/>
      <c r="E1463" s="11">
        <v>79046</v>
      </c>
      <c r="F1463" s="4">
        <f t="shared" si="39"/>
        <v>1264.3530000000001</v>
      </c>
    </row>
    <row r="1464" spans="1:6">
      <c r="A1464" s="11">
        <v>79076</v>
      </c>
      <c r="B1464" s="12">
        <f t="shared" si="40"/>
        <v>1264.3530000000001</v>
      </c>
      <c r="C1464" s="10"/>
      <c r="E1464" s="11">
        <v>79076</v>
      </c>
      <c r="F1464" s="4">
        <f t="shared" si="39"/>
        <v>1264.3530000000001</v>
      </c>
    </row>
    <row r="1465" spans="1:6">
      <c r="A1465" s="11">
        <v>79107</v>
      </c>
      <c r="B1465" s="12">
        <f t="shared" si="40"/>
        <v>1264.3530000000001</v>
      </c>
      <c r="C1465" s="10"/>
      <c r="E1465" s="11">
        <v>79107</v>
      </c>
      <c r="F1465" s="4">
        <f t="shared" si="39"/>
        <v>1264.3530000000001</v>
      </c>
    </row>
    <row r="1466" spans="1:6">
      <c r="A1466" s="11">
        <v>79138</v>
      </c>
      <c r="B1466" s="12">
        <f t="shared" si="40"/>
        <v>1264.3530000000001</v>
      </c>
      <c r="C1466" s="10"/>
      <c r="E1466" s="11">
        <v>79138</v>
      </c>
      <c r="F1466" s="4">
        <f t="shared" si="39"/>
        <v>1264.3530000000001</v>
      </c>
    </row>
    <row r="1467" spans="1:6">
      <c r="A1467" s="11">
        <v>79168</v>
      </c>
      <c r="B1467" s="12">
        <f t="shared" si="40"/>
        <v>1264.3530000000001</v>
      </c>
      <c r="C1467" s="10"/>
      <c r="E1467" s="11">
        <v>79168</v>
      </c>
      <c r="F1467" s="4">
        <f t="shared" si="39"/>
        <v>1264.3530000000001</v>
      </c>
    </row>
    <row r="1468" spans="1:6">
      <c r="A1468" s="11">
        <v>79199</v>
      </c>
      <c r="B1468" s="12">
        <f t="shared" si="40"/>
        <v>1264.3530000000001</v>
      </c>
      <c r="C1468" s="10"/>
      <c r="E1468" s="11">
        <v>79199</v>
      </c>
      <c r="F1468" s="4">
        <f t="shared" si="39"/>
        <v>1264.3530000000001</v>
      </c>
    </row>
    <row r="1469" spans="1:6">
      <c r="A1469" s="11">
        <v>79229</v>
      </c>
      <c r="B1469" s="12">
        <f t="shared" si="40"/>
        <v>1264.3530000000001</v>
      </c>
      <c r="C1469" s="10"/>
      <c r="E1469" s="11">
        <v>79229</v>
      </c>
      <c r="F1469" s="4">
        <f t="shared" si="39"/>
        <v>1264.3530000000001</v>
      </c>
    </row>
    <row r="1470" spans="1:6">
      <c r="A1470" s="11">
        <v>79260</v>
      </c>
      <c r="B1470" s="12">
        <f t="shared" si="40"/>
        <v>1264.3530000000001</v>
      </c>
      <c r="C1470" s="10"/>
      <c r="E1470" s="11">
        <v>79260</v>
      </c>
      <c r="F1470" s="4">
        <f t="shared" si="39"/>
        <v>1264.3530000000001</v>
      </c>
    </row>
    <row r="1471" spans="1:6">
      <c r="A1471" s="11">
        <v>79291</v>
      </c>
      <c r="B1471" s="12">
        <f t="shared" si="40"/>
        <v>1264.3530000000001</v>
      </c>
      <c r="C1471" s="10"/>
      <c r="E1471" s="11">
        <v>79291</v>
      </c>
      <c r="F1471" s="4">
        <f t="shared" si="39"/>
        <v>1264.3530000000001</v>
      </c>
    </row>
    <row r="1472" spans="1:6">
      <c r="A1472" s="11">
        <v>79319</v>
      </c>
      <c r="B1472" s="12">
        <f t="shared" si="40"/>
        <v>1264.3530000000001</v>
      </c>
      <c r="C1472" s="10"/>
      <c r="E1472" s="11">
        <v>79319</v>
      </c>
      <c r="F1472" s="4">
        <f t="shared" si="39"/>
        <v>1264.3530000000001</v>
      </c>
    </row>
    <row r="1473" spans="1:6">
      <c r="A1473" s="11">
        <v>79350</v>
      </c>
      <c r="B1473" s="12">
        <f t="shared" si="40"/>
        <v>1264.3530000000001</v>
      </c>
      <c r="C1473" s="10"/>
      <c r="E1473" s="11">
        <v>79350</v>
      </c>
      <c r="F1473" s="4">
        <f t="shared" si="39"/>
        <v>1264.3530000000001</v>
      </c>
    </row>
    <row r="1474" spans="1:6">
      <c r="A1474" s="11">
        <v>79380</v>
      </c>
      <c r="B1474" s="12">
        <f t="shared" si="40"/>
        <v>1264.3530000000001</v>
      </c>
      <c r="C1474" s="10"/>
      <c r="E1474" s="11">
        <v>79380</v>
      </c>
      <c r="F1474" s="4">
        <f t="shared" si="39"/>
        <v>1264.3530000000001</v>
      </c>
    </row>
    <row r="1475" spans="1:6">
      <c r="A1475" s="11">
        <v>79411</v>
      </c>
      <c r="B1475" s="12">
        <f t="shared" si="40"/>
        <v>1264.3530000000001</v>
      </c>
      <c r="C1475" s="10"/>
      <c r="E1475" s="11">
        <v>79411</v>
      </c>
      <c r="F1475" s="4">
        <f t="shared" ref="F1475:F1538" si="41">B1474</f>
        <v>1264.3530000000001</v>
      </c>
    </row>
    <row r="1476" spans="1:6">
      <c r="A1476" s="11">
        <v>79441</v>
      </c>
      <c r="B1476" s="12">
        <f t="shared" si="40"/>
        <v>1264.3530000000001</v>
      </c>
      <c r="C1476" s="10"/>
      <c r="E1476" s="11">
        <v>79441</v>
      </c>
      <c r="F1476" s="4">
        <f t="shared" si="41"/>
        <v>1264.3530000000001</v>
      </c>
    </row>
    <row r="1477" spans="1:6">
      <c r="A1477" s="11">
        <v>79472</v>
      </c>
      <c r="B1477" s="12">
        <f t="shared" si="40"/>
        <v>1264.3530000000001</v>
      </c>
      <c r="C1477" s="10"/>
      <c r="E1477" s="11">
        <v>79472</v>
      </c>
      <c r="F1477" s="4">
        <f t="shared" si="41"/>
        <v>1264.3530000000001</v>
      </c>
    </row>
    <row r="1478" spans="1:6">
      <c r="A1478" s="11">
        <v>79503</v>
      </c>
      <c r="B1478" s="12">
        <f t="shared" si="40"/>
        <v>1264.3530000000001</v>
      </c>
      <c r="C1478" s="10"/>
      <c r="E1478" s="11">
        <v>79503</v>
      </c>
      <c r="F1478" s="4">
        <f t="shared" si="41"/>
        <v>1264.3530000000001</v>
      </c>
    </row>
    <row r="1479" spans="1:6">
      <c r="A1479" s="11">
        <v>79533</v>
      </c>
      <c r="B1479" s="12">
        <f t="shared" si="40"/>
        <v>1264.3530000000001</v>
      </c>
      <c r="C1479" s="10"/>
      <c r="E1479" s="11">
        <v>79533</v>
      </c>
      <c r="F1479" s="4">
        <f t="shared" si="41"/>
        <v>1264.3530000000001</v>
      </c>
    </row>
    <row r="1480" spans="1:6">
      <c r="A1480" s="11">
        <v>79564</v>
      </c>
      <c r="B1480" s="12">
        <f t="shared" si="40"/>
        <v>1264.3530000000001</v>
      </c>
      <c r="C1480" s="10"/>
      <c r="E1480" s="11">
        <v>79564</v>
      </c>
      <c r="F1480" s="4">
        <f t="shared" si="41"/>
        <v>1264.3530000000001</v>
      </c>
    </row>
    <row r="1481" spans="1:6">
      <c r="A1481" s="11">
        <v>79594</v>
      </c>
      <c r="B1481" s="12">
        <f t="shared" si="40"/>
        <v>1264.3530000000001</v>
      </c>
      <c r="C1481" s="10"/>
      <c r="E1481" s="11">
        <v>79594</v>
      </c>
      <c r="F1481" s="4">
        <f t="shared" si="41"/>
        <v>1264.3530000000001</v>
      </c>
    </row>
    <row r="1482" spans="1:6">
      <c r="A1482" s="11">
        <v>79625</v>
      </c>
      <c r="B1482" s="12">
        <f t="shared" si="40"/>
        <v>1264.3530000000001</v>
      </c>
      <c r="C1482" s="10"/>
      <c r="E1482" s="11">
        <v>79625</v>
      </c>
      <c r="F1482" s="4">
        <f t="shared" si="41"/>
        <v>1264.3530000000001</v>
      </c>
    </row>
    <row r="1483" spans="1:6">
      <c r="A1483" s="11">
        <v>79656</v>
      </c>
      <c r="B1483" s="12">
        <f t="shared" si="40"/>
        <v>1264.3530000000001</v>
      </c>
      <c r="C1483" s="10"/>
      <c r="E1483" s="11">
        <v>79656</v>
      </c>
      <c r="F1483" s="4">
        <f t="shared" si="41"/>
        <v>1264.3530000000001</v>
      </c>
    </row>
    <row r="1484" spans="1:6">
      <c r="A1484" s="11">
        <v>79684</v>
      </c>
      <c r="B1484" s="12">
        <f t="shared" si="40"/>
        <v>1264.3530000000001</v>
      </c>
      <c r="C1484" s="10"/>
      <c r="E1484" s="11">
        <v>79684</v>
      </c>
      <c r="F1484" s="4">
        <f t="shared" si="41"/>
        <v>1264.3530000000001</v>
      </c>
    </row>
    <row r="1485" spans="1:6">
      <c r="A1485" s="11">
        <v>79715</v>
      </c>
      <c r="B1485" s="12">
        <f t="shared" si="40"/>
        <v>1264.3530000000001</v>
      </c>
      <c r="C1485" s="10"/>
      <c r="E1485" s="11">
        <v>79715</v>
      </c>
      <c r="F1485" s="4">
        <f t="shared" si="41"/>
        <v>1264.3530000000001</v>
      </c>
    </row>
    <row r="1486" spans="1:6">
      <c r="A1486" s="11">
        <v>79745</v>
      </c>
      <c r="B1486" s="12">
        <f t="shared" si="40"/>
        <v>1264.3530000000001</v>
      </c>
      <c r="C1486" s="10"/>
      <c r="E1486" s="11">
        <v>79745</v>
      </c>
      <c r="F1486" s="4">
        <f t="shared" si="41"/>
        <v>1264.3530000000001</v>
      </c>
    </row>
    <row r="1487" spans="1:6">
      <c r="A1487" s="11">
        <v>79776</v>
      </c>
      <c r="B1487" s="12">
        <f t="shared" si="40"/>
        <v>1264.3530000000001</v>
      </c>
      <c r="C1487" s="10"/>
      <c r="E1487" s="11">
        <v>79776</v>
      </c>
      <c r="F1487" s="4">
        <f t="shared" si="41"/>
        <v>1264.3530000000001</v>
      </c>
    </row>
    <row r="1488" spans="1:6">
      <c r="A1488" s="11">
        <v>79806</v>
      </c>
      <c r="B1488" s="12">
        <f t="shared" si="40"/>
        <v>1264.3530000000001</v>
      </c>
      <c r="C1488" s="10"/>
      <c r="E1488" s="11">
        <v>79806</v>
      </c>
      <c r="F1488" s="4">
        <f t="shared" si="41"/>
        <v>1264.3530000000001</v>
      </c>
    </row>
    <row r="1489" spans="1:6">
      <c r="A1489" s="11">
        <v>79837</v>
      </c>
      <c r="B1489" s="12">
        <f t="shared" si="40"/>
        <v>1264.3530000000001</v>
      </c>
      <c r="C1489" s="10"/>
      <c r="E1489" s="11">
        <v>79837</v>
      </c>
      <c r="F1489" s="4">
        <f t="shared" si="41"/>
        <v>1264.3530000000001</v>
      </c>
    </row>
    <row r="1490" spans="1:6">
      <c r="A1490" s="11">
        <v>79868</v>
      </c>
      <c r="B1490" s="12">
        <f t="shared" si="40"/>
        <v>1264.3530000000001</v>
      </c>
      <c r="C1490" s="10"/>
      <c r="E1490" s="11">
        <v>79868</v>
      </c>
      <c r="F1490" s="4">
        <f t="shared" si="41"/>
        <v>1264.3530000000001</v>
      </c>
    </row>
    <row r="1491" spans="1:6">
      <c r="A1491" s="11">
        <v>79898</v>
      </c>
      <c r="B1491" s="12">
        <f t="shared" si="40"/>
        <v>1264.3530000000001</v>
      </c>
      <c r="C1491" s="10"/>
      <c r="E1491" s="11">
        <v>79898</v>
      </c>
      <c r="F1491" s="4">
        <f t="shared" si="41"/>
        <v>1264.3530000000001</v>
      </c>
    </row>
    <row r="1492" spans="1:6">
      <c r="A1492" s="11">
        <v>79929</v>
      </c>
      <c r="B1492" s="12">
        <f t="shared" si="40"/>
        <v>1264.3530000000001</v>
      </c>
      <c r="C1492" s="10"/>
      <c r="E1492" s="11">
        <v>79929</v>
      </c>
      <c r="F1492" s="4">
        <f t="shared" si="41"/>
        <v>1264.3530000000001</v>
      </c>
    </row>
    <row r="1493" spans="1:6">
      <c r="A1493" s="11">
        <v>79959</v>
      </c>
      <c r="B1493" s="12">
        <f t="shared" si="40"/>
        <v>1264.3530000000001</v>
      </c>
      <c r="C1493" s="10"/>
      <c r="E1493" s="11">
        <v>79959</v>
      </c>
      <c r="F1493" s="4">
        <f t="shared" si="41"/>
        <v>1264.3530000000001</v>
      </c>
    </row>
    <row r="1494" spans="1:6">
      <c r="A1494" s="11">
        <v>79990</v>
      </c>
      <c r="B1494" s="12">
        <f t="shared" si="40"/>
        <v>1264.3530000000001</v>
      </c>
      <c r="C1494" s="10"/>
      <c r="E1494" s="11">
        <v>79990</v>
      </c>
      <c r="F1494" s="4">
        <f t="shared" si="41"/>
        <v>1264.3530000000001</v>
      </c>
    </row>
    <row r="1495" spans="1:6">
      <c r="A1495" s="11">
        <v>80021</v>
      </c>
      <c r="B1495" s="12">
        <f t="shared" si="40"/>
        <v>1264.3530000000001</v>
      </c>
      <c r="C1495" s="10"/>
      <c r="E1495" s="11">
        <v>80021</v>
      </c>
      <c r="F1495" s="4">
        <f t="shared" si="41"/>
        <v>1264.3530000000001</v>
      </c>
    </row>
    <row r="1496" spans="1:6">
      <c r="A1496" s="11">
        <v>80049</v>
      </c>
      <c r="B1496" s="12">
        <f t="shared" si="40"/>
        <v>1264.3530000000001</v>
      </c>
      <c r="C1496" s="10"/>
      <c r="E1496" s="11">
        <v>80049</v>
      </c>
      <c r="F1496" s="4">
        <f t="shared" si="41"/>
        <v>1264.3530000000001</v>
      </c>
    </row>
    <row r="1497" spans="1:6">
      <c r="A1497" s="11">
        <v>80080</v>
      </c>
      <c r="B1497" s="12">
        <f t="shared" si="40"/>
        <v>1264.3530000000001</v>
      </c>
      <c r="C1497" s="10"/>
      <c r="E1497" s="11">
        <v>80080</v>
      </c>
      <c r="F1497" s="4">
        <f t="shared" si="41"/>
        <v>1264.3530000000001</v>
      </c>
    </row>
    <row r="1498" spans="1:6">
      <c r="A1498" s="11">
        <v>80110</v>
      </c>
      <c r="B1498" s="12">
        <f t="shared" si="40"/>
        <v>1264.3530000000001</v>
      </c>
      <c r="C1498" s="10"/>
      <c r="E1498" s="11">
        <v>80110</v>
      </c>
      <c r="F1498" s="4">
        <f t="shared" si="41"/>
        <v>1264.3530000000001</v>
      </c>
    </row>
    <row r="1499" spans="1:6">
      <c r="A1499" s="11">
        <v>80141</v>
      </c>
      <c r="B1499" s="12">
        <f t="shared" si="40"/>
        <v>1264.3530000000001</v>
      </c>
      <c r="C1499" s="10"/>
      <c r="E1499" s="11">
        <v>80141</v>
      </c>
      <c r="F1499" s="4">
        <f t="shared" si="41"/>
        <v>1264.3530000000001</v>
      </c>
    </row>
    <row r="1500" spans="1:6">
      <c r="A1500" s="11">
        <v>80171</v>
      </c>
      <c r="B1500" s="12">
        <f t="shared" si="40"/>
        <v>1264.3530000000001</v>
      </c>
      <c r="C1500" s="10"/>
      <c r="E1500" s="11">
        <v>80171</v>
      </c>
      <c r="F1500" s="4">
        <f t="shared" si="41"/>
        <v>1264.3530000000001</v>
      </c>
    </row>
    <row r="1501" spans="1:6">
      <c r="A1501" s="11">
        <v>80202</v>
      </c>
      <c r="B1501" s="12">
        <f t="shared" si="40"/>
        <v>1264.3530000000001</v>
      </c>
      <c r="C1501" s="10"/>
      <c r="E1501" s="11">
        <v>80202</v>
      </c>
      <c r="F1501" s="4">
        <f t="shared" si="41"/>
        <v>1264.3530000000001</v>
      </c>
    </row>
    <row r="1502" spans="1:6">
      <c r="A1502" s="11">
        <v>80233</v>
      </c>
      <c r="B1502" s="12">
        <f t="shared" ref="B1502:B1565" si="42">B1501</f>
        <v>1264.3530000000001</v>
      </c>
      <c r="C1502" s="10"/>
      <c r="E1502" s="11">
        <v>80233</v>
      </c>
      <c r="F1502" s="4">
        <f t="shared" si="41"/>
        <v>1264.3530000000001</v>
      </c>
    </row>
    <row r="1503" spans="1:6">
      <c r="A1503" s="11">
        <v>80263</v>
      </c>
      <c r="B1503" s="12">
        <f t="shared" si="42"/>
        <v>1264.3530000000001</v>
      </c>
      <c r="C1503" s="10"/>
      <c r="E1503" s="11">
        <v>80263</v>
      </c>
      <c r="F1503" s="4">
        <f t="shared" si="41"/>
        <v>1264.3530000000001</v>
      </c>
    </row>
    <row r="1504" spans="1:6">
      <c r="A1504" s="11">
        <v>80294</v>
      </c>
      <c r="B1504" s="12">
        <f t="shared" si="42"/>
        <v>1264.3530000000001</v>
      </c>
      <c r="C1504" s="10"/>
      <c r="E1504" s="11">
        <v>80294</v>
      </c>
      <c r="F1504" s="4">
        <f t="shared" si="41"/>
        <v>1264.3530000000001</v>
      </c>
    </row>
    <row r="1505" spans="1:6">
      <c r="A1505" s="11">
        <v>80324</v>
      </c>
      <c r="B1505" s="12">
        <f t="shared" si="42"/>
        <v>1264.3530000000001</v>
      </c>
      <c r="C1505" s="10"/>
      <c r="E1505" s="11">
        <v>80324</v>
      </c>
      <c r="F1505" s="4">
        <f t="shared" si="41"/>
        <v>1264.3530000000001</v>
      </c>
    </row>
    <row r="1506" spans="1:6">
      <c r="A1506" s="11">
        <v>80355</v>
      </c>
      <c r="B1506" s="12">
        <f t="shared" si="42"/>
        <v>1264.3530000000001</v>
      </c>
      <c r="C1506" s="10"/>
      <c r="E1506" s="11">
        <v>80355</v>
      </c>
      <c r="F1506" s="4">
        <f t="shared" si="41"/>
        <v>1264.3530000000001</v>
      </c>
    </row>
    <row r="1507" spans="1:6">
      <c r="A1507" s="11">
        <v>80386</v>
      </c>
      <c r="B1507" s="12">
        <f t="shared" si="42"/>
        <v>1264.3530000000001</v>
      </c>
      <c r="C1507" s="10"/>
      <c r="E1507" s="11">
        <v>80386</v>
      </c>
      <c r="F1507" s="4">
        <f t="shared" si="41"/>
        <v>1264.3530000000001</v>
      </c>
    </row>
    <row r="1508" spans="1:6">
      <c r="A1508" s="11">
        <v>80415</v>
      </c>
      <c r="B1508" s="12">
        <f t="shared" si="42"/>
        <v>1264.3530000000001</v>
      </c>
      <c r="C1508" s="10"/>
      <c r="E1508" s="11">
        <v>80415</v>
      </c>
      <c r="F1508" s="4">
        <f t="shared" si="41"/>
        <v>1264.3530000000001</v>
      </c>
    </row>
    <row r="1509" spans="1:6">
      <c r="A1509" s="11">
        <v>80446</v>
      </c>
      <c r="B1509" s="12">
        <f t="shared" si="42"/>
        <v>1264.3530000000001</v>
      </c>
      <c r="C1509" s="10"/>
      <c r="E1509" s="11">
        <v>80446</v>
      </c>
      <c r="F1509" s="4">
        <f t="shared" si="41"/>
        <v>1264.3530000000001</v>
      </c>
    </row>
    <row r="1510" spans="1:6">
      <c r="A1510" s="11">
        <v>80476</v>
      </c>
      <c r="B1510" s="12">
        <f t="shared" si="42"/>
        <v>1264.3530000000001</v>
      </c>
      <c r="C1510" s="10"/>
      <c r="E1510" s="11">
        <v>80476</v>
      </c>
      <c r="F1510" s="4">
        <f t="shared" si="41"/>
        <v>1264.3530000000001</v>
      </c>
    </row>
    <row r="1511" spans="1:6">
      <c r="A1511" s="11">
        <v>80507</v>
      </c>
      <c r="B1511" s="12">
        <f t="shared" si="42"/>
        <v>1264.3530000000001</v>
      </c>
      <c r="C1511" s="10"/>
      <c r="E1511" s="11">
        <v>80507</v>
      </c>
      <c r="F1511" s="4">
        <f t="shared" si="41"/>
        <v>1264.3530000000001</v>
      </c>
    </row>
    <row r="1512" spans="1:6">
      <c r="A1512" s="11">
        <v>80537</v>
      </c>
      <c r="B1512" s="12">
        <f t="shared" si="42"/>
        <v>1264.3530000000001</v>
      </c>
      <c r="C1512" s="10"/>
      <c r="E1512" s="11">
        <v>80537</v>
      </c>
      <c r="F1512" s="4">
        <f t="shared" si="41"/>
        <v>1264.3530000000001</v>
      </c>
    </row>
    <row r="1513" spans="1:6">
      <c r="A1513" s="11">
        <v>80568</v>
      </c>
      <c r="B1513" s="12">
        <f t="shared" si="42"/>
        <v>1264.3530000000001</v>
      </c>
      <c r="C1513" s="10"/>
      <c r="E1513" s="11">
        <v>80568</v>
      </c>
      <c r="F1513" s="4">
        <f t="shared" si="41"/>
        <v>1264.3530000000001</v>
      </c>
    </row>
    <row r="1514" spans="1:6">
      <c r="A1514" s="11">
        <v>80599</v>
      </c>
      <c r="B1514" s="12">
        <f t="shared" si="42"/>
        <v>1264.3530000000001</v>
      </c>
      <c r="C1514" s="10"/>
      <c r="E1514" s="11">
        <v>80599</v>
      </c>
      <c r="F1514" s="4">
        <f t="shared" si="41"/>
        <v>1264.3530000000001</v>
      </c>
    </row>
    <row r="1515" spans="1:6">
      <c r="A1515" s="11">
        <v>80629</v>
      </c>
      <c r="B1515" s="12">
        <f t="shared" si="42"/>
        <v>1264.3530000000001</v>
      </c>
      <c r="C1515" s="10"/>
      <c r="E1515" s="11">
        <v>80629</v>
      </c>
      <c r="F1515" s="4">
        <f t="shared" si="41"/>
        <v>1264.3530000000001</v>
      </c>
    </row>
    <row r="1516" spans="1:6">
      <c r="A1516" s="11">
        <v>80660</v>
      </c>
      <c r="B1516" s="12">
        <f t="shared" si="42"/>
        <v>1264.3530000000001</v>
      </c>
      <c r="C1516" s="10"/>
      <c r="E1516" s="11">
        <v>80660</v>
      </c>
      <c r="F1516" s="4">
        <f t="shared" si="41"/>
        <v>1264.3530000000001</v>
      </c>
    </row>
    <row r="1517" spans="1:6">
      <c r="A1517" s="11">
        <v>80690</v>
      </c>
      <c r="B1517" s="12">
        <f t="shared" si="42"/>
        <v>1264.3530000000001</v>
      </c>
      <c r="C1517" s="10"/>
      <c r="E1517" s="11">
        <v>80690</v>
      </c>
      <c r="F1517" s="4">
        <f t="shared" si="41"/>
        <v>1264.3530000000001</v>
      </c>
    </row>
    <row r="1518" spans="1:6">
      <c r="A1518" s="11">
        <v>80721</v>
      </c>
      <c r="B1518" s="12">
        <f t="shared" si="42"/>
        <v>1264.3530000000001</v>
      </c>
      <c r="C1518" s="10"/>
      <c r="E1518" s="11">
        <v>80721</v>
      </c>
      <c r="F1518" s="4">
        <f t="shared" si="41"/>
        <v>1264.3530000000001</v>
      </c>
    </row>
    <row r="1519" spans="1:6">
      <c r="A1519" s="11">
        <v>80752</v>
      </c>
      <c r="B1519" s="12">
        <f t="shared" si="42"/>
        <v>1264.3530000000001</v>
      </c>
      <c r="C1519" s="10"/>
      <c r="E1519" s="11">
        <v>80752</v>
      </c>
      <c r="F1519" s="4">
        <f t="shared" si="41"/>
        <v>1264.3530000000001</v>
      </c>
    </row>
    <row r="1520" spans="1:6">
      <c r="A1520" s="11">
        <v>80780</v>
      </c>
      <c r="B1520" s="12">
        <f t="shared" si="42"/>
        <v>1264.3530000000001</v>
      </c>
      <c r="C1520" s="10"/>
      <c r="E1520" s="11">
        <v>80780</v>
      </c>
      <c r="F1520" s="4">
        <f t="shared" si="41"/>
        <v>1264.3530000000001</v>
      </c>
    </row>
    <row r="1521" spans="1:6">
      <c r="A1521" s="11">
        <v>80811</v>
      </c>
      <c r="B1521" s="12">
        <f t="shared" si="42"/>
        <v>1264.3530000000001</v>
      </c>
      <c r="C1521" s="10"/>
      <c r="E1521" s="11">
        <v>80811</v>
      </c>
      <c r="F1521" s="4">
        <f t="shared" si="41"/>
        <v>1264.3530000000001</v>
      </c>
    </row>
    <row r="1522" spans="1:6">
      <c r="A1522" s="11">
        <v>80841</v>
      </c>
      <c r="B1522" s="12">
        <f t="shared" si="42"/>
        <v>1264.3530000000001</v>
      </c>
      <c r="C1522" s="10"/>
      <c r="E1522" s="11">
        <v>80841</v>
      </c>
      <c r="F1522" s="4">
        <f t="shared" si="41"/>
        <v>1264.3530000000001</v>
      </c>
    </row>
    <row r="1523" spans="1:6">
      <c r="A1523" s="11">
        <v>80872</v>
      </c>
      <c r="B1523" s="12">
        <f t="shared" si="42"/>
        <v>1264.3530000000001</v>
      </c>
      <c r="C1523" s="10"/>
      <c r="E1523" s="11">
        <v>80872</v>
      </c>
      <c r="F1523" s="4">
        <f t="shared" si="41"/>
        <v>1264.3530000000001</v>
      </c>
    </row>
    <row r="1524" spans="1:6">
      <c r="A1524" s="11">
        <v>80902</v>
      </c>
      <c r="B1524" s="12">
        <f t="shared" si="42"/>
        <v>1264.3530000000001</v>
      </c>
      <c r="C1524" s="10"/>
      <c r="E1524" s="11">
        <v>80902</v>
      </c>
      <c r="F1524" s="4">
        <f t="shared" si="41"/>
        <v>1264.3530000000001</v>
      </c>
    </row>
    <row r="1525" spans="1:6">
      <c r="A1525" s="11">
        <v>80933</v>
      </c>
      <c r="B1525" s="12">
        <f t="shared" si="42"/>
        <v>1264.3530000000001</v>
      </c>
      <c r="C1525" s="10"/>
      <c r="E1525" s="11">
        <v>80933</v>
      </c>
      <c r="F1525" s="4">
        <f t="shared" si="41"/>
        <v>1264.3530000000001</v>
      </c>
    </row>
    <row r="1526" spans="1:6">
      <c r="A1526" s="11">
        <v>80964</v>
      </c>
      <c r="B1526" s="12">
        <f t="shared" si="42"/>
        <v>1264.3530000000001</v>
      </c>
      <c r="C1526" s="10"/>
      <c r="E1526" s="11">
        <v>80964</v>
      </c>
      <c r="F1526" s="4">
        <f t="shared" si="41"/>
        <v>1264.3530000000001</v>
      </c>
    </row>
    <row r="1527" spans="1:6">
      <c r="A1527" s="11">
        <v>80994</v>
      </c>
      <c r="B1527" s="12">
        <f t="shared" si="42"/>
        <v>1264.3530000000001</v>
      </c>
      <c r="C1527" s="10"/>
      <c r="E1527" s="11">
        <v>80994</v>
      </c>
      <c r="F1527" s="4">
        <f t="shared" si="41"/>
        <v>1264.3530000000001</v>
      </c>
    </row>
    <row r="1528" spans="1:6">
      <c r="A1528" s="11">
        <v>81025</v>
      </c>
      <c r="B1528" s="12">
        <f t="shared" si="42"/>
        <v>1264.3530000000001</v>
      </c>
      <c r="C1528" s="10"/>
      <c r="E1528" s="11">
        <v>81025</v>
      </c>
      <c r="F1528" s="4">
        <f t="shared" si="41"/>
        <v>1264.3530000000001</v>
      </c>
    </row>
    <row r="1529" spans="1:6">
      <c r="A1529" s="11">
        <v>81055</v>
      </c>
      <c r="B1529" s="12">
        <f t="shared" si="42"/>
        <v>1264.3530000000001</v>
      </c>
      <c r="C1529" s="10"/>
      <c r="E1529" s="11">
        <v>81055</v>
      </c>
      <c r="F1529" s="4">
        <f t="shared" si="41"/>
        <v>1264.3530000000001</v>
      </c>
    </row>
    <row r="1530" spans="1:6">
      <c r="A1530" s="11">
        <v>81086</v>
      </c>
      <c r="B1530" s="12">
        <f t="shared" si="42"/>
        <v>1264.3530000000001</v>
      </c>
      <c r="C1530" s="10"/>
      <c r="E1530" s="11">
        <v>81086</v>
      </c>
      <c r="F1530" s="4">
        <f t="shared" si="41"/>
        <v>1264.3530000000001</v>
      </c>
    </row>
    <row r="1531" spans="1:6">
      <c r="A1531" s="11">
        <v>81117</v>
      </c>
      <c r="B1531" s="12">
        <f t="shared" si="42"/>
        <v>1264.3530000000001</v>
      </c>
      <c r="C1531" s="10"/>
      <c r="E1531" s="11">
        <v>81117</v>
      </c>
      <c r="F1531" s="4">
        <f t="shared" si="41"/>
        <v>1264.3530000000001</v>
      </c>
    </row>
    <row r="1532" spans="1:6">
      <c r="A1532" s="11">
        <v>81145</v>
      </c>
      <c r="B1532" s="12">
        <f t="shared" si="42"/>
        <v>1264.3530000000001</v>
      </c>
      <c r="C1532" s="10"/>
      <c r="E1532" s="11">
        <v>81145</v>
      </c>
      <c r="F1532" s="4">
        <f t="shared" si="41"/>
        <v>1264.3530000000001</v>
      </c>
    </row>
    <row r="1533" spans="1:6">
      <c r="A1533" s="11">
        <v>81176</v>
      </c>
      <c r="B1533" s="12">
        <f t="shared" si="42"/>
        <v>1264.3530000000001</v>
      </c>
      <c r="C1533" s="10"/>
      <c r="E1533" s="11">
        <v>81176</v>
      </c>
      <c r="F1533" s="4">
        <f t="shared" si="41"/>
        <v>1264.3530000000001</v>
      </c>
    </row>
    <row r="1534" spans="1:6">
      <c r="A1534" s="11">
        <v>81206</v>
      </c>
      <c r="B1534" s="12">
        <f t="shared" si="42"/>
        <v>1264.3530000000001</v>
      </c>
      <c r="C1534" s="10"/>
      <c r="E1534" s="11">
        <v>81206</v>
      </c>
      <c r="F1534" s="4">
        <f t="shared" si="41"/>
        <v>1264.3530000000001</v>
      </c>
    </row>
    <row r="1535" spans="1:6">
      <c r="A1535" s="11">
        <v>81237</v>
      </c>
      <c r="B1535" s="12">
        <f t="shared" si="42"/>
        <v>1264.3530000000001</v>
      </c>
      <c r="C1535" s="10"/>
      <c r="E1535" s="11">
        <v>81237</v>
      </c>
      <c r="F1535" s="4">
        <f t="shared" si="41"/>
        <v>1264.3530000000001</v>
      </c>
    </row>
    <row r="1536" spans="1:6">
      <c r="A1536" s="11">
        <v>81267</v>
      </c>
      <c r="B1536" s="12">
        <f t="shared" si="42"/>
        <v>1264.3530000000001</v>
      </c>
      <c r="C1536" s="10"/>
      <c r="E1536" s="11">
        <v>81267</v>
      </c>
      <c r="F1536" s="4">
        <f t="shared" si="41"/>
        <v>1264.3530000000001</v>
      </c>
    </row>
    <row r="1537" spans="1:6">
      <c r="A1537" s="11">
        <v>81298</v>
      </c>
      <c r="B1537" s="12">
        <f t="shared" si="42"/>
        <v>1264.3530000000001</v>
      </c>
      <c r="C1537" s="10"/>
      <c r="E1537" s="11">
        <v>81298</v>
      </c>
      <c r="F1537" s="4">
        <f t="shared" si="41"/>
        <v>1264.3530000000001</v>
      </c>
    </row>
    <row r="1538" spans="1:6">
      <c r="A1538" s="11">
        <v>81329</v>
      </c>
      <c r="B1538" s="12">
        <f t="shared" si="42"/>
        <v>1264.3530000000001</v>
      </c>
      <c r="C1538" s="10"/>
      <c r="E1538" s="11">
        <v>81329</v>
      </c>
      <c r="F1538" s="4">
        <f t="shared" si="41"/>
        <v>1264.3530000000001</v>
      </c>
    </row>
    <row r="1539" spans="1:6">
      <c r="A1539" s="11">
        <v>81359</v>
      </c>
      <c r="B1539" s="12">
        <f t="shared" si="42"/>
        <v>1264.3530000000001</v>
      </c>
      <c r="C1539" s="10"/>
      <c r="E1539" s="11">
        <v>81359</v>
      </c>
      <c r="F1539" s="4">
        <f t="shared" ref="F1539:F1602" si="43">B1538</f>
        <v>1264.3530000000001</v>
      </c>
    </row>
    <row r="1540" spans="1:6">
      <c r="A1540" s="11">
        <v>81390</v>
      </c>
      <c r="B1540" s="12">
        <f t="shared" si="42"/>
        <v>1264.3530000000001</v>
      </c>
      <c r="C1540" s="10"/>
      <c r="E1540" s="11">
        <v>81390</v>
      </c>
      <c r="F1540" s="4">
        <f t="shared" si="43"/>
        <v>1264.3530000000001</v>
      </c>
    </row>
    <row r="1541" spans="1:6">
      <c r="A1541" s="11">
        <v>81420</v>
      </c>
      <c r="B1541" s="12">
        <f t="shared" si="42"/>
        <v>1264.3530000000001</v>
      </c>
      <c r="C1541" s="10"/>
      <c r="E1541" s="11">
        <v>81420</v>
      </c>
      <c r="F1541" s="4">
        <f t="shared" si="43"/>
        <v>1264.3530000000001</v>
      </c>
    </row>
    <row r="1542" spans="1:6">
      <c r="A1542" s="11">
        <v>81451</v>
      </c>
      <c r="B1542" s="12">
        <f t="shared" si="42"/>
        <v>1264.3530000000001</v>
      </c>
      <c r="C1542" s="10"/>
      <c r="E1542" s="11">
        <v>81451</v>
      </c>
      <c r="F1542" s="4">
        <f t="shared" si="43"/>
        <v>1264.3530000000001</v>
      </c>
    </row>
    <row r="1543" spans="1:6">
      <c r="A1543" s="11">
        <v>81482</v>
      </c>
      <c r="B1543" s="12">
        <f t="shared" si="42"/>
        <v>1264.3530000000001</v>
      </c>
      <c r="C1543" s="10"/>
      <c r="E1543" s="11">
        <v>81482</v>
      </c>
      <c r="F1543" s="4">
        <f t="shared" si="43"/>
        <v>1264.3530000000001</v>
      </c>
    </row>
    <row r="1544" spans="1:6">
      <c r="A1544" s="11">
        <v>81510</v>
      </c>
      <c r="B1544" s="12">
        <f t="shared" si="42"/>
        <v>1264.3530000000001</v>
      </c>
      <c r="C1544" s="10"/>
      <c r="E1544" s="11">
        <v>81510</v>
      </c>
      <c r="F1544" s="4">
        <f t="shared" si="43"/>
        <v>1264.3530000000001</v>
      </c>
    </row>
    <row r="1545" spans="1:6">
      <c r="A1545" s="11">
        <v>81541</v>
      </c>
      <c r="B1545" s="12">
        <f t="shared" si="42"/>
        <v>1264.3530000000001</v>
      </c>
      <c r="C1545" s="10"/>
      <c r="E1545" s="11">
        <v>81541</v>
      </c>
      <c r="F1545" s="4">
        <f t="shared" si="43"/>
        <v>1264.3530000000001</v>
      </c>
    </row>
    <row r="1546" spans="1:6">
      <c r="A1546" s="11">
        <v>81571</v>
      </c>
      <c r="B1546" s="12">
        <f t="shared" si="42"/>
        <v>1264.3530000000001</v>
      </c>
      <c r="C1546" s="10"/>
      <c r="E1546" s="11">
        <v>81571</v>
      </c>
      <c r="F1546" s="4">
        <f t="shared" si="43"/>
        <v>1264.3530000000001</v>
      </c>
    </row>
    <row r="1547" spans="1:6">
      <c r="A1547" s="11">
        <v>81602</v>
      </c>
      <c r="B1547" s="12">
        <f t="shared" si="42"/>
        <v>1264.3530000000001</v>
      </c>
      <c r="C1547" s="10"/>
      <c r="E1547" s="11">
        <v>81602</v>
      </c>
      <c r="F1547" s="4">
        <f t="shared" si="43"/>
        <v>1264.3530000000001</v>
      </c>
    </row>
    <row r="1548" spans="1:6">
      <c r="A1548" s="11">
        <v>81632</v>
      </c>
      <c r="B1548" s="12">
        <f t="shared" si="42"/>
        <v>1264.3530000000001</v>
      </c>
      <c r="C1548" s="10"/>
      <c r="E1548" s="11">
        <v>81632</v>
      </c>
      <c r="F1548" s="4">
        <f t="shared" si="43"/>
        <v>1264.3530000000001</v>
      </c>
    </row>
    <row r="1549" spans="1:6">
      <c r="A1549" s="11">
        <v>81663</v>
      </c>
      <c r="B1549" s="12">
        <f t="shared" si="42"/>
        <v>1264.3530000000001</v>
      </c>
      <c r="C1549" s="10"/>
      <c r="E1549" s="11">
        <v>81663</v>
      </c>
      <c r="F1549" s="4">
        <f t="shared" si="43"/>
        <v>1264.3530000000001</v>
      </c>
    </row>
    <row r="1550" spans="1:6">
      <c r="A1550" s="11">
        <v>81694</v>
      </c>
      <c r="B1550" s="12">
        <f t="shared" si="42"/>
        <v>1264.3530000000001</v>
      </c>
      <c r="C1550" s="10"/>
      <c r="E1550" s="11">
        <v>81694</v>
      </c>
      <c r="F1550" s="4">
        <f t="shared" si="43"/>
        <v>1264.3530000000001</v>
      </c>
    </row>
    <row r="1551" spans="1:6">
      <c r="A1551" s="11">
        <v>81724</v>
      </c>
      <c r="B1551" s="12">
        <f t="shared" si="42"/>
        <v>1264.3530000000001</v>
      </c>
      <c r="C1551" s="10"/>
      <c r="E1551" s="11">
        <v>81724</v>
      </c>
      <c r="F1551" s="4">
        <f t="shared" si="43"/>
        <v>1264.3530000000001</v>
      </c>
    </row>
    <row r="1552" spans="1:6">
      <c r="A1552" s="11">
        <v>81755</v>
      </c>
      <c r="B1552" s="12">
        <f t="shared" si="42"/>
        <v>1264.3530000000001</v>
      </c>
      <c r="C1552" s="10"/>
      <c r="E1552" s="11">
        <v>81755</v>
      </c>
      <c r="F1552" s="4">
        <f t="shared" si="43"/>
        <v>1264.3530000000001</v>
      </c>
    </row>
    <row r="1553" spans="1:6">
      <c r="A1553" s="11">
        <v>81785</v>
      </c>
      <c r="B1553" s="12">
        <f t="shared" si="42"/>
        <v>1264.3530000000001</v>
      </c>
      <c r="C1553" s="10"/>
      <c r="E1553" s="11">
        <v>81785</v>
      </c>
      <c r="F1553" s="4">
        <f t="shared" si="43"/>
        <v>1264.3530000000001</v>
      </c>
    </row>
    <row r="1554" spans="1:6">
      <c r="A1554" s="11">
        <v>81816</v>
      </c>
      <c r="B1554" s="12">
        <f t="shared" si="42"/>
        <v>1264.3530000000001</v>
      </c>
      <c r="C1554" s="10"/>
      <c r="E1554" s="11">
        <v>81816</v>
      </c>
      <c r="F1554" s="4">
        <f t="shared" si="43"/>
        <v>1264.3530000000001</v>
      </c>
    </row>
    <row r="1555" spans="1:6">
      <c r="A1555" s="11">
        <v>81847</v>
      </c>
      <c r="B1555" s="12">
        <f t="shared" si="42"/>
        <v>1264.3530000000001</v>
      </c>
      <c r="C1555" s="10"/>
      <c r="E1555" s="11">
        <v>81847</v>
      </c>
      <c r="F1555" s="4">
        <f t="shared" si="43"/>
        <v>1264.3530000000001</v>
      </c>
    </row>
    <row r="1556" spans="1:6">
      <c r="A1556" s="11">
        <v>81876</v>
      </c>
      <c r="B1556" s="12">
        <f t="shared" si="42"/>
        <v>1264.3530000000001</v>
      </c>
      <c r="C1556" s="10"/>
      <c r="E1556" s="11">
        <v>81876</v>
      </c>
      <c r="F1556" s="4">
        <f t="shared" si="43"/>
        <v>1264.3530000000001</v>
      </c>
    </row>
    <row r="1557" spans="1:6">
      <c r="A1557" s="11">
        <v>81907</v>
      </c>
      <c r="B1557" s="12">
        <f t="shared" si="42"/>
        <v>1264.3530000000001</v>
      </c>
      <c r="C1557" s="10"/>
      <c r="E1557" s="11">
        <v>81907</v>
      </c>
      <c r="F1557" s="4">
        <f t="shared" si="43"/>
        <v>1264.3530000000001</v>
      </c>
    </row>
    <row r="1558" spans="1:6">
      <c r="A1558" s="11">
        <v>81937</v>
      </c>
      <c r="B1558" s="12">
        <f t="shared" si="42"/>
        <v>1264.3530000000001</v>
      </c>
      <c r="C1558" s="10"/>
      <c r="E1558" s="11">
        <v>81937</v>
      </c>
      <c r="F1558" s="4">
        <f t="shared" si="43"/>
        <v>1264.3530000000001</v>
      </c>
    </row>
    <row r="1559" spans="1:6">
      <c r="A1559" s="11">
        <v>81968</v>
      </c>
      <c r="B1559" s="12">
        <f t="shared" si="42"/>
        <v>1264.3530000000001</v>
      </c>
      <c r="C1559" s="10"/>
      <c r="E1559" s="11">
        <v>81968</v>
      </c>
      <c r="F1559" s="4">
        <f t="shared" si="43"/>
        <v>1264.3530000000001</v>
      </c>
    </row>
    <row r="1560" spans="1:6">
      <c r="A1560" s="11">
        <v>81998</v>
      </c>
      <c r="B1560" s="12">
        <f t="shared" si="42"/>
        <v>1264.3530000000001</v>
      </c>
      <c r="C1560" s="10"/>
      <c r="E1560" s="11">
        <v>81998</v>
      </c>
      <c r="F1560" s="4">
        <f t="shared" si="43"/>
        <v>1264.3530000000001</v>
      </c>
    </row>
    <row r="1561" spans="1:6">
      <c r="A1561" s="11">
        <v>82029</v>
      </c>
      <c r="B1561" s="12">
        <f t="shared" si="42"/>
        <v>1264.3530000000001</v>
      </c>
      <c r="C1561" s="10"/>
      <c r="E1561" s="11">
        <v>82029</v>
      </c>
      <c r="F1561" s="4">
        <f t="shared" si="43"/>
        <v>1264.3530000000001</v>
      </c>
    </row>
    <row r="1562" spans="1:6">
      <c r="A1562" s="11">
        <v>82060</v>
      </c>
      <c r="B1562" s="12">
        <f t="shared" si="42"/>
        <v>1264.3530000000001</v>
      </c>
      <c r="C1562" s="10"/>
      <c r="E1562" s="11">
        <v>82060</v>
      </c>
      <c r="F1562" s="4">
        <f t="shared" si="43"/>
        <v>1264.3530000000001</v>
      </c>
    </row>
    <row r="1563" spans="1:6">
      <c r="A1563" s="11">
        <v>82090</v>
      </c>
      <c r="B1563" s="12">
        <f t="shared" si="42"/>
        <v>1264.3530000000001</v>
      </c>
      <c r="C1563" s="10"/>
      <c r="E1563" s="11">
        <v>82090</v>
      </c>
      <c r="F1563" s="4">
        <f t="shared" si="43"/>
        <v>1264.3530000000001</v>
      </c>
    </row>
    <row r="1564" spans="1:6">
      <c r="A1564" s="11">
        <v>82121</v>
      </c>
      <c r="B1564" s="12">
        <f t="shared" si="42"/>
        <v>1264.3530000000001</v>
      </c>
      <c r="C1564" s="10"/>
      <c r="E1564" s="11">
        <v>82121</v>
      </c>
      <c r="F1564" s="4">
        <f t="shared" si="43"/>
        <v>1264.3530000000001</v>
      </c>
    </row>
    <row r="1565" spans="1:6">
      <c r="A1565" s="11">
        <v>82151</v>
      </c>
      <c r="B1565" s="12">
        <f t="shared" si="42"/>
        <v>1264.3530000000001</v>
      </c>
      <c r="C1565" s="10"/>
      <c r="E1565" s="11">
        <v>82151</v>
      </c>
      <c r="F1565" s="4">
        <f t="shared" si="43"/>
        <v>1264.3530000000001</v>
      </c>
    </row>
    <row r="1566" spans="1:6">
      <c r="A1566" s="11">
        <v>82182</v>
      </c>
      <c r="B1566" s="12">
        <f t="shared" ref="B1566:B1611" si="44">B1565</f>
        <v>1264.3530000000001</v>
      </c>
      <c r="C1566" s="10"/>
      <c r="E1566" s="11">
        <v>82182</v>
      </c>
      <c r="F1566" s="4">
        <f t="shared" si="43"/>
        <v>1264.3530000000001</v>
      </c>
    </row>
    <row r="1567" spans="1:6">
      <c r="A1567" s="11">
        <v>82213</v>
      </c>
      <c r="B1567" s="12">
        <f t="shared" si="44"/>
        <v>1264.3530000000001</v>
      </c>
      <c r="C1567" s="10"/>
      <c r="E1567" s="11">
        <v>82213</v>
      </c>
      <c r="F1567" s="4">
        <f t="shared" si="43"/>
        <v>1264.3530000000001</v>
      </c>
    </row>
    <row r="1568" spans="1:6">
      <c r="A1568" s="11">
        <v>82241</v>
      </c>
      <c r="B1568" s="12">
        <f t="shared" si="44"/>
        <v>1264.3530000000001</v>
      </c>
      <c r="C1568" s="10"/>
      <c r="E1568" s="11">
        <v>82241</v>
      </c>
      <c r="F1568" s="4">
        <f t="shared" si="43"/>
        <v>1264.3530000000001</v>
      </c>
    </row>
    <row r="1569" spans="1:6">
      <c r="A1569" s="11">
        <v>82272</v>
      </c>
      <c r="B1569" s="12">
        <f t="shared" si="44"/>
        <v>1264.3530000000001</v>
      </c>
      <c r="C1569" s="10"/>
      <c r="E1569" s="11">
        <v>82272</v>
      </c>
      <c r="F1569" s="4">
        <f t="shared" si="43"/>
        <v>1264.3530000000001</v>
      </c>
    </row>
    <row r="1570" spans="1:6">
      <c r="A1570" s="11">
        <v>82302</v>
      </c>
      <c r="B1570" s="12">
        <f t="shared" si="44"/>
        <v>1264.3530000000001</v>
      </c>
      <c r="C1570" s="10"/>
      <c r="E1570" s="11">
        <v>82302</v>
      </c>
      <c r="F1570" s="4">
        <f t="shared" si="43"/>
        <v>1264.3530000000001</v>
      </c>
    </row>
    <row r="1571" spans="1:6">
      <c r="A1571" s="11">
        <v>82333</v>
      </c>
      <c r="B1571" s="12">
        <f t="shared" si="44"/>
        <v>1264.3530000000001</v>
      </c>
      <c r="C1571" s="10"/>
      <c r="E1571" s="11">
        <v>82333</v>
      </c>
      <c r="F1571" s="4">
        <f t="shared" si="43"/>
        <v>1264.3530000000001</v>
      </c>
    </row>
    <row r="1572" spans="1:6">
      <c r="A1572" s="11">
        <v>82363</v>
      </c>
      <c r="B1572" s="12">
        <f t="shared" si="44"/>
        <v>1264.3530000000001</v>
      </c>
      <c r="C1572" s="10"/>
      <c r="E1572" s="11">
        <v>82363</v>
      </c>
      <c r="F1572" s="4">
        <f t="shared" si="43"/>
        <v>1264.3530000000001</v>
      </c>
    </row>
    <row r="1573" spans="1:6">
      <c r="A1573" s="11">
        <v>82394</v>
      </c>
      <c r="B1573" s="12">
        <f t="shared" si="44"/>
        <v>1264.3530000000001</v>
      </c>
      <c r="C1573" s="10"/>
      <c r="E1573" s="11">
        <v>82394</v>
      </c>
      <c r="F1573" s="4">
        <f t="shared" si="43"/>
        <v>1264.3530000000001</v>
      </c>
    </row>
    <row r="1574" spans="1:6">
      <c r="A1574" s="11">
        <v>82425</v>
      </c>
      <c r="B1574" s="12">
        <f t="shared" si="44"/>
        <v>1264.3530000000001</v>
      </c>
      <c r="C1574" s="10"/>
      <c r="E1574" s="11">
        <v>82425</v>
      </c>
      <c r="F1574" s="4">
        <f t="shared" si="43"/>
        <v>1264.3530000000001</v>
      </c>
    </row>
    <row r="1575" spans="1:6">
      <c r="A1575" s="11">
        <v>82455</v>
      </c>
      <c r="B1575" s="12">
        <f t="shared" si="44"/>
        <v>1264.3530000000001</v>
      </c>
      <c r="C1575" s="10"/>
      <c r="E1575" s="11">
        <v>82455</v>
      </c>
      <c r="F1575" s="4">
        <f t="shared" si="43"/>
        <v>1264.3530000000001</v>
      </c>
    </row>
    <row r="1576" spans="1:6">
      <c r="A1576" s="11">
        <v>82486</v>
      </c>
      <c r="B1576" s="12">
        <f t="shared" si="44"/>
        <v>1264.3530000000001</v>
      </c>
      <c r="C1576" s="10"/>
      <c r="E1576" s="11">
        <v>82486</v>
      </c>
      <c r="F1576" s="4">
        <f t="shared" si="43"/>
        <v>1264.3530000000001</v>
      </c>
    </row>
    <row r="1577" spans="1:6">
      <c r="A1577" s="11">
        <v>82516</v>
      </c>
      <c r="B1577" s="12">
        <f t="shared" si="44"/>
        <v>1264.3530000000001</v>
      </c>
      <c r="C1577" s="10"/>
      <c r="E1577" s="11">
        <v>82516</v>
      </c>
      <c r="F1577" s="4">
        <f t="shared" si="43"/>
        <v>1264.3530000000001</v>
      </c>
    </row>
    <row r="1578" spans="1:6">
      <c r="A1578" s="11">
        <v>82547</v>
      </c>
      <c r="B1578" s="12">
        <f t="shared" si="44"/>
        <v>1264.3530000000001</v>
      </c>
      <c r="C1578" s="10"/>
      <c r="E1578" s="11">
        <v>82547</v>
      </c>
      <c r="F1578" s="4">
        <f t="shared" si="43"/>
        <v>1264.3530000000001</v>
      </c>
    </row>
    <row r="1579" spans="1:6">
      <c r="A1579" s="11">
        <v>82578</v>
      </c>
      <c r="B1579" s="12">
        <f t="shared" si="44"/>
        <v>1264.3530000000001</v>
      </c>
      <c r="C1579" s="10"/>
      <c r="E1579" s="11">
        <v>82578</v>
      </c>
      <c r="F1579" s="4">
        <f t="shared" si="43"/>
        <v>1264.3530000000001</v>
      </c>
    </row>
    <row r="1580" spans="1:6">
      <c r="A1580" s="11">
        <v>82606</v>
      </c>
      <c r="B1580" s="12">
        <f t="shared" si="44"/>
        <v>1264.3530000000001</v>
      </c>
      <c r="C1580" s="10"/>
      <c r="E1580" s="11">
        <v>82606</v>
      </c>
      <c r="F1580" s="4">
        <f t="shared" si="43"/>
        <v>1264.3530000000001</v>
      </c>
    </row>
    <row r="1581" spans="1:6">
      <c r="A1581" s="11">
        <v>82637</v>
      </c>
      <c r="B1581" s="12">
        <f t="shared" si="44"/>
        <v>1264.3530000000001</v>
      </c>
      <c r="C1581" s="10"/>
      <c r="E1581" s="11">
        <v>82637</v>
      </c>
      <c r="F1581" s="4">
        <f t="shared" si="43"/>
        <v>1264.3530000000001</v>
      </c>
    </row>
    <row r="1582" spans="1:6">
      <c r="A1582" s="11">
        <v>82667</v>
      </c>
      <c r="B1582" s="12">
        <f t="shared" si="44"/>
        <v>1264.3530000000001</v>
      </c>
      <c r="C1582" s="10"/>
      <c r="E1582" s="11">
        <v>82667</v>
      </c>
      <c r="F1582" s="4">
        <f t="shared" si="43"/>
        <v>1264.3530000000001</v>
      </c>
    </row>
    <row r="1583" spans="1:6">
      <c r="A1583" s="11">
        <v>82698</v>
      </c>
      <c r="B1583" s="12">
        <f t="shared" si="44"/>
        <v>1264.3530000000001</v>
      </c>
      <c r="C1583" s="10"/>
      <c r="E1583" s="11">
        <v>82698</v>
      </c>
      <c r="F1583" s="4">
        <f t="shared" si="43"/>
        <v>1264.3530000000001</v>
      </c>
    </row>
    <row r="1584" spans="1:6">
      <c r="A1584" s="11">
        <v>82728</v>
      </c>
      <c r="B1584" s="12">
        <f t="shared" si="44"/>
        <v>1264.3530000000001</v>
      </c>
      <c r="C1584" s="10"/>
      <c r="E1584" s="11">
        <v>82728</v>
      </c>
      <c r="F1584" s="4">
        <f t="shared" si="43"/>
        <v>1264.3530000000001</v>
      </c>
    </row>
    <row r="1585" spans="1:6">
      <c r="A1585" s="11">
        <v>82759</v>
      </c>
      <c r="B1585" s="12">
        <f t="shared" si="44"/>
        <v>1264.3530000000001</v>
      </c>
      <c r="C1585" s="10"/>
      <c r="E1585" s="11">
        <v>82759</v>
      </c>
      <c r="F1585" s="4">
        <f t="shared" si="43"/>
        <v>1264.3530000000001</v>
      </c>
    </row>
    <row r="1586" spans="1:6">
      <c r="A1586" s="11">
        <v>82790</v>
      </c>
      <c r="B1586" s="12">
        <f t="shared" si="44"/>
        <v>1264.3530000000001</v>
      </c>
      <c r="C1586" s="10"/>
      <c r="E1586" s="11">
        <v>82790</v>
      </c>
      <c r="F1586" s="4">
        <f t="shared" si="43"/>
        <v>1264.3530000000001</v>
      </c>
    </row>
    <row r="1587" spans="1:6">
      <c r="A1587" s="11">
        <v>82820</v>
      </c>
      <c r="B1587" s="12">
        <f t="shared" si="44"/>
        <v>1264.3530000000001</v>
      </c>
      <c r="C1587" s="10"/>
      <c r="E1587" s="11">
        <v>82820</v>
      </c>
      <c r="F1587" s="4">
        <f t="shared" si="43"/>
        <v>1264.3530000000001</v>
      </c>
    </row>
    <row r="1588" spans="1:6">
      <c r="A1588" s="11">
        <v>82851</v>
      </c>
      <c r="B1588" s="12">
        <f t="shared" si="44"/>
        <v>1264.3530000000001</v>
      </c>
      <c r="C1588" s="10"/>
      <c r="E1588" s="11">
        <v>82851</v>
      </c>
      <c r="F1588" s="4">
        <f t="shared" si="43"/>
        <v>1264.3530000000001</v>
      </c>
    </row>
    <row r="1589" spans="1:6">
      <c r="A1589" s="11">
        <v>82881</v>
      </c>
      <c r="B1589" s="12">
        <f t="shared" si="44"/>
        <v>1264.3530000000001</v>
      </c>
      <c r="C1589" s="10"/>
      <c r="E1589" s="11">
        <v>82881</v>
      </c>
      <c r="F1589" s="4">
        <f t="shared" si="43"/>
        <v>1264.3530000000001</v>
      </c>
    </row>
    <row r="1590" spans="1:6">
      <c r="A1590" s="11">
        <v>82912</v>
      </c>
      <c r="B1590" s="12">
        <f t="shared" si="44"/>
        <v>1264.3530000000001</v>
      </c>
      <c r="C1590" s="10"/>
      <c r="E1590" s="11">
        <v>82912</v>
      </c>
      <c r="F1590" s="4">
        <f t="shared" si="43"/>
        <v>1264.3530000000001</v>
      </c>
    </row>
    <row r="1591" spans="1:6">
      <c r="A1591" s="11">
        <v>82943</v>
      </c>
      <c r="B1591" s="12">
        <f t="shared" si="44"/>
        <v>1264.3530000000001</v>
      </c>
      <c r="C1591" s="10"/>
      <c r="E1591" s="11">
        <v>82943</v>
      </c>
      <c r="F1591" s="4">
        <f t="shared" si="43"/>
        <v>1264.3530000000001</v>
      </c>
    </row>
    <row r="1592" spans="1:6">
      <c r="A1592" s="11">
        <v>82971</v>
      </c>
      <c r="B1592" s="12">
        <f t="shared" si="44"/>
        <v>1264.3530000000001</v>
      </c>
      <c r="C1592" s="10"/>
      <c r="E1592" s="11">
        <v>82971</v>
      </c>
      <c r="F1592" s="4">
        <f t="shared" si="43"/>
        <v>1264.3530000000001</v>
      </c>
    </row>
    <row r="1593" spans="1:6">
      <c r="A1593" s="11">
        <v>83002</v>
      </c>
      <c r="B1593" s="12">
        <f t="shared" si="44"/>
        <v>1264.3530000000001</v>
      </c>
      <c r="C1593" s="10"/>
      <c r="E1593" s="11">
        <v>83002</v>
      </c>
      <c r="F1593" s="4">
        <f t="shared" si="43"/>
        <v>1264.3530000000001</v>
      </c>
    </row>
    <row r="1594" spans="1:6">
      <c r="A1594" s="11">
        <v>83032</v>
      </c>
      <c r="B1594" s="12">
        <f t="shared" si="44"/>
        <v>1264.3530000000001</v>
      </c>
      <c r="C1594" s="10"/>
      <c r="E1594" s="11">
        <v>83032</v>
      </c>
      <c r="F1594" s="4">
        <f t="shared" si="43"/>
        <v>1264.3530000000001</v>
      </c>
    </row>
    <row r="1595" spans="1:6">
      <c r="A1595" s="11">
        <v>83063</v>
      </c>
      <c r="B1595" s="12">
        <f t="shared" si="44"/>
        <v>1264.3530000000001</v>
      </c>
      <c r="C1595" s="10"/>
      <c r="E1595" s="11">
        <v>83063</v>
      </c>
      <c r="F1595" s="4">
        <f t="shared" si="43"/>
        <v>1264.3530000000001</v>
      </c>
    </row>
    <row r="1596" spans="1:6">
      <c r="A1596" s="11">
        <v>83093</v>
      </c>
      <c r="B1596" s="12">
        <f t="shared" si="44"/>
        <v>1264.3530000000001</v>
      </c>
      <c r="C1596" s="10"/>
      <c r="E1596" s="11">
        <v>83093</v>
      </c>
      <c r="F1596" s="4">
        <f t="shared" si="43"/>
        <v>1264.3530000000001</v>
      </c>
    </row>
    <row r="1597" spans="1:6">
      <c r="A1597" s="11">
        <v>83124</v>
      </c>
      <c r="B1597" s="12">
        <f t="shared" si="44"/>
        <v>1264.3530000000001</v>
      </c>
      <c r="C1597" s="10"/>
      <c r="E1597" s="11">
        <v>83124</v>
      </c>
      <c r="F1597" s="4">
        <f t="shared" si="43"/>
        <v>1264.3530000000001</v>
      </c>
    </row>
    <row r="1598" spans="1:6">
      <c r="A1598" s="11">
        <v>83155</v>
      </c>
      <c r="B1598" s="12">
        <f t="shared" si="44"/>
        <v>1264.3530000000001</v>
      </c>
      <c r="C1598" s="10"/>
      <c r="E1598" s="11">
        <v>83155</v>
      </c>
      <c r="F1598" s="4">
        <f t="shared" si="43"/>
        <v>1264.3530000000001</v>
      </c>
    </row>
    <row r="1599" spans="1:6">
      <c r="A1599" s="11">
        <v>83185</v>
      </c>
      <c r="B1599" s="12">
        <f t="shared" si="44"/>
        <v>1264.3530000000001</v>
      </c>
      <c r="C1599" s="10"/>
      <c r="E1599" s="11">
        <v>83185</v>
      </c>
      <c r="F1599" s="4">
        <f t="shared" si="43"/>
        <v>1264.3530000000001</v>
      </c>
    </row>
    <row r="1600" spans="1:6">
      <c r="A1600" s="11">
        <v>83216</v>
      </c>
      <c r="B1600" s="12">
        <f t="shared" si="44"/>
        <v>1264.3530000000001</v>
      </c>
      <c r="C1600" s="10"/>
      <c r="E1600" s="11">
        <v>83216</v>
      </c>
      <c r="F1600" s="4">
        <f t="shared" si="43"/>
        <v>1264.3530000000001</v>
      </c>
    </row>
    <row r="1601" spans="1:6">
      <c r="A1601" s="11">
        <v>83246</v>
      </c>
      <c r="B1601" s="12">
        <f t="shared" si="44"/>
        <v>1264.3530000000001</v>
      </c>
      <c r="C1601" s="10"/>
      <c r="E1601" s="11">
        <v>83246</v>
      </c>
      <c r="F1601" s="4">
        <f t="shared" si="43"/>
        <v>1264.3530000000001</v>
      </c>
    </row>
    <row r="1602" spans="1:6">
      <c r="A1602" s="11">
        <v>83277</v>
      </c>
      <c r="B1602" s="12">
        <f t="shared" si="44"/>
        <v>1264.3530000000001</v>
      </c>
      <c r="C1602" s="10"/>
      <c r="E1602" s="11">
        <v>83277</v>
      </c>
      <c r="F1602" s="4">
        <f t="shared" si="43"/>
        <v>1264.3530000000001</v>
      </c>
    </row>
    <row r="1603" spans="1:6">
      <c r="A1603" s="11">
        <v>83308</v>
      </c>
      <c r="B1603" s="12">
        <f t="shared" si="44"/>
        <v>1264.3530000000001</v>
      </c>
      <c r="C1603" s="10"/>
      <c r="E1603" s="11">
        <v>83308</v>
      </c>
      <c r="F1603" s="4">
        <f t="shared" ref="F1603:F1611" si="45">B1602</f>
        <v>1264.3530000000001</v>
      </c>
    </row>
    <row r="1604" spans="1:6">
      <c r="A1604" s="11">
        <v>83337</v>
      </c>
      <c r="B1604" s="12">
        <f t="shared" si="44"/>
        <v>1264.3530000000001</v>
      </c>
      <c r="C1604" s="10"/>
      <c r="E1604" s="11">
        <v>83337</v>
      </c>
      <c r="F1604" s="4">
        <f t="shared" si="45"/>
        <v>1264.3530000000001</v>
      </c>
    </row>
    <row r="1605" spans="1:6">
      <c r="A1605" s="11">
        <v>83368</v>
      </c>
      <c r="B1605" s="12">
        <f t="shared" si="44"/>
        <v>1264.3530000000001</v>
      </c>
      <c r="C1605" s="10"/>
      <c r="E1605" s="11">
        <v>83368</v>
      </c>
      <c r="F1605" s="4">
        <f t="shared" si="45"/>
        <v>1264.3530000000001</v>
      </c>
    </row>
    <row r="1606" spans="1:6">
      <c r="A1606" s="11">
        <v>83398</v>
      </c>
      <c r="B1606" s="12">
        <f t="shared" si="44"/>
        <v>1264.3530000000001</v>
      </c>
      <c r="C1606" s="10"/>
      <c r="E1606" s="11">
        <v>83398</v>
      </c>
      <c r="F1606" s="4">
        <f t="shared" si="45"/>
        <v>1264.3530000000001</v>
      </c>
    </row>
    <row r="1607" spans="1:6">
      <c r="A1607" s="11">
        <v>83429</v>
      </c>
      <c r="B1607" s="12">
        <f t="shared" si="44"/>
        <v>1264.3530000000001</v>
      </c>
      <c r="C1607" s="10"/>
      <c r="E1607" s="11">
        <v>83429</v>
      </c>
      <c r="F1607" s="4">
        <f t="shared" si="45"/>
        <v>1264.3530000000001</v>
      </c>
    </row>
    <row r="1608" spans="1:6">
      <c r="A1608" s="11">
        <v>83459</v>
      </c>
      <c r="B1608" s="12">
        <f t="shared" si="44"/>
        <v>1264.3530000000001</v>
      </c>
      <c r="C1608" s="10"/>
      <c r="E1608" s="11">
        <v>83459</v>
      </c>
      <c r="F1608" s="4">
        <f t="shared" si="45"/>
        <v>1264.3530000000001</v>
      </c>
    </row>
    <row r="1609" spans="1:6">
      <c r="A1609" s="11">
        <v>83490</v>
      </c>
      <c r="B1609" s="12">
        <f t="shared" si="44"/>
        <v>1264.3530000000001</v>
      </c>
      <c r="C1609" s="10"/>
      <c r="E1609" s="11">
        <v>83490</v>
      </c>
      <c r="F1609" s="4">
        <f t="shared" si="45"/>
        <v>1264.3530000000001</v>
      </c>
    </row>
    <row r="1610" spans="1:6">
      <c r="A1610" s="11">
        <v>83521</v>
      </c>
      <c r="B1610" s="12">
        <f t="shared" si="44"/>
        <v>1264.3530000000001</v>
      </c>
      <c r="C1610" s="10"/>
      <c r="E1610" s="11">
        <v>83521</v>
      </c>
      <c r="F1610" s="4">
        <f t="shared" si="45"/>
        <v>1264.3530000000001</v>
      </c>
    </row>
    <row r="1611" spans="1:6">
      <c r="A1611" s="11">
        <v>83551</v>
      </c>
      <c r="B1611" s="12">
        <f t="shared" si="44"/>
        <v>1264.3530000000001</v>
      </c>
      <c r="C1611" s="10"/>
      <c r="E1611" s="11">
        <v>83551</v>
      </c>
      <c r="F1611" s="4">
        <f t="shared" si="45"/>
        <v>1264.3530000000001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8AB9-6C19-4808-A8B3-A8623D18C4FE}">
  <sheetPr>
    <tabColor theme="9" tint="0.39997558519241921"/>
  </sheetPr>
  <dimension ref="A1:O71"/>
  <sheetViews>
    <sheetView workbookViewId="0">
      <selection activeCell="G3" sqref="G3"/>
    </sheetView>
  </sheetViews>
  <sheetFormatPr defaultRowHeight="14.4"/>
  <cols>
    <col min="1" max="1" width="9.5546875" bestFit="1" customWidth="1"/>
    <col min="2" max="2" width="9.88671875" bestFit="1" customWidth="1"/>
    <col min="3" max="3" width="15.88671875" bestFit="1" customWidth="1"/>
    <col min="4" max="4" width="18.6640625" bestFit="1" customWidth="1"/>
    <col min="5" max="5" width="2" customWidth="1"/>
    <col min="6" max="6" width="16.33203125" bestFit="1" customWidth="1"/>
    <col min="7" max="7" width="18.5546875" bestFit="1" customWidth="1"/>
    <col min="8" max="9" width="15.88671875" bestFit="1" customWidth="1"/>
    <col min="10" max="10" width="14.6640625" customWidth="1"/>
    <col min="11" max="11" width="15.88671875" bestFit="1" customWidth="1"/>
    <col min="12" max="12" width="16.6640625" customWidth="1"/>
    <col min="13" max="14" width="11.6640625" bestFit="1" customWidth="1"/>
  </cols>
  <sheetData>
    <row r="1" spans="1:11">
      <c r="A1" s="216" t="s">
        <v>15</v>
      </c>
      <c r="B1" s="216"/>
      <c r="C1" s="216"/>
      <c r="D1" s="216"/>
      <c r="G1" s="69"/>
      <c r="H1" s="69"/>
    </row>
    <row r="2" spans="1:11" ht="15" customHeight="1">
      <c r="A2" s="19" t="s">
        <v>1</v>
      </c>
      <c r="B2" s="19" t="s">
        <v>0</v>
      </c>
      <c r="C2" s="19" t="s">
        <v>23</v>
      </c>
      <c r="D2" s="19" t="s">
        <v>3</v>
      </c>
      <c r="G2" s="19" t="s">
        <v>127</v>
      </c>
      <c r="I2" s="19" t="s">
        <v>72</v>
      </c>
      <c r="J2" s="13"/>
    </row>
    <row r="3" spans="1:11">
      <c r="A3" s="20">
        <v>44562</v>
      </c>
      <c r="B3" s="21">
        <f>VLOOKUP(A3,'INCC - M'!$A:$F,2,FALSE)</f>
        <v>967.00300000000004</v>
      </c>
      <c r="C3" s="22">
        <v>7716524.6461409898</v>
      </c>
      <c r="D3" s="22">
        <f>SUM(D5:D48)</f>
        <v>9048524.3938161898</v>
      </c>
      <c r="E3" s="68"/>
      <c r="G3" s="22">
        <f>SUM(G5:G48)</f>
        <v>9047537.7499358263</v>
      </c>
      <c r="I3" s="172">
        <f>SUM(I5:I48)</f>
        <v>9048524.3938161898</v>
      </c>
      <c r="J3" s="69">
        <f>D3-I3</f>
        <v>0</v>
      </c>
    </row>
    <row r="4" spans="1:11">
      <c r="A4" s="19" t="s">
        <v>5</v>
      </c>
      <c r="B4" s="19" t="s">
        <v>134</v>
      </c>
      <c r="C4" s="19" t="s">
        <v>24</v>
      </c>
      <c r="D4" s="19" t="s">
        <v>126</v>
      </c>
      <c r="E4" s="69"/>
      <c r="F4" s="19" t="s">
        <v>125</v>
      </c>
      <c r="G4" s="19" t="s">
        <v>124</v>
      </c>
      <c r="I4" s="19" t="s">
        <v>72</v>
      </c>
      <c r="J4" s="151"/>
    </row>
    <row r="5" spans="1:11">
      <c r="A5" s="27">
        <v>44805</v>
      </c>
      <c r="B5" s="14">
        <f>VLOOKUP(A5,'INCC - M'!$E:$F,2,FALSE)</f>
        <v>1045.4690000000001</v>
      </c>
      <c r="C5" s="147">
        <v>8.872256371308878E-3</v>
      </c>
      <c r="D5" s="31">
        <f>(C5*$C$3)*B5/$B$3</f>
        <v>74018.310614397953</v>
      </c>
      <c r="E5" s="36"/>
      <c r="F5" s="36">
        <v>8.872256371308878E-3</v>
      </c>
      <c r="G5" s="69">
        <f>F5*($C$3/$B$3*B5)</f>
        <v>74018.310614397968</v>
      </c>
      <c r="I5" s="171">
        <v>65261.141000000003</v>
      </c>
    </row>
    <row r="6" spans="1:11">
      <c r="A6" s="27">
        <v>44835</v>
      </c>
      <c r="B6" s="14">
        <f>VLOOKUP(A6,'INCC - M'!$E:$F,2,FALSE)</f>
        <v>1046.5070000000001</v>
      </c>
      <c r="C6" s="147">
        <v>1.0507912819643228E-2</v>
      </c>
      <c r="D6" s="31">
        <f t="shared" ref="D6:D47" si="0">(C6*$C$3)*B6/$B$3</f>
        <v>87751.091018317937</v>
      </c>
      <c r="E6" s="36"/>
      <c r="F6" s="36">
        <v>1.0507912819643228E-2</v>
      </c>
      <c r="G6" s="69">
        <f>F6*($C$3/$B$3*B6)</f>
        <v>87751.091018317951</v>
      </c>
      <c r="I6" s="171">
        <v>76993.481</v>
      </c>
      <c r="K6" s="69"/>
    </row>
    <row r="7" spans="1:11">
      <c r="A7" s="27">
        <v>44866</v>
      </c>
      <c r="B7" s="14">
        <f>VLOOKUP(A7,'INCC - M'!$E:$F,2,FALSE)</f>
        <v>1046.9559999999999</v>
      </c>
      <c r="C7" s="147">
        <v>1.2182025899823049E-2</v>
      </c>
      <c r="D7" s="31">
        <f t="shared" si="0"/>
        <v>101775.17899498147</v>
      </c>
      <c r="E7" s="36"/>
      <c r="F7" s="36">
        <v>1.2182025899823049E-2</v>
      </c>
      <c r="G7" s="69">
        <f>F7*($C$3/$B$3*B7)</f>
        <v>101775.17899498147</v>
      </c>
      <c r="I7" s="171">
        <v>89459.092000000004</v>
      </c>
    </row>
    <row r="8" spans="1:11">
      <c r="A8" s="27">
        <v>44896</v>
      </c>
      <c r="B8" s="14">
        <f>VLOOKUP(A8,'INCC - M'!$E:$F,2,FALSE)</f>
        <v>1048.4290000000001</v>
      </c>
      <c r="C8" s="147">
        <v>7.3798258256833173E-3</v>
      </c>
      <c r="D8" s="31">
        <f t="shared" si="0"/>
        <v>61741.768268100459</v>
      </c>
      <c r="E8" s="36"/>
      <c r="F8" s="36">
        <v>7.3798258256833173E-3</v>
      </c>
      <c r="G8" s="69">
        <f t="shared" ref="G8:G42" si="1">F8*($C$3/$B$3*B8)</f>
        <v>61741.768268100466</v>
      </c>
      <c r="I8" s="171">
        <v>147746.59</v>
      </c>
    </row>
    <row r="9" spans="1:11" ht="15" customHeight="1">
      <c r="A9" s="27">
        <v>44927</v>
      </c>
      <c r="B9" s="14">
        <f>VLOOKUP(A9,'INCC - M'!$E:$F,2,FALSE)</f>
        <v>1051.249</v>
      </c>
      <c r="C9" s="147">
        <v>8.5197164815587947E-3</v>
      </c>
      <c r="D9" s="31">
        <f t="shared" si="0"/>
        <v>71470.14521014312</v>
      </c>
      <c r="E9" s="36"/>
      <c r="F9" s="36">
        <v>8.5197164815587947E-3</v>
      </c>
      <c r="G9" s="69">
        <f t="shared" si="1"/>
        <v>71470.14521014312</v>
      </c>
      <c r="I9" s="171">
        <v>129512.84</v>
      </c>
    </row>
    <row r="10" spans="1:11">
      <c r="A10" s="27">
        <v>44958</v>
      </c>
      <c r="B10" s="14">
        <f>VLOOKUP(A10,'INCC - M'!$E:$F,2,FALSE)</f>
        <v>1054.5609999999999</v>
      </c>
      <c r="C10" s="147">
        <v>8.0329957928622249E-3</v>
      </c>
      <c r="D10" s="31">
        <f t="shared" si="0"/>
        <v>67599.451459156378</v>
      </c>
      <c r="E10" s="36"/>
      <c r="F10" s="36">
        <v>8.0329957928622249E-3</v>
      </c>
      <c r="G10" s="69">
        <f t="shared" si="1"/>
        <v>67599.451459156378</v>
      </c>
      <c r="I10" s="171">
        <v>148727.01999999999</v>
      </c>
    </row>
    <row r="11" spans="1:11">
      <c r="A11" s="27">
        <v>44986</v>
      </c>
      <c r="B11" s="34">
        <f>VLOOKUP(A11,'INCC - M'!$E:$F,2,FALSE)</f>
        <v>1056.7750000000001</v>
      </c>
      <c r="C11" s="147">
        <v>1.2312465588223725E-2</v>
      </c>
      <c r="D11" s="31">
        <f t="shared" si="0"/>
        <v>103829.67308150273</v>
      </c>
      <c r="E11" s="36"/>
      <c r="F11" s="36">
        <v>1.2312465588223725E-2</v>
      </c>
      <c r="G11" s="69">
        <f t="shared" si="1"/>
        <v>103829.67308150271</v>
      </c>
      <c r="I11" s="171">
        <v>161939.65</v>
      </c>
    </row>
    <row r="12" spans="1:11">
      <c r="A12" s="27">
        <v>45017</v>
      </c>
      <c r="B12" s="14">
        <f>VLOOKUP(A12,'INCC - M'!$E:$F,2,FALSE)</f>
        <v>1058.6500000000001</v>
      </c>
      <c r="C12" s="147">
        <v>1.5471497524581336E-2</v>
      </c>
      <c r="D12" s="31">
        <f t="shared" si="0"/>
        <v>130700.93073099268</v>
      </c>
      <c r="E12" s="36"/>
      <c r="F12" s="36">
        <v>1.5471497524581336E-2</v>
      </c>
      <c r="G12" s="69">
        <f t="shared" si="1"/>
        <v>130700.93073099268</v>
      </c>
      <c r="I12" s="171">
        <v>227086.80163794462</v>
      </c>
    </row>
    <row r="13" spans="1:11">
      <c r="A13" s="27">
        <v>45047</v>
      </c>
      <c r="B13" s="14">
        <f>VLOOKUP(A13,'INCC - M'!$E:$F,2,FALSE)</f>
        <v>1061.0709999999999</v>
      </c>
      <c r="C13" s="147">
        <v>1.0770974074580263E-2</v>
      </c>
      <c r="D13" s="31">
        <f t="shared" si="0"/>
        <v>91199.687839118284</v>
      </c>
      <c r="E13" s="36"/>
      <c r="F13" s="36">
        <v>1.0770974074580263E-2</v>
      </c>
      <c r="G13" s="69">
        <f t="shared" si="1"/>
        <v>91199.687839118284</v>
      </c>
      <c r="I13" s="171">
        <v>260326.74173002364</v>
      </c>
    </row>
    <row r="14" spans="1:11">
      <c r="A14" s="27">
        <v>45078</v>
      </c>
      <c r="B14" s="14">
        <f>VLOOKUP(A14,'INCC - M'!$E:$F,2,FALSE)</f>
        <v>1065.289</v>
      </c>
      <c r="C14" s="147">
        <v>9.9065106325599457E-3</v>
      </c>
      <c r="D14" s="31">
        <f t="shared" si="0"/>
        <v>84213.570067255278</v>
      </c>
      <c r="E14" s="36"/>
      <c r="F14" s="36">
        <v>9.9065106325599457E-3</v>
      </c>
      <c r="G14" s="69">
        <f t="shared" si="1"/>
        <v>84213.570067255278</v>
      </c>
      <c r="I14" s="171">
        <v>300590.24648569099</v>
      </c>
    </row>
    <row r="15" spans="1:11">
      <c r="A15" s="27">
        <v>45108</v>
      </c>
      <c r="B15" s="14">
        <f>VLOOKUP(A15,'INCC - M'!$E:$F,2,FALSE)</f>
        <v>1074.2919999999999</v>
      </c>
      <c r="C15" s="147">
        <v>8.4854621228339124E-3</v>
      </c>
      <c r="D15" s="31">
        <f t="shared" si="0"/>
        <v>72743.093666260946</v>
      </c>
      <c r="E15" s="36"/>
      <c r="F15" s="36">
        <v>8.4854621228339124E-3</v>
      </c>
      <c r="G15" s="69">
        <f t="shared" si="1"/>
        <v>72743.09366626096</v>
      </c>
      <c r="I15" s="171">
        <v>318921.72641664167</v>
      </c>
    </row>
    <row r="16" spans="1:11">
      <c r="A16" s="27">
        <v>45139</v>
      </c>
      <c r="B16" s="14">
        <f>VLOOKUP(A16,'INCC - M'!$E:$F,2,FALSE)</f>
        <v>1074.895</v>
      </c>
      <c r="C16" s="147">
        <v>2.1512493621877606E-2</v>
      </c>
      <c r="D16" s="31">
        <f t="shared" si="0"/>
        <v>184523.09206744714</v>
      </c>
      <c r="E16" s="36"/>
      <c r="F16" s="36">
        <v>2.1512493621877606E-2</v>
      </c>
      <c r="G16" s="69">
        <f t="shared" si="1"/>
        <v>184523.09206744714</v>
      </c>
      <c r="I16" s="171">
        <v>351008.90287230257</v>
      </c>
    </row>
    <row r="17" spans="1:15">
      <c r="A17" s="27">
        <v>45170</v>
      </c>
      <c r="B17" s="14">
        <f>VLOOKUP(A17,'INCC - M'!$E:$F,2,FALSE)</f>
        <v>1077.4970000000001</v>
      </c>
      <c r="C17" s="147">
        <v>2.4633892704962964E-2</v>
      </c>
      <c r="D17" s="31">
        <f t="shared" si="0"/>
        <v>211808.33258915169</v>
      </c>
      <c r="E17" s="36"/>
      <c r="F17" s="36">
        <v>2.4633892704962964E-2</v>
      </c>
      <c r="G17" s="69">
        <f t="shared" si="1"/>
        <v>211808.33258915166</v>
      </c>
      <c r="I17" s="171">
        <v>375939.69446715608</v>
      </c>
    </row>
    <row r="18" spans="1:15">
      <c r="A18" s="27">
        <v>45200</v>
      </c>
      <c r="B18" s="14">
        <f>VLOOKUP(A18,'INCC - M'!$E:$F,2,FALSE)</f>
        <v>1080.0709999999999</v>
      </c>
      <c r="C18" s="147">
        <v>1.3053822832573109E-2</v>
      </c>
      <c r="D18" s="31">
        <f t="shared" si="0"/>
        <v>112508.14020572805</v>
      </c>
      <c r="E18" s="36"/>
      <c r="F18" s="36">
        <v>1.3053822832573109E-2</v>
      </c>
      <c r="G18" s="69">
        <f t="shared" si="1"/>
        <v>112508.14020572802</v>
      </c>
      <c r="I18" s="171">
        <v>383019.20235009439</v>
      </c>
    </row>
    <row r="19" spans="1:15">
      <c r="A19" s="27">
        <v>45231</v>
      </c>
      <c r="B19" s="14">
        <f>VLOOKUP(A19,'INCC - M'!$E:$F,2,FALSE)</f>
        <v>1082.251</v>
      </c>
      <c r="C19" s="147">
        <v>2.9865195063433117E-2</v>
      </c>
      <c r="D19" s="31">
        <f t="shared" si="0"/>
        <v>257921.34071123521</v>
      </c>
      <c r="E19" s="36"/>
      <c r="F19" s="36">
        <v>2.9865195063433117E-2</v>
      </c>
      <c r="G19" s="69">
        <f t="shared" si="1"/>
        <v>257921.34071123524</v>
      </c>
      <c r="I19" s="171">
        <v>424085.35568541457</v>
      </c>
    </row>
    <row r="20" spans="1:15">
      <c r="A20" s="27">
        <v>45261</v>
      </c>
      <c r="B20" s="14">
        <f>VLOOKUP(A20,'INCC - M'!$E:$F,2,FALSE)</f>
        <v>1083.335</v>
      </c>
      <c r="C20" s="147">
        <v>1.292188678691714E-2</v>
      </c>
      <c r="D20" s="31">
        <f t="shared" si="0"/>
        <v>111707.5771307262</v>
      </c>
      <c r="E20" s="36"/>
      <c r="F20" s="36">
        <v>1.292188678691714E-2</v>
      </c>
      <c r="G20" s="69">
        <f t="shared" si="1"/>
        <v>111707.5771307262</v>
      </c>
      <c r="I20" s="171">
        <v>328868.12782099884</v>
      </c>
    </row>
    <row r="21" spans="1:15">
      <c r="A21" s="27">
        <v>45292</v>
      </c>
      <c r="B21" s="14">
        <f>VLOOKUP(A21,'INCC - M'!$E:$F,2,FALSE)</f>
        <v>1086.1500000000001</v>
      </c>
      <c r="C21" s="147">
        <v>2.1730405436908212E-2</v>
      </c>
      <c r="D21" s="31">
        <f t="shared" si="0"/>
        <v>188343.90130187536</v>
      </c>
      <c r="E21" s="36"/>
      <c r="F21" s="36">
        <v>2.1730405436908212E-2</v>
      </c>
      <c r="G21" s="69">
        <f t="shared" si="1"/>
        <v>188343.90130187533</v>
      </c>
      <c r="I21" s="171">
        <v>340252.41150929674</v>
      </c>
    </row>
    <row r="22" spans="1:15">
      <c r="A22" s="27">
        <v>45323</v>
      </c>
      <c r="B22" s="14">
        <f>VLOOKUP(A22,'INCC - M'!$E:$F,2,FALSE)</f>
        <v>1088.663</v>
      </c>
      <c r="C22" s="147">
        <v>1.3752883679164031E-2</v>
      </c>
      <c r="D22" s="31">
        <f t="shared" si="0"/>
        <v>119476.13335515714</v>
      </c>
      <c r="E22" s="36"/>
      <c r="F22" s="36">
        <v>1.3752883679164031E-2</v>
      </c>
      <c r="G22" s="69">
        <f t="shared" si="1"/>
        <v>119476.13335515714</v>
      </c>
      <c r="I22" s="171">
        <v>256434.06205905802</v>
      </c>
    </row>
    <row r="23" spans="1:15">
      <c r="A23" s="71">
        <v>45352</v>
      </c>
      <c r="B23" s="15">
        <f>VLOOKUP(A23,'INCC - M'!$E:$F,2,FALSE)</f>
        <v>1090.8710000000001</v>
      </c>
      <c r="C23" s="147">
        <v>2.1040653149776968E-2</v>
      </c>
      <c r="D23" s="31">
        <f t="shared" si="0"/>
        <v>183158.27299518604</v>
      </c>
      <c r="E23" s="36"/>
      <c r="F23" s="36">
        <v>2.1040653149776968E-2</v>
      </c>
      <c r="G23" s="69">
        <f t="shared" si="1"/>
        <v>183158.27299518604</v>
      </c>
      <c r="I23" s="171">
        <v>260310.090200868</v>
      </c>
    </row>
    <row r="24" spans="1:15">
      <c r="A24" s="27">
        <v>45383</v>
      </c>
      <c r="B24" s="14">
        <f>VLOOKUP(A24,'INCC - M'!$E:$F,2,FALSE)</f>
        <v>1093.5029999999999</v>
      </c>
      <c r="C24" s="147">
        <v>2.8439779283098311E-2</v>
      </c>
      <c r="D24" s="31">
        <f t="shared" si="0"/>
        <v>248164.76912584313</v>
      </c>
      <c r="E24" s="75"/>
      <c r="F24" s="36">
        <v>2.8439779283098311E-2</v>
      </c>
      <c r="G24" s="69">
        <f t="shared" si="1"/>
        <v>248164.76912584313</v>
      </c>
      <c r="I24" s="171">
        <v>278158.42882389395</v>
      </c>
    </row>
    <row r="25" spans="1:15">
      <c r="A25" s="27">
        <v>45413</v>
      </c>
      <c r="B25" s="14">
        <f>VLOOKUP(A25,'INCC - M'!$E:$F,2,FALSE)</f>
        <v>1097.991</v>
      </c>
      <c r="C25" s="147">
        <v>2.9307636107770339E-2</v>
      </c>
      <c r="D25" s="31">
        <f t="shared" si="0"/>
        <v>256787.2740930038</v>
      </c>
      <c r="E25" s="75"/>
      <c r="F25" s="36">
        <v>2.9307636107770339E-2</v>
      </c>
      <c r="G25" s="69">
        <f t="shared" si="1"/>
        <v>256787.27409300383</v>
      </c>
      <c r="I25" s="171">
        <v>198853.41117427679</v>
      </c>
      <c r="K25" s="167"/>
    </row>
    <row r="26" spans="1:15">
      <c r="A26" s="27">
        <v>45444</v>
      </c>
      <c r="B26" s="14">
        <f>VLOOKUP(A26,'INCC - M'!$E:$F,2,FALSE)</f>
        <v>1104.4570000000001</v>
      </c>
      <c r="C26" s="147">
        <v>3.338399347840007E-2</v>
      </c>
      <c r="D26" s="31">
        <f t="shared" si="0"/>
        <v>294225.9848061183</v>
      </c>
      <c r="E26" s="75"/>
      <c r="F26" s="36">
        <v>3.338399347840007E-2</v>
      </c>
      <c r="G26" s="69">
        <f t="shared" si="1"/>
        <v>294225.9848061183</v>
      </c>
      <c r="H26" s="75"/>
      <c r="I26" s="171">
        <v>0</v>
      </c>
      <c r="J26" s="75"/>
      <c r="K26" s="87"/>
    </row>
    <row r="27" spans="1:15">
      <c r="A27" s="27">
        <v>45474</v>
      </c>
      <c r="B27" s="14">
        <f>VLOOKUP(A27,'INCC - M'!$E:$F,2,FALSE)</f>
        <v>1114.748</v>
      </c>
      <c r="C27" s="147">
        <v>4.2910546543852471E-2</v>
      </c>
      <c r="D27" s="31">
        <f t="shared" si="0"/>
        <v>381710.99884924706</v>
      </c>
      <c r="E27" s="75"/>
      <c r="F27" s="36">
        <v>4.2910546543852471E-2</v>
      </c>
      <c r="G27" s="69">
        <f t="shared" si="1"/>
        <v>381710.99884924712</v>
      </c>
      <c r="I27" s="171">
        <v>0</v>
      </c>
      <c r="K27" s="152"/>
      <c r="L27" s="87"/>
    </row>
    <row r="28" spans="1:15">
      <c r="A28" s="27">
        <v>45505</v>
      </c>
      <c r="B28" s="14">
        <f>VLOOKUP(A28,'INCC - M'!$E:$F,2,FALSE)</f>
        <v>1122.452</v>
      </c>
      <c r="C28" s="147">
        <v>4.0301808449876499E-2</v>
      </c>
      <c r="D28" s="31">
        <f t="shared" si="0"/>
        <v>360982.57523542747</v>
      </c>
      <c r="E28" s="75"/>
      <c r="F28" s="36">
        <v>4.0301808449876499E-2</v>
      </c>
      <c r="G28" s="69">
        <f t="shared" si="1"/>
        <v>360982.57523542742</v>
      </c>
      <c r="I28" s="171">
        <v>0</v>
      </c>
      <c r="K28" s="87"/>
    </row>
    <row r="29" spans="1:15">
      <c r="A29" s="27">
        <v>45536</v>
      </c>
      <c r="B29" s="14">
        <f>VLOOKUP(A29,'INCC - M'!$E:$F,2,FALSE)</f>
        <v>1129.6389999999999</v>
      </c>
      <c r="C29" s="147">
        <v>4.1077048252572558E-2</v>
      </c>
      <c r="D29" s="31">
        <f t="shared" si="0"/>
        <v>370282.19715955487</v>
      </c>
      <c r="E29" s="75"/>
      <c r="F29" s="36">
        <v>4.1077048252572558E-2</v>
      </c>
      <c r="G29" s="69">
        <f t="shared" si="1"/>
        <v>370282.19715955487</v>
      </c>
      <c r="I29" s="171">
        <v>0</v>
      </c>
      <c r="L29" s="87"/>
    </row>
    <row r="30" spans="1:15">
      <c r="A30" s="27">
        <v>45566</v>
      </c>
      <c r="B30" s="14">
        <f>VLOOKUP(A30,'INCC - M'!$E:$F,2,FALSE)</f>
        <v>1136.521</v>
      </c>
      <c r="C30" s="147">
        <v>4.0733030780556734E-2</v>
      </c>
      <c r="D30" s="31">
        <f>(C30*$C$3)*B30/$B$3</f>
        <v>369418.05413303833</v>
      </c>
      <c r="E30" s="75"/>
      <c r="F30" s="36">
        <v>4.0733030780556734E-2</v>
      </c>
      <c r="G30" s="69">
        <f>F30*($C$3/$B$3*B30)</f>
        <v>369418.05413303833</v>
      </c>
      <c r="H30" s="75"/>
      <c r="I30" s="171">
        <v>0</v>
      </c>
      <c r="K30" s="67"/>
      <c r="L30" s="75"/>
      <c r="M30" s="67"/>
    </row>
    <row r="31" spans="1:15">
      <c r="A31" s="27">
        <v>45597</v>
      </c>
      <c r="B31" s="14">
        <f>VLOOKUP(A31,'INCC - M'!$E:$F,2,FALSE)</f>
        <v>1144.136</v>
      </c>
      <c r="C31" s="138">
        <v>4.363669199976121E-2</v>
      </c>
      <c r="D31" s="31">
        <f t="shared" si="0"/>
        <v>398403.73136501567</v>
      </c>
      <c r="E31" s="75"/>
      <c r="F31" s="36">
        <v>4.363669199976121E-2</v>
      </c>
      <c r="G31" s="69">
        <f t="shared" si="1"/>
        <v>398403.73136501561</v>
      </c>
      <c r="H31" s="75"/>
      <c r="I31" s="171">
        <v>0</v>
      </c>
      <c r="L31" s="75"/>
      <c r="N31" s="88"/>
      <c r="O31" s="68"/>
    </row>
    <row r="32" spans="1:15">
      <c r="A32" s="27">
        <v>45627</v>
      </c>
      <c r="B32" s="14">
        <f>VLOOKUP(A32,'INCC - M'!$E:$F,2,FALSE)</f>
        <v>1149.1579999999999</v>
      </c>
      <c r="C32" s="138">
        <v>3.2247173507237138E-2</v>
      </c>
      <c r="D32" s="31">
        <f>(C32*$C$3)*B32/$B$3</f>
        <v>295709.53296280763</v>
      </c>
      <c r="E32" s="75"/>
      <c r="F32" s="36">
        <v>3.2247173507237138E-2</v>
      </c>
      <c r="G32" s="69">
        <f t="shared" si="1"/>
        <v>295709.53296280757</v>
      </c>
      <c r="H32" s="75"/>
      <c r="I32" s="171">
        <v>0</v>
      </c>
      <c r="L32" s="75"/>
    </row>
    <row r="33" spans="1:14">
      <c r="A33" s="27">
        <v>45658</v>
      </c>
      <c r="B33" s="14">
        <f>VLOOKUP(A33,'INCC - M'!$E:$F,2,FALSE)</f>
        <v>1154.99</v>
      </c>
      <c r="C33" s="138">
        <v>3.6171022678726281E-2</v>
      </c>
      <c r="D33" s="31">
        <f t="shared" si="0"/>
        <v>333374.9305503667</v>
      </c>
      <c r="E33" s="75"/>
      <c r="F33" s="36">
        <v>3.6171022678726281E-2</v>
      </c>
      <c r="G33" s="69">
        <f t="shared" si="1"/>
        <v>333374.9305503667</v>
      </c>
      <c r="H33" s="75"/>
      <c r="I33" s="171">
        <v>221068.83769869246</v>
      </c>
      <c r="J33" s="76"/>
      <c r="K33" s="67"/>
      <c r="L33" s="75"/>
    </row>
    <row r="34" spans="1:14">
      <c r="A34" s="27">
        <v>45689</v>
      </c>
      <c r="B34" s="14">
        <f>VLOOKUP(A34,'INCC - M'!$E:$F,2,FALSE)</f>
        <v>1163.221</v>
      </c>
      <c r="C34" s="138">
        <v>3.1686845591859018E-2</v>
      </c>
      <c r="D34" s="31">
        <f t="shared" si="0"/>
        <v>294127.18591530039</v>
      </c>
      <c r="E34" s="75"/>
      <c r="F34" s="36">
        <v>3.1686845591859018E-2</v>
      </c>
      <c r="G34" s="69">
        <f t="shared" si="1"/>
        <v>294127.18591530039</v>
      </c>
      <c r="H34" s="75"/>
      <c r="I34" s="171">
        <v>318039.01938911725</v>
      </c>
      <c r="L34" s="75"/>
      <c r="M34" s="76"/>
    </row>
    <row r="35" spans="1:14">
      <c r="A35" s="27">
        <v>45717</v>
      </c>
      <c r="B35" s="14">
        <f>VLOOKUP(A35,'INCC - M'!$E:$F,2,FALSE)</f>
        <v>1169.1559999999999</v>
      </c>
      <c r="C35" s="147">
        <v>3.6662184076617685E-2</v>
      </c>
      <c r="D35" s="31">
        <f t="shared" si="0"/>
        <v>342046.16270886554</v>
      </c>
      <c r="E35" s="75"/>
      <c r="F35" s="36">
        <v>3.6662184076617685E-2</v>
      </c>
      <c r="G35" s="69">
        <f t="shared" si="1"/>
        <v>342046.16270886554</v>
      </c>
      <c r="H35" s="75"/>
      <c r="I35" s="150">
        <v>627728.85814934596</v>
      </c>
      <c r="J35" s="76"/>
      <c r="K35" s="67"/>
    </row>
    <row r="36" spans="1:14">
      <c r="A36" s="27">
        <v>45748</v>
      </c>
      <c r="B36" s="14">
        <f>VLOOKUP(A36,'INCC - M'!$E:$F,2,FALSE)</f>
        <v>1173.586</v>
      </c>
      <c r="C36" s="147">
        <v>4.2175184803704295E-2</v>
      </c>
      <c r="D36" s="31">
        <f t="shared" si="0"/>
        <v>394971.57385347947</v>
      </c>
      <c r="F36" s="36">
        <v>4.2175184803704295E-2</v>
      </c>
      <c r="G36" s="69">
        <f t="shared" si="1"/>
        <v>394971.57385347941</v>
      </c>
      <c r="H36" s="75"/>
      <c r="I36" s="150">
        <v>394888.768664159</v>
      </c>
      <c r="J36" s="69"/>
    </row>
    <row r="37" spans="1:14">
      <c r="A37" s="27">
        <v>45778</v>
      </c>
      <c r="B37" s="14">
        <f>VLOOKUP(A37,'INCC - M'!$E:$F,2,FALSE)</f>
        <v>1180.5640000000001</v>
      </c>
      <c r="C37" s="147">
        <v>5.607187965951841E-2</v>
      </c>
      <c r="D37" s="31">
        <f t="shared" si="0"/>
        <v>528236.7069534515</v>
      </c>
      <c r="F37" s="36">
        <v>5.607187965951841E-2</v>
      </c>
      <c r="G37" s="69">
        <f t="shared" si="1"/>
        <v>528236.70695345139</v>
      </c>
      <c r="H37" s="75"/>
      <c r="I37" s="150">
        <v>531945.79342414159</v>
      </c>
    </row>
    <row r="38" spans="1:14">
      <c r="A38" s="27">
        <v>45809</v>
      </c>
      <c r="B38" s="14">
        <f>VLOOKUP(A38,'INCC - M'!$E:$F,2,FALSE)</f>
        <v>1183.606</v>
      </c>
      <c r="C38" s="147">
        <v>6.2764324011428382E-2</v>
      </c>
      <c r="D38" s="31">
        <f t="shared" si="0"/>
        <v>592807.84181892266</v>
      </c>
      <c r="F38" s="111">
        <v>6.2764324011428382E-2</v>
      </c>
      <c r="G38" s="69">
        <f t="shared" si="1"/>
        <v>592807.84181892266</v>
      </c>
      <c r="H38" s="75"/>
      <c r="I38" s="150">
        <v>598553.73777287267</v>
      </c>
      <c r="J38" s="88"/>
      <c r="K38" s="75"/>
      <c r="L38" s="75"/>
      <c r="M38" s="88"/>
      <c r="N38" s="88"/>
    </row>
    <row r="39" spans="1:14">
      <c r="A39" s="27">
        <v>45839</v>
      </c>
      <c r="B39" s="14">
        <f>VLOOKUP(A39,'INCC - M'!$E:$F,2,FALSE)</f>
        <v>1194.912</v>
      </c>
      <c r="C39" s="147">
        <v>4.9315566151406594E-2</v>
      </c>
      <c r="D39" s="31">
        <f t="shared" si="0"/>
        <v>470233.83187627856</v>
      </c>
      <c r="F39" s="36">
        <v>4.9315566151406594E-2</v>
      </c>
      <c r="G39" s="69">
        <f t="shared" si="1"/>
        <v>470233.83187627851</v>
      </c>
      <c r="H39" s="75"/>
      <c r="I39" s="150">
        <v>432253.010381467</v>
      </c>
      <c r="J39" s="68"/>
      <c r="K39" s="75"/>
      <c r="L39" s="75"/>
      <c r="M39" s="68"/>
      <c r="N39" s="68"/>
    </row>
    <row r="40" spans="1:14">
      <c r="A40" s="27">
        <v>45870</v>
      </c>
      <c r="B40" s="14">
        <f>VLOOKUP(A40,'INCC - M'!$E:$F,2,FALSE)</f>
        <v>1205.838</v>
      </c>
      <c r="C40" s="147">
        <v>2.4047263674243032E-2</v>
      </c>
      <c r="D40" s="31">
        <f t="shared" si="0"/>
        <v>231392.11591203758</v>
      </c>
      <c r="F40" s="36">
        <v>2.4047263674243032E-2</v>
      </c>
      <c r="G40" s="69">
        <f t="shared" si="1"/>
        <v>231392.11591203755</v>
      </c>
      <c r="H40" s="75"/>
      <c r="I40" s="150">
        <v>231392.1159120379</v>
      </c>
      <c r="K40" s="75"/>
      <c r="L40" s="75"/>
    </row>
    <row r="41" spans="1:14">
      <c r="A41" s="27">
        <v>45901</v>
      </c>
      <c r="B41" s="14">
        <f>VLOOKUP(A41,'INCC - M'!$E:$F,2,FALSE)</f>
        <v>1214.239</v>
      </c>
      <c r="C41" s="147">
        <v>0</v>
      </c>
      <c r="D41" s="31">
        <f t="shared" si="0"/>
        <v>0</v>
      </c>
      <c r="F41" s="36">
        <v>2.0359547543944053E-5</v>
      </c>
      <c r="G41" s="69">
        <f t="shared" si="1"/>
        <v>197.27235373354091</v>
      </c>
      <c r="H41" s="75"/>
      <c r="I41" s="150">
        <v>0</v>
      </c>
      <c r="K41" s="75"/>
      <c r="L41" s="75"/>
    </row>
    <row r="42" spans="1:14">
      <c r="A42" s="27">
        <v>45931</v>
      </c>
      <c r="B42" s="14">
        <f>VLOOKUP(A42,'INCC - M'!$E:$F,2,FALSE)</f>
        <v>1216.825</v>
      </c>
      <c r="C42" s="147">
        <v>2.0626362067471889E-3</v>
      </c>
      <c r="D42" s="31">
        <f t="shared" si="0"/>
        <v>20028.327623129997</v>
      </c>
      <c r="F42" s="36">
        <v>2.0626362067471889E-3</v>
      </c>
      <c r="G42" s="69">
        <f t="shared" si="1"/>
        <v>20028.327623129997</v>
      </c>
      <c r="H42" s="75"/>
      <c r="I42" s="150">
        <v>20028.325560495257</v>
      </c>
      <c r="K42" s="75"/>
      <c r="L42" s="75"/>
    </row>
    <row r="43" spans="1:14">
      <c r="A43" s="27">
        <v>45962</v>
      </c>
      <c r="B43" s="14">
        <f>VLOOKUP(A43,'INCC - M'!$E:$F,2,FALSE)</f>
        <v>1219.4069999999999</v>
      </c>
      <c r="C43" s="147">
        <v>1.7279268333351805E-2</v>
      </c>
      <c r="D43" s="31">
        <f t="shared" si="0"/>
        <v>168138.80594420692</v>
      </c>
      <c r="F43" s="36">
        <v>1.7259430848753508E-2</v>
      </c>
      <c r="G43" s="69">
        <f>F43*($C$3/$B$3*B43)</f>
        <v>167945.77398770582</v>
      </c>
      <c r="H43" s="75"/>
      <c r="I43" s="150">
        <v>168138.80800684169</v>
      </c>
      <c r="K43" s="75"/>
      <c r="L43" s="75"/>
    </row>
    <row r="44" spans="1:14">
      <c r="A44" s="27">
        <v>45992</v>
      </c>
      <c r="B44" s="14">
        <f>VLOOKUP(A44,'INCC - M'!$E:$F,2,FALSE)</f>
        <v>1222.865</v>
      </c>
      <c r="C44" s="147">
        <v>1.0049984749967766E-2</v>
      </c>
      <c r="D44" s="31">
        <f t="shared" si="0"/>
        <v>98070.376830487949</v>
      </c>
      <c r="F44" s="36">
        <v>1.1663908682041391E-2</v>
      </c>
      <c r="G44" s="69">
        <f t="shared" ref="G44:G48" si="2">F44*($C$3/$B$3*B44)</f>
        <v>113819.46821042374</v>
      </c>
      <c r="H44" s="75"/>
      <c r="I44" s="150">
        <v>98070.376830488443</v>
      </c>
      <c r="J44" s="67"/>
      <c r="K44" s="75"/>
      <c r="L44" s="75"/>
    </row>
    <row r="45" spans="1:14">
      <c r="A45" s="27">
        <v>46023</v>
      </c>
      <c r="B45" s="14">
        <f>VLOOKUP(A45,'INCC - M'!$E:$F,2,FALSE)</f>
        <v>1225.3979999999999</v>
      </c>
      <c r="C45" s="147">
        <v>8.5999952500322996E-3</v>
      </c>
      <c r="D45" s="31">
        <f t="shared" si="0"/>
        <v>84094.831508117</v>
      </c>
      <c r="F45" s="36">
        <v>1.1233140912795802E-2</v>
      </c>
      <c r="G45" s="69">
        <f t="shared" si="2"/>
        <v>109842.97838594163</v>
      </c>
      <c r="H45" s="75"/>
      <c r="I45" s="150">
        <v>84094.831508116797</v>
      </c>
      <c r="J45" s="67"/>
      <c r="K45" s="75"/>
      <c r="L45" s="75"/>
    </row>
    <row r="46" spans="1:14">
      <c r="A46" s="27">
        <v>46054</v>
      </c>
      <c r="B46" s="14">
        <f>VLOOKUP(A46,'INCC - M'!$E:$F,2,FALSE)</f>
        <v>1233.096</v>
      </c>
      <c r="C46" s="147">
        <v>5.8687600000000284E-3</v>
      </c>
      <c r="D46" s="31">
        <f t="shared" si="0"/>
        <v>57748.028853222684</v>
      </c>
      <c r="F46" s="36">
        <v>1.219778573331453E-2</v>
      </c>
      <c r="G46" s="69">
        <f t="shared" si="2"/>
        <v>120025.02785475503</v>
      </c>
      <c r="H46" s="75"/>
      <c r="I46" s="150">
        <v>57748.028853222684</v>
      </c>
      <c r="K46" s="75"/>
      <c r="L46" s="75"/>
    </row>
    <row r="47" spans="1:14">
      <c r="A47" s="27">
        <v>46082</v>
      </c>
      <c r="B47" s="14">
        <f>VLOOKUP(A47,'INCC - M'!$E:$F,2,FALSE)</f>
        <v>1237.3119999999999</v>
      </c>
      <c r="C47" s="147">
        <v>4.6929799999999577E-3</v>
      </c>
      <c r="D47" s="31">
        <f t="shared" si="0"/>
        <v>46336.353617484296</v>
      </c>
      <c r="F47" s="36">
        <v>3.6778826089026088E-3</v>
      </c>
      <c r="G47" s="69">
        <f t="shared" si="2"/>
        <v>36313.742894644456</v>
      </c>
      <c r="H47" s="75"/>
      <c r="I47" s="150">
        <v>46336.35361748375</v>
      </c>
      <c r="K47" s="75"/>
      <c r="L47" s="75"/>
    </row>
    <row r="48" spans="1:14">
      <c r="A48" s="32">
        <v>46113</v>
      </c>
      <c r="B48" s="24">
        <f>VLOOKUP(A48,'INCC - M'!$E:$F,2,FALSE)</f>
        <v>1241.721</v>
      </c>
      <c r="C48" s="173">
        <v>9.56151999999999E-3</v>
      </c>
      <c r="D48" s="25">
        <f t="shared" ref="D48" si="3">(C48*$C$3)*B48/$B$3</f>
        <v>94742.510814045963</v>
      </c>
      <c r="F48" s="36">
        <v>0</v>
      </c>
      <c r="G48" s="69">
        <f t="shared" si="2"/>
        <v>0</v>
      </c>
      <c r="H48" s="75"/>
      <c r="I48" s="150">
        <v>94742.510814045963</v>
      </c>
      <c r="K48" s="75"/>
      <c r="L48" s="75"/>
    </row>
    <row r="49" spans="3:12">
      <c r="K49" s="75"/>
      <c r="L49" s="75"/>
    </row>
    <row r="50" spans="3:12">
      <c r="H50" s="76"/>
      <c r="K50" s="75"/>
      <c r="L50" s="75"/>
    </row>
    <row r="51" spans="3:12">
      <c r="C51" s="87"/>
      <c r="K51" s="75"/>
      <c r="L51" s="75"/>
    </row>
    <row r="52" spans="3:12">
      <c r="C52" s="197"/>
      <c r="K52" s="75"/>
      <c r="L52" s="75"/>
    </row>
    <row r="53" spans="3:12">
      <c r="C53" s="87"/>
      <c r="K53" s="75"/>
      <c r="L53" s="75"/>
    </row>
    <row r="54" spans="3:12">
      <c r="K54" s="75"/>
      <c r="L54" s="75"/>
    </row>
    <row r="55" spans="3:12">
      <c r="K55" s="75"/>
      <c r="L55" s="75"/>
    </row>
    <row r="56" spans="3:12">
      <c r="K56" s="75"/>
      <c r="L56" s="75"/>
    </row>
    <row r="57" spans="3:12">
      <c r="K57" s="75"/>
      <c r="L57" s="75"/>
    </row>
    <row r="58" spans="3:12">
      <c r="K58" s="75"/>
      <c r="L58" s="75"/>
    </row>
    <row r="59" spans="3:12">
      <c r="K59" s="75"/>
      <c r="L59" s="75"/>
    </row>
    <row r="60" spans="3:12">
      <c r="K60" s="75"/>
      <c r="L60" s="75"/>
    </row>
    <row r="61" spans="3:12">
      <c r="K61" s="75"/>
      <c r="L61" s="75"/>
    </row>
    <row r="62" spans="3:12">
      <c r="K62" s="75"/>
      <c r="L62" s="75"/>
    </row>
    <row r="63" spans="3:12">
      <c r="K63" s="75"/>
      <c r="L63" s="75"/>
    </row>
    <row r="64" spans="3:12">
      <c r="K64" s="75"/>
      <c r="L64" s="75"/>
    </row>
    <row r="65" spans="11:12">
      <c r="K65" s="75"/>
      <c r="L65" s="75"/>
    </row>
    <row r="66" spans="11:12">
      <c r="K66" s="75"/>
      <c r="L66" s="75"/>
    </row>
    <row r="67" spans="11:12">
      <c r="K67" s="75"/>
      <c r="L67" s="75"/>
    </row>
    <row r="68" spans="11:12">
      <c r="K68" s="75"/>
      <c r="L68" s="75"/>
    </row>
    <row r="69" spans="11:12">
      <c r="K69" s="75"/>
      <c r="L69" s="75"/>
    </row>
    <row r="70" spans="11:12">
      <c r="K70" s="75"/>
      <c r="L70" s="75"/>
    </row>
    <row r="71" spans="11:12">
      <c r="K71" s="75"/>
      <c r="L71" s="75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DEC3-BFE4-4B8F-A784-EDC1DE7944ED}">
  <sheetPr>
    <tabColor theme="9" tint="0.39997558519241921"/>
  </sheetPr>
  <dimension ref="A1:N51"/>
  <sheetViews>
    <sheetView topLeftCell="A11" workbookViewId="0">
      <selection activeCell="C35" sqref="C35"/>
    </sheetView>
  </sheetViews>
  <sheetFormatPr defaultRowHeight="14.4"/>
  <cols>
    <col min="1" max="1" width="9.5546875" bestFit="1" customWidth="1"/>
    <col min="2" max="2" width="12.109375" bestFit="1" customWidth="1"/>
    <col min="3" max="3" width="18.33203125" customWidth="1"/>
    <col min="4" max="4" width="18.6640625" bestFit="1" customWidth="1"/>
    <col min="5" max="5" width="21.5546875" customWidth="1"/>
    <col min="6" max="6" width="16.33203125" bestFit="1" customWidth="1"/>
    <col min="7" max="7" width="18.5546875" bestFit="1" customWidth="1"/>
    <col min="8" max="8" width="15.5546875" customWidth="1"/>
    <col min="9" max="9" width="16.88671875" bestFit="1" customWidth="1"/>
    <col min="10" max="10" width="15.5546875" customWidth="1"/>
    <col min="11" max="11" width="15.6640625" customWidth="1"/>
  </cols>
  <sheetData>
    <row r="1" spans="1:13">
      <c r="A1" s="216" t="s">
        <v>4</v>
      </c>
      <c r="B1" s="216"/>
      <c r="C1" s="216"/>
      <c r="D1" s="216"/>
      <c r="F1" t="s">
        <v>152</v>
      </c>
      <c r="G1" s="69">
        <f>G3-D3</f>
        <v>1200662.2948029358</v>
      </c>
      <c r="H1" s="69">
        <f>G3-I3</f>
        <v>1200662.2948029358</v>
      </c>
      <c r="K1" s="145"/>
      <c r="L1" s="145"/>
      <c r="M1" s="145"/>
    </row>
    <row r="2" spans="1:13">
      <c r="A2" s="19" t="s">
        <v>1</v>
      </c>
      <c r="B2" s="19" t="s">
        <v>0</v>
      </c>
      <c r="C2" s="19" t="s">
        <v>136</v>
      </c>
      <c r="D2" s="19" t="s">
        <v>3</v>
      </c>
      <c r="G2" s="19" t="s">
        <v>127</v>
      </c>
      <c r="I2" s="19" t="s">
        <v>72</v>
      </c>
      <c r="K2" s="145"/>
      <c r="L2" s="145"/>
      <c r="M2" s="145"/>
    </row>
    <row r="3" spans="1:13">
      <c r="A3" s="20">
        <v>44805</v>
      </c>
      <c r="B3" s="21">
        <f>VLOOKUP(A3,'INCC - M'!$E:$F,2,FALSE)</f>
        <v>1045.4690000000001</v>
      </c>
      <c r="C3" s="22">
        <v>9017791.6797999945</v>
      </c>
      <c r="D3" s="22">
        <f>SUM(D5:D42)</f>
        <v>8671856.2602824587</v>
      </c>
      <c r="E3" s="69"/>
      <c r="G3" s="22">
        <f>SUM(G5:G42)</f>
        <v>9872518.5550853945</v>
      </c>
      <c r="I3" s="142">
        <f>SUM(I5:I42)</f>
        <v>8671856.2602824587</v>
      </c>
      <c r="J3" s="69">
        <f>D3-I3</f>
        <v>0</v>
      </c>
      <c r="K3" s="145"/>
      <c r="L3" s="145"/>
      <c r="M3" s="145"/>
    </row>
    <row r="4" spans="1:13">
      <c r="A4" s="19" t="s">
        <v>5</v>
      </c>
      <c r="B4" s="19" t="s">
        <v>132</v>
      </c>
      <c r="C4" s="19" t="s">
        <v>24</v>
      </c>
      <c r="D4" s="19" t="s">
        <v>126</v>
      </c>
      <c r="F4" s="19" t="s">
        <v>125</v>
      </c>
      <c r="G4" s="19" t="s">
        <v>124</v>
      </c>
      <c r="I4" s="19" t="s">
        <v>72</v>
      </c>
      <c r="K4" s="145"/>
      <c r="L4" s="145"/>
      <c r="M4" s="145"/>
    </row>
    <row r="5" spans="1:13">
      <c r="A5" s="16">
        <v>45047</v>
      </c>
      <c r="B5" s="14">
        <f>VLOOKUP(A5,'INCC - M'!$E:$F,2,FALSE)</f>
        <v>1061.0709999999999</v>
      </c>
      <c r="C5" s="42">
        <v>8.908776876801151E-3</v>
      </c>
      <c r="D5" s="31">
        <f>(C5*$C$3)*B5/$B$3</f>
        <v>81536.406237479343</v>
      </c>
      <c r="F5" s="36">
        <v>8.908776876801151E-3</v>
      </c>
      <c r="G5" s="69">
        <f>F5*($C$3/$B$3*B5)</f>
        <v>81536.406237479343</v>
      </c>
      <c r="I5" s="150">
        <v>120763.23062467722</v>
      </c>
      <c r="K5" s="69"/>
    </row>
    <row r="6" spans="1:13">
      <c r="A6" s="16">
        <v>45078</v>
      </c>
      <c r="B6" s="14">
        <f>VLOOKUP(A6,'INCC - M'!$E:$F,2,FALSE)</f>
        <v>1065.289</v>
      </c>
      <c r="C6" s="42">
        <v>9.3150901342892983E-3</v>
      </c>
      <c r="D6" s="31">
        <f t="shared" ref="D6:D38" si="0">(C6*$C$3)*B6/$B$3</f>
        <v>85594.043444072726</v>
      </c>
      <c r="E6" s="185"/>
      <c r="F6" s="36">
        <v>9.3150901342892983E-3</v>
      </c>
      <c r="G6" s="69">
        <f t="shared" ref="G6:G48" si="1">F6*($C$3/$B$3*B6)</f>
        <v>85594.043444072726</v>
      </c>
      <c r="I6" s="150">
        <v>96629.992197816246</v>
      </c>
      <c r="K6" s="69"/>
    </row>
    <row r="7" spans="1:13" ht="16.2">
      <c r="A7" s="16">
        <v>45108</v>
      </c>
      <c r="B7" s="14">
        <f>VLOOKUP(A7,'INCC - M'!$E:$F,2,FALSE)</f>
        <v>1074.2919999999999</v>
      </c>
      <c r="C7" s="42">
        <v>9.1427032320046016E-3</v>
      </c>
      <c r="D7" s="31">
        <f>(C7*$C$3)*B7/$B$3</f>
        <v>84720.010971673822</v>
      </c>
      <c r="E7" s="186"/>
      <c r="F7" s="36">
        <v>9.1427032320046016E-3</v>
      </c>
      <c r="G7" s="69">
        <f t="shared" si="1"/>
        <v>84720.010971673822</v>
      </c>
      <c r="I7" s="150">
        <v>80899.092604098594</v>
      </c>
      <c r="K7" s="69"/>
    </row>
    <row r="8" spans="1:13">
      <c r="A8" s="16">
        <v>45139</v>
      </c>
      <c r="B8" s="14">
        <f>VLOOKUP(A8,'INCC - M'!$E:$F,2,FALSE)</f>
        <v>1074.895</v>
      </c>
      <c r="C8" s="42">
        <v>1.2304596890399028E-2</v>
      </c>
      <c r="D8" s="31">
        <f t="shared" si="0"/>
        <v>114083.40418562842</v>
      </c>
      <c r="F8" s="36">
        <v>1.2304596890399028E-2</v>
      </c>
      <c r="G8" s="69">
        <f t="shared" si="1"/>
        <v>114083.40418562842</v>
      </c>
      <c r="I8" s="150">
        <v>80944.501257276948</v>
      </c>
      <c r="K8" s="69"/>
    </row>
    <row r="9" spans="1:13">
      <c r="A9" s="16">
        <v>45170</v>
      </c>
      <c r="B9" s="14">
        <f>VLOOKUP(A9,'INCC - M'!$E:$F,2,FALSE)</f>
        <v>1077.4970000000001</v>
      </c>
      <c r="C9" s="42">
        <v>1.2658837175830918E-2</v>
      </c>
      <c r="D9" s="31">
        <f t="shared" si="0"/>
        <v>117651.89377140108</v>
      </c>
      <c r="F9" s="36">
        <v>1.2658837175830918E-2</v>
      </c>
      <c r="G9" s="69">
        <f t="shared" si="1"/>
        <v>117651.8937714011</v>
      </c>
      <c r="I9" s="150">
        <v>81140.443737492635</v>
      </c>
      <c r="K9" s="69"/>
    </row>
    <row r="10" spans="1:13">
      <c r="A10" s="16">
        <v>45200</v>
      </c>
      <c r="B10" s="14">
        <f>VLOOKUP(A10,'INCC - M'!$E:$F,2,FALSE)</f>
        <v>1080.0709999999999</v>
      </c>
      <c r="C10" s="42">
        <v>1.4858479454555939E-2</v>
      </c>
      <c r="D10" s="31">
        <f t="shared" si="0"/>
        <v>138425.37610344824</v>
      </c>
      <c r="F10" s="36">
        <v>1.4858479454555939E-2</v>
      </c>
      <c r="G10" s="69">
        <f t="shared" si="1"/>
        <v>138425.37610344827</v>
      </c>
      <c r="I10" s="150">
        <v>81334.277689865863</v>
      </c>
      <c r="K10" s="69"/>
    </row>
    <row r="11" spans="1:13">
      <c r="A11" s="16">
        <v>45231</v>
      </c>
      <c r="B11" s="14">
        <f>VLOOKUP(A11,'INCC - M'!$E:$F,2,FALSE)</f>
        <v>1082.251</v>
      </c>
      <c r="C11" s="42">
        <v>1.1469742960953882E-2</v>
      </c>
      <c r="D11" s="31">
        <f t="shared" si="0"/>
        <v>107070.71919813215</v>
      </c>
      <c r="F11" s="36">
        <v>1.1469742960953882E-2</v>
      </c>
      <c r="G11" s="69">
        <f t="shared" si="1"/>
        <v>107070.71919813214</v>
      </c>
      <c r="I11" s="150">
        <v>79646.204333237984</v>
      </c>
      <c r="K11" s="69"/>
    </row>
    <row r="12" spans="1:13">
      <c r="A12" s="16">
        <v>45261</v>
      </c>
      <c r="B12" s="14">
        <f>VLOOKUP(A12,'INCC - M'!$E:$F,2,FALSE)</f>
        <v>1083.335</v>
      </c>
      <c r="C12" s="42">
        <v>1.1616776289313218E-2</v>
      </c>
      <c r="D12" s="31">
        <f t="shared" si="0"/>
        <v>108551.90242653752</v>
      </c>
      <c r="F12" s="36">
        <v>1.1616776289313218E-2</v>
      </c>
      <c r="G12" s="69">
        <f t="shared" si="1"/>
        <v>108551.9024265375</v>
      </c>
      <c r="I12" s="150">
        <v>186336.30034455773</v>
      </c>
      <c r="K12" s="69"/>
    </row>
    <row r="13" spans="1:13">
      <c r="A13" s="16">
        <v>45292</v>
      </c>
      <c r="B13" s="14">
        <f>VLOOKUP(A13,'INCC - M'!$E:$F,2,FALSE)</f>
        <v>1086.1500000000001</v>
      </c>
      <c r="C13" s="42">
        <v>2.6287542599686586E-2</v>
      </c>
      <c r="D13" s="31">
        <f t="shared" si="0"/>
        <v>246279.8240865455</v>
      </c>
      <c r="E13" s="69"/>
      <c r="F13" s="36">
        <v>2.6287542599686586E-2</v>
      </c>
      <c r="G13" s="69">
        <f t="shared" si="1"/>
        <v>246279.82408654553</v>
      </c>
      <c r="I13" s="150">
        <v>240728.88663240641</v>
      </c>
      <c r="K13" s="69"/>
    </row>
    <row r="14" spans="1:13">
      <c r="A14" s="16">
        <v>45323</v>
      </c>
      <c r="B14" s="14">
        <f>VLOOKUP(A14,'INCC - M'!$E:$F,2,FALSE)</f>
        <v>1088.663</v>
      </c>
      <c r="C14" s="42">
        <v>2.4278093756159743E-2</v>
      </c>
      <c r="D14" s="31">
        <f t="shared" si="0"/>
        <v>227980.17667456123</v>
      </c>
      <c r="F14" s="36">
        <v>2.4278093756159743E-2</v>
      </c>
      <c r="G14" s="69">
        <f t="shared" si="1"/>
        <v>227980.1766745612</v>
      </c>
      <c r="I14" s="150">
        <v>220790.53183020689</v>
      </c>
      <c r="K14" s="69"/>
    </row>
    <row r="15" spans="1:13">
      <c r="A15" s="73">
        <v>45352</v>
      </c>
      <c r="B15" s="15">
        <f>VLOOKUP(A15,'INCC - M'!$E:$F,2,FALSE)</f>
        <v>1090.8710000000001</v>
      </c>
      <c r="C15" s="42">
        <v>2.2869583788795125E-2</v>
      </c>
      <c r="D15" s="31">
        <f t="shared" si="0"/>
        <v>215189.31149094165</v>
      </c>
      <c r="F15" s="36">
        <v>2.2869583788795125E-2</v>
      </c>
      <c r="G15" s="69">
        <f t="shared" si="1"/>
        <v>215189.31149094165</v>
      </c>
      <c r="I15" s="150">
        <v>196033.96670579311</v>
      </c>
      <c r="K15" s="69"/>
    </row>
    <row r="16" spans="1:13">
      <c r="A16" s="16">
        <v>45383</v>
      </c>
      <c r="B16" s="14">
        <f>VLOOKUP(A16,'INCC - M'!$E:$F,2,FALSE)</f>
        <v>1093.5029999999999</v>
      </c>
      <c r="C16" s="42">
        <v>3.5019255544291687E-2</v>
      </c>
      <c r="D16" s="31">
        <f t="shared" si="0"/>
        <v>330305.59252722643</v>
      </c>
      <c r="F16" s="36">
        <v>3.5019255544291687E-2</v>
      </c>
      <c r="G16" s="69">
        <f t="shared" si="1"/>
        <v>330305.59252722643</v>
      </c>
      <c r="I16" s="150">
        <v>208671.66365624877</v>
      </c>
      <c r="K16" s="69"/>
    </row>
    <row r="17" spans="1:11">
      <c r="A17" s="16">
        <v>45413</v>
      </c>
      <c r="B17" s="14">
        <f>VLOOKUP(A17,'INCC - M'!$E:$F,2,FALSE)</f>
        <v>1097.991</v>
      </c>
      <c r="C17" s="42">
        <v>4.4570825154019771E-2</v>
      </c>
      <c r="D17" s="31">
        <f t="shared" si="0"/>
        <v>422122.49206154951</v>
      </c>
      <c r="E17" s="187"/>
      <c r="F17" s="36">
        <v>4.4570825154019771E-2</v>
      </c>
      <c r="G17" s="69">
        <f t="shared" si="1"/>
        <v>422122.49206154951</v>
      </c>
      <c r="I17" s="150">
        <v>202950.98715852812</v>
      </c>
      <c r="K17" s="69"/>
    </row>
    <row r="18" spans="1:11">
      <c r="A18" s="16">
        <v>45444</v>
      </c>
      <c r="B18" s="14">
        <f>VLOOKUP(A18,'INCC - M'!$E:$F,2,FALSE)</f>
        <v>1104.4570000000001</v>
      </c>
      <c r="C18" s="42">
        <v>2.8628015895706866E-2</v>
      </c>
      <c r="D18" s="31">
        <f t="shared" si="0"/>
        <v>272727.60611843487</v>
      </c>
      <c r="E18" s="13"/>
      <c r="F18" s="36">
        <v>2.8628015895706866E-2</v>
      </c>
      <c r="G18" s="69">
        <f>F18*($C$3/$B$3*B18)</f>
        <v>272727.60611843492</v>
      </c>
      <c r="I18" s="150">
        <v>221278.37136071009</v>
      </c>
      <c r="K18" s="69"/>
    </row>
    <row r="19" spans="1:11">
      <c r="A19" s="16">
        <v>45474</v>
      </c>
      <c r="B19" s="14">
        <f>VLOOKUP(A19,'INCC - M'!$E:$F,2,FALSE)</f>
        <v>1114.748</v>
      </c>
      <c r="C19" s="42">
        <v>3.8359449283505549E-2</v>
      </c>
      <c r="D19" s="31">
        <f t="shared" si="0"/>
        <v>368840.07701110368</v>
      </c>
      <c r="F19" s="36">
        <v>3.8359449283505549E-2</v>
      </c>
      <c r="G19" s="69">
        <f t="shared" si="1"/>
        <v>368840.07701110368</v>
      </c>
      <c r="H19" s="36"/>
      <c r="I19" s="150">
        <v>365921.30992483516</v>
      </c>
      <c r="J19" s="36"/>
      <c r="K19" s="69"/>
    </row>
    <row r="20" spans="1:11">
      <c r="A20" s="16">
        <v>45505</v>
      </c>
      <c r="B20" s="14">
        <f>VLOOKUP(A20,'INCC - M'!$E:$F,2,FALSE)</f>
        <v>1122.452</v>
      </c>
      <c r="C20" s="42">
        <v>4.6803544561982401E-2</v>
      </c>
      <c r="D20" s="31">
        <f t="shared" si="0"/>
        <v>453143.29830905504</v>
      </c>
      <c r="F20" s="36">
        <v>4.6803544561982401E-2</v>
      </c>
      <c r="G20" s="69">
        <f t="shared" si="1"/>
        <v>453143.29830905498</v>
      </c>
      <c r="H20" s="36"/>
      <c r="I20" s="150">
        <v>449557.40884935879</v>
      </c>
      <c r="J20" s="36"/>
      <c r="K20" s="69"/>
    </row>
    <row r="21" spans="1:11">
      <c r="A21" s="16">
        <v>45536</v>
      </c>
      <c r="B21" s="14">
        <f>VLOOKUP(A21,'INCC - M'!$E:$F,2,FALSE)</f>
        <v>1129.6389999999999</v>
      </c>
      <c r="C21" s="42">
        <v>4.258548089973091E-2</v>
      </c>
      <c r="D21" s="31">
        <f>(C21*$C$3)*B21/$B$3</f>
        <v>414944.74822924612</v>
      </c>
      <c r="F21" s="36">
        <v>4.258548089973091E-2</v>
      </c>
      <c r="G21" s="69">
        <f t="shared" si="1"/>
        <v>414944.74822924606</v>
      </c>
      <c r="H21" s="36"/>
      <c r="I21" s="150">
        <v>411661.13793514267</v>
      </c>
      <c r="J21" s="36"/>
      <c r="K21" s="87"/>
    </row>
    <row r="22" spans="1:11">
      <c r="A22" s="16">
        <v>45566</v>
      </c>
      <c r="B22" s="14">
        <f>VLOOKUP(A22,'INCC - M'!$E:$F,2,FALSE)</f>
        <v>1136.521</v>
      </c>
      <c r="C22" s="42">
        <v>5.6026420793899925E-2</v>
      </c>
      <c r="D22" s="31">
        <f>(C22*$C$3)*B22/$B$3</f>
        <v>549236.48900246201</v>
      </c>
      <c r="E22" s="13"/>
      <c r="F22" s="36">
        <v>5.3514935987661605E-2</v>
      </c>
      <c r="G22" s="69">
        <f t="shared" si="1"/>
        <v>524615.97822174209</v>
      </c>
      <c r="H22" s="75"/>
      <c r="I22" s="150">
        <v>987706.93951372593</v>
      </c>
      <c r="J22" s="36"/>
      <c r="K22" s="152"/>
    </row>
    <row r="23" spans="1:11">
      <c r="A23" s="16">
        <v>45597</v>
      </c>
      <c r="B23" s="14">
        <f>VLOOKUP(A23,'INCC - M'!$E:$F,2,FALSE)</f>
        <v>1144.136</v>
      </c>
      <c r="C23" s="42">
        <v>3.8731060918373389E-2</v>
      </c>
      <c r="D23" s="31">
        <f t="shared" si="0"/>
        <v>382231.15504712</v>
      </c>
      <c r="E23" s="13"/>
      <c r="F23" s="36">
        <v>3.9807292185363136E-2</v>
      </c>
      <c r="G23" s="69">
        <f t="shared" si="1"/>
        <v>392852.32344594819</v>
      </c>
      <c r="H23" s="75"/>
      <c r="I23" s="150">
        <v>382231.54073795641</v>
      </c>
      <c r="J23" s="36"/>
      <c r="K23" s="87"/>
    </row>
    <row r="24" spans="1:11">
      <c r="A24" s="16">
        <v>45627</v>
      </c>
      <c r="B24" s="14">
        <f>VLOOKUP(A24,'INCC - M'!$E:$F,2,FALSE)</f>
        <v>1149.1579999999999</v>
      </c>
      <c r="C24" s="42">
        <v>2.7227771739891399E-2</v>
      </c>
      <c r="D24" s="31">
        <f t="shared" si="0"/>
        <v>269886.32807989471</v>
      </c>
      <c r="E24" s="144"/>
      <c r="F24" s="36">
        <v>2.5972615563207652E-2</v>
      </c>
      <c r="G24" s="69">
        <f t="shared" si="1"/>
        <v>257445.0054873568</v>
      </c>
      <c r="H24" s="75"/>
      <c r="I24" s="150">
        <v>295576.59389772697</v>
      </c>
      <c r="J24" s="36"/>
      <c r="K24" s="69"/>
    </row>
    <row r="25" spans="1:11">
      <c r="A25" s="16">
        <v>45658</v>
      </c>
      <c r="B25" s="14">
        <f>VLOOKUP(A25,'INCC - M'!$E:$F,2,FALSE)</f>
        <v>1154.99</v>
      </c>
      <c r="C25" s="155">
        <v>2.151477932083426E-2</v>
      </c>
      <c r="D25" s="31">
        <f t="shared" si="0"/>
        <v>214340.46009662285</v>
      </c>
      <c r="F25" s="36">
        <v>3.4576803672220227E-2</v>
      </c>
      <c r="G25" s="69">
        <f t="shared" si="1"/>
        <v>344470.55660001561</v>
      </c>
      <c r="H25" s="75"/>
      <c r="I25" s="150">
        <v>214057.93408147432</v>
      </c>
      <c r="J25" s="151"/>
      <c r="K25" s="69"/>
    </row>
    <row r="26" spans="1:11">
      <c r="A26" s="16">
        <v>45689</v>
      </c>
      <c r="B26" s="14">
        <f>VLOOKUP(A26,'INCC - M'!$E:$F,2,FALSE)</f>
        <v>1163.221</v>
      </c>
      <c r="C26" s="155">
        <v>3.5731168222512752E-2</v>
      </c>
      <c r="D26" s="31">
        <f t="shared" si="0"/>
        <v>358507.7003997569</v>
      </c>
      <c r="F26" s="36">
        <v>4.3937463392899757E-2</v>
      </c>
      <c r="G26" s="69">
        <f t="shared" si="1"/>
        <v>440845.3388451584</v>
      </c>
      <c r="H26" s="75"/>
      <c r="I26" s="150">
        <v>358507.7003997569</v>
      </c>
      <c r="J26" s="151"/>
      <c r="K26" s="69"/>
    </row>
    <row r="27" spans="1:11">
      <c r="A27" s="16">
        <v>45717</v>
      </c>
      <c r="B27" s="14">
        <f>VLOOKUP(A27,'INCC - M'!$E:$F,2,FALSE)</f>
        <v>1169.1559999999999</v>
      </c>
      <c r="C27" s="155">
        <v>3.6477710534418797E-2</v>
      </c>
      <c r="D27" s="31">
        <f t="shared" si="0"/>
        <v>367865.51221016934</v>
      </c>
      <c r="F27" s="36">
        <v>4.892899992320271E-2</v>
      </c>
      <c r="G27" s="69">
        <f t="shared" si="1"/>
        <v>493432.6018541361</v>
      </c>
      <c r="H27" s="75"/>
      <c r="I27" s="150">
        <v>367865.51221016981</v>
      </c>
      <c r="J27" s="36"/>
      <c r="K27" s="69"/>
    </row>
    <row r="28" spans="1:11">
      <c r="A28" s="16">
        <v>45748</v>
      </c>
      <c r="B28" s="14">
        <f>VLOOKUP(A28,'INCC - M'!$E:$F,2,FALSE)</f>
        <v>1173.586</v>
      </c>
      <c r="C28" s="42">
        <v>3.2651478719090847E-2</v>
      </c>
      <c r="D28" s="31">
        <f t="shared" si="0"/>
        <v>330526.9020675178</v>
      </c>
      <c r="F28" s="36">
        <v>5.078918715030923E-2</v>
      </c>
      <c r="G28" s="69">
        <f t="shared" si="1"/>
        <v>514132.69309312676</v>
      </c>
      <c r="H28" s="75"/>
      <c r="I28" s="150">
        <v>330526.9020675178</v>
      </c>
      <c r="J28" s="36"/>
      <c r="K28" s="69"/>
    </row>
    <row r="29" spans="1:11">
      <c r="A29" s="16">
        <v>45778</v>
      </c>
      <c r="B29" s="14">
        <f>VLOOKUP(A29,'INCC - M'!$E:$F,2,FALSE)</f>
        <v>1180.5640000000001</v>
      </c>
      <c r="C29" s="42">
        <v>3.4539469678887685E-2</v>
      </c>
      <c r="D29" s="31">
        <f t="shared" si="0"/>
        <v>351717.71218728425</v>
      </c>
      <c r="F29" s="36">
        <v>4.4196652438599014E-2</v>
      </c>
      <c r="G29" s="69">
        <f t="shared" si="1"/>
        <v>450057.44519413851</v>
      </c>
      <c r="H29" s="75"/>
      <c r="I29" s="150">
        <v>351717.7121872846</v>
      </c>
      <c r="J29" s="36"/>
      <c r="K29" s="69"/>
    </row>
    <row r="30" spans="1:11">
      <c r="A30" s="16">
        <v>45809</v>
      </c>
      <c r="B30" s="14">
        <f>VLOOKUP(A30,'INCC - M'!$E:$F,2,FALSE)</f>
        <v>1183.606</v>
      </c>
      <c r="C30" s="42">
        <v>3.0976830669079591E-2</v>
      </c>
      <c r="D30" s="31">
        <f t="shared" si="0"/>
        <v>316251.92556483019</v>
      </c>
      <c r="F30" s="36">
        <v>3.2074898226864407E-2</v>
      </c>
      <c r="G30" s="69">
        <f t="shared" si="1"/>
        <v>327462.43264541257</v>
      </c>
      <c r="H30" s="75"/>
      <c r="I30" s="150">
        <v>316251.92556483019</v>
      </c>
      <c r="J30" s="36"/>
      <c r="K30" s="69"/>
    </row>
    <row r="31" spans="1:11">
      <c r="A31" s="16">
        <v>45839</v>
      </c>
      <c r="B31" s="14">
        <f>VLOOKUP(A31,'INCC - M'!$E:$F,2,FALSE)</f>
        <v>1194.912</v>
      </c>
      <c r="C31" s="42">
        <v>2.3330077525689108E-2</v>
      </c>
      <c r="D31" s="31">
        <f t="shared" si="0"/>
        <v>240459.05900293979</v>
      </c>
      <c r="F31" s="36">
        <v>3.9903117904059933E-2</v>
      </c>
      <c r="G31" s="69">
        <f t="shared" si="1"/>
        <v>411274.50913647132</v>
      </c>
      <c r="H31" s="75"/>
      <c r="I31" s="150">
        <v>240459.05900293961</v>
      </c>
      <c r="J31" s="36"/>
      <c r="K31" s="69"/>
    </row>
    <row r="32" spans="1:11">
      <c r="A32" s="16">
        <v>45870</v>
      </c>
      <c r="B32" s="14">
        <f>VLOOKUP(A32,'INCC - M'!$E:$F,2,FALSE)</f>
        <v>1205.838</v>
      </c>
      <c r="C32" s="42">
        <v>3.020708060609718E-2</v>
      </c>
      <c r="D32" s="31">
        <f t="shared" si="0"/>
        <v>314185.94923988305</v>
      </c>
      <c r="F32" s="36">
        <v>4.465862706506743E-2</v>
      </c>
      <c r="G32" s="69">
        <f t="shared" si="1"/>
        <v>464497.49047764711</v>
      </c>
      <c r="H32" s="75"/>
      <c r="I32" s="150">
        <v>314082.42503469996</v>
      </c>
      <c r="J32" s="36"/>
      <c r="K32" s="69"/>
    </row>
    <row r="33" spans="1:14">
      <c r="A33" s="16">
        <v>45901</v>
      </c>
      <c r="B33" s="14">
        <f>VLOOKUP(A33,'INCC - M'!$E:$F,2,FALSE)</f>
        <v>1214.239</v>
      </c>
      <c r="C33" s="42">
        <v>4.1989092602598838E-2</v>
      </c>
      <c r="D33" s="31">
        <f t="shared" si="0"/>
        <v>439774.15823938075</v>
      </c>
      <c r="F33" s="36">
        <v>4.4723788141117764E-2</v>
      </c>
      <c r="G33" s="69">
        <f t="shared" si="1"/>
        <v>468416.08293814678</v>
      </c>
      <c r="H33" s="75"/>
      <c r="I33" s="150">
        <v>330313.62750834902</v>
      </c>
      <c r="J33" s="36"/>
      <c r="K33" s="69"/>
    </row>
    <row r="34" spans="1:14">
      <c r="A34" s="16">
        <v>45931</v>
      </c>
      <c r="B34" s="14">
        <f>VLOOKUP(A34,'INCC - M'!$E:$F,2,FALSE)</f>
        <v>1216.825</v>
      </c>
      <c r="C34" s="42">
        <v>4.658823033160335E-2</v>
      </c>
      <c r="D34" s="31">
        <f t="shared" si="0"/>
        <v>488982.56740801153</v>
      </c>
      <c r="F34" s="36">
        <v>4.6461195189520965E-2</v>
      </c>
      <c r="G34" s="69">
        <f t="shared" si="1"/>
        <v>487649.22700241237</v>
      </c>
      <c r="H34" s="75"/>
      <c r="I34" s="150">
        <v>598546.62234422565</v>
      </c>
      <c r="J34" s="36"/>
      <c r="K34" s="69"/>
    </row>
    <row r="35" spans="1:14">
      <c r="A35" s="23">
        <v>45962</v>
      </c>
      <c r="B35" s="24">
        <f>VLOOKUP(A35,'INCC - M'!$E:$F,2,FALSE)</f>
        <v>1219.4069999999999</v>
      </c>
      <c r="C35" s="161">
        <v>2.4597903095709698E-2</v>
      </c>
      <c r="D35" s="25">
        <f t="shared" si="0"/>
        <v>258723.45888954733</v>
      </c>
      <c r="F35" s="36">
        <v>2.01328598578508E-2</v>
      </c>
      <c r="G35" s="69">
        <f t="shared" si="1"/>
        <v>211759.64144155817</v>
      </c>
      <c r="H35" s="75"/>
      <c r="I35" s="150">
        <v>258723.45888954774</v>
      </c>
      <c r="J35" s="36"/>
      <c r="K35" s="36"/>
      <c r="L35" s="36"/>
      <c r="M35" s="36"/>
      <c r="N35" s="87"/>
    </row>
    <row r="36" spans="1:14">
      <c r="A36" s="16">
        <v>45992</v>
      </c>
      <c r="B36" s="14">
        <f>VLOOKUP(A36,'INCC - M'!$E:$F,2,FALSE)</f>
        <v>1222.865</v>
      </c>
      <c r="C36" s="18"/>
      <c r="D36" s="31">
        <f t="shared" si="0"/>
        <v>0</v>
      </c>
      <c r="F36" s="36">
        <v>8.6789407655433696E-3</v>
      </c>
      <c r="G36" s="69">
        <f t="shared" si="1"/>
        <v>91544.926025727473</v>
      </c>
      <c r="H36" s="75">
        <f>(F36*$G$1/(SUM($F$36:$F$48)))</f>
        <v>340040.97086371761</v>
      </c>
      <c r="I36" s="36"/>
      <c r="K36" s="69"/>
    </row>
    <row r="37" spans="1:14">
      <c r="A37" s="16">
        <v>46023</v>
      </c>
      <c r="B37" s="14">
        <f>VLOOKUP(A37,'INCC - M'!$E:$F,2,FALSE)</f>
        <v>1225.3979999999999</v>
      </c>
      <c r="C37" s="18"/>
      <c r="D37" s="31">
        <f t="shared" si="0"/>
        <v>0</v>
      </c>
      <c r="F37" s="36">
        <v>5.2835024692153842E-3</v>
      </c>
      <c r="G37" s="69">
        <f t="shared" si="1"/>
        <v>55845.491891660873</v>
      </c>
      <c r="H37" s="75">
        <f t="shared" ref="H37:H48" si="2">(F37*$G$1/(SUM($F$36:$F$48)))</f>
        <v>207007.67037443499</v>
      </c>
      <c r="I37" s="36"/>
      <c r="K37" s="69"/>
    </row>
    <row r="38" spans="1:14">
      <c r="A38" s="16">
        <v>46054</v>
      </c>
      <c r="B38" s="14">
        <f>VLOOKUP(A38,'INCC - M'!$E:$F,2,FALSE)</f>
        <v>1233.096</v>
      </c>
      <c r="C38" s="18"/>
      <c r="D38" s="31">
        <f t="shared" si="0"/>
        <v>0</v>
      </c>
      <c r="F38" s="36">
        <v>2.5652610475132755E-3</v>
      </c>
      <c r="G38" s="69">
        <f t="shared" si="1"/>
        <v>27284.593904808447</v>
      </c>
      <c r="H38" s="75">
        <f t="shared" si="2"/>
        <v>100506.94902521081</v>
      </c>
      <c r="I38" s="36"/>
    </row>
    <row r="39" spans="1:14">
      <c r="A39" s="16">
        <v>46082</v>
      </c>
      <c r="B39" s="14">
        <f>VLOOKUP(A39,'INCC - M'!$E:$F,2,FALSE)</f>
        <v>1237.3119999999999</v>
      </c>
      <c r="C39" s="18"/>
      <c r="D39" s="31">
        <f t="shared" ref="D39:D42" si="3">(C39*$C$3)*B39/$B$3</f>
        <v>0</v>
      </c>
      <c r="F39" s="36">
        <v>2.8217871522646038E-3</v>
      </c>
      <c r="G39" s="69">
        <f t="shared" si="1"/>
        <v>30115.66901433545</v>
      </c>
      <c r="H39" s="75">
        <f t="shared" si="2"/>
        <v>110557.6439277319</v>
      </c>
      <c r="I39" s="87"/>
    </row>
    <row r="40" spans="1:14">
      <c r="A40" s="16">
        <v>46113</v>
      </c>
      <c r="B40" s="14">
        <f>VLOOKUP(A40,'INCC - M'!$E:$F,2,FALSE)</f>
        <v>1241.721</v>
      </c>
      <c r="C40" s="18"/>
      <c r="D40" s="31">
        <f t="shared" si="3"/>
        <v>0</v>
      </c>
      <c r="F40" s="36">
        <v>2.8217871522646038E-3</v>
      </c>
      <c r="G40" s="69">
        <f t="shared" si="1"/>
        <v>30222.982274599803</v>
      </c>
      <c r="H40" s="75">
        <f t="shared" si="2"/>
        <v>110557.6439277319</v>
      </c>
    </row>
    <row r="41" spans="1:14">
      <c r="A41" s="16">
        <v>46143</v>
      </c>
      <c r="B41" s="14">
        <f>VLOOKUP(A41,'INCC - M'!$E:$F,2,FALSE)</f>
        <v>1254.655</v>
      </c>
      <c r="C41" s="18"/>
      <c r="D41" s="31">
        <f t="shared" si="3"/>
        <v>0</v>
      </c>
      <c r="F41" s="36">
        <v>2.6935240998889397E-3</v>
      </c>
      <c r="G41" s="69">
        <f t="shared" si="1"/>
        <v>29149.709166130877</v>
      </c>
      <c r="H41" s="75">
        <f t="shared" si="2"/>
        <v>105532.29647647135</v>
      </c>
    </row>
    <row r="42" spans="1:14">
      <c r="A42" s="16">
        <f>EDATE(A41,1)</f>
        <v>46174</v>
      </c>
      <c r="B42" s="14">
        <f>VLOOKUP(A42,'INCC - M'!$E:$F,2,FALSE)</f>
        <v>1264.3530000000001</v>
      </c>
      <c r="C42" s="18"/>
      <c r="D42" s="31">
        <f t="shared" si="3"/>
        <v>0</v>
      </c>
      <c r="F42" s="36">
        <v>2.7762276787240627E-3</v>
      </c>
      <c r="G42" s="69">
        <f t="shared" si="1"/>
        <v>30276.973577829482</v>
      </c>
      <c r="H42" s="75">
        <f t="shared" si="2"/>
        <v>108772.62337818844</v>
      </c>
    </row>
    <row r="43" spans="1:14">
      <c r="A43" s="16">
        <f t="shared" ref="A43:A48" si="4">EDATE(A42,1)</f>
        <v>46204</v>
      </c>
      <c r="B43" s="14">
        <f>VLOOKUP(A43,'INCC - M'!$E:$F,2,FALSE)</f>
        <v>1264.3530000000001</v>
      </c>
      <c r="C43" s="18"/>
      <c r="D43" s="31">
        <f t="shared" ref="D43:D48" si="5">(C43*$C$3)*B43/$B$3</f>
        <v>0</v>
      </c>
      <c r="F43" s="36">
        <v>2.4261162589240492E-3</v>
      </c>
      <c r="G43" s="69">
        <f t="shared" si="1"/>
        <v>26458.729747246678</v>
      </c>
      <c r="H43" s="75">
        <f t="shared" si="2"/>
        <v>95055.255059242714</v>
      </c>
    </row>
    <row r="44" spans="1:14">
      <c r="A44" s="16">
        <f t="shared" si="4"/>
        <v>46235</v>
      </c>
      <c r="B44" s="14">
        <f>VLOOKUP(A44,'INCC - M'!$E:$F,2,FALSE)</f>
        <v>1264.3530000000001</v>
      </c>
      <c r="C44" s="18"/>
      <c r="D44" s="31">
        <f t="shared" si="5"/>
        <v>0</v>
      </c>
      <c r="F44" s="36">
        <v>1.1552443593806225E-4</v>
      </c>
      <c r="G44" s="69">
        <f t="shared" si="1"/>
        <v>1259.8859673129909</v>
      </c>
      <c r="H44" s="75">
        <f t="shared" si="2"/>
        <v>4526.2483540412331</v>
      </c>
    </row>
    <row r="45" spans="1:14">
      <c r="A45" s="16">
        <f t="shared" si="4"/>
        <v>46266</v>
      </c>
      <c r="B45" s="14">
        <f>VLOOKUP(A45,'INCC - M'!$E:$F,2,FALSE)</f>
        <v>1264.3530000000001</v>
      </c>
      <c r="C45" s="18"/>
      <c r="D45" s="31">
        <f t="shared" si="5"/>
        <v>0</v>
      </c>
      <c r="F45" s="36">
        <v>1.2102559955416042E-4</v>
      </c>
      <c r="G45" s="69">
        <f t="shared" si="1"/>
        <v>1319.8805371850378</v>
      </c>
      <c r="H45" s="75">
        <f t="shared" si="2"/>
        <v>4741.7839899479577</v>
      </c>
    </row>
    <row r="46" spans="1:14">
      <c r="A46" s="16">
        <f t="shared" si="4"/>
        <v>46296</v>
      </c>
      <c r="B46" s="14">
        <f>VLOOKUP(A46,'INCC - M'!$E:$F,2,FALSE)</f>
        <v>1264.3530000000001</v>
      </c>
      <c r="C46" s="18"/>
      <c r="D46" s="31">
        <f t="shared" si="5"/>
        <v>0</v>
      </c>
      <c r="F46" s="36">
        <v>1.2102559955416042E-4</v>
      </c>
      <c r="G46" s="69">
        <f t="shared" si="1"/>
        <v>1319.8805371850378</v>
      </c>
      <c r="H46" s="75">
        <f t="shared" si="2"/>
        <v>4741.7839899479577</v>
      </c>
    </row>
    <row r="47" spans="1:14">
      <c r="A47" s="16">
        <f t="shared" si="4"/>
        <v>46327</v>
      </c>
      <c r="B47" s="14">
        <f>VLOOKUP(A47,'INCC - M'!$E:$F,2,FALSE)</f>
        <v>1264.3530000000001</v>
      </c>
      <c r="C47" s="18"/>
      <c r="D47" s="31">
        <f t="shared" si="5"/>
        <v>0</v>
      </c>
      <c r="F47" s="36">
        <v>1.1552443593806225E-4</v>
      </c>
      <c r="G47" s="69">
        <f t="shared" si="1"/>
        <v>1259.8859673129909</v>
      </c>
      <c r="H47" s="75">
        <f t="shared" si="2"/>
        <v>4526.2483540412331</v>
      </c>
    </row>
    <row r="48" spans="1:14">
      <c r="A48" s="16">
        <f t="shared" si="4"/>
        <v>46357</v>
      </c>
      <c r="B48" s="14">
        <f>VLOOKUP(A48,'INCC - M'!$E:$F,2,FALSE)</f>
        <v>1264.3530000000001</v>
      </c>
      <c r="C48" s="18"/>
      <c r="D48" s="31">
        <f t="shared" si="5"/>
        <v>0</v>
      </c>
      <c r="F48" s="36">
        <v>1.0452210870586584E-4</v>
      </c>
      <c r="G48" s="69">
        <f t="shared" si="1"/>
        <v>1139.8968275688967</v>
      </c>
      <c r="H48" s="75">
        <f t="shared" si="2"/>
        <v>4095.1770822277822</v>
      </c>
    </row>
    <row r="49" spans="3:3">
      <c r="C49" s="87"/>
    </row>
    <row r="50" spans="3:3">
      <c r="C50" s="197"/>
    </row>
    <row r="51" spans="3:3">
      <c r="C51" s="87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D6B7-213B-4F14-902B-2549A3D6A6B2}">
  <sheetPr>
    <tabColor theme="9" tint="0.39997558519241921"/>
  </sheetPr>
  <dimension ref="A1:N51"/>
  <sheetViews>
    <sheetView topLeftCell="A28" workbookViewId="0">
      <selection activeCell="H43" sqref="H43:H48"/>
    </sheetView>
  </sheetViews>
  <sheetFormatPr defaultRowHeight="14.4"/>
  <cols>
    <col min="1" max="1" width="9.5546875" bestFit="1" customWidth="1"/>
    <col min="2" max="2" width="12.109375" bestFit="1" customWidth="1"/>
    <col min="3" max="3" width="18.33203125" customWidth="1"/>
    <col min="4" max="4" width="18.6640625" bestFit="1" customWidth="1"/>
    <col min="5" max="5" width="21.5546875" customWidth="1"/>
    <col min="6" max="6" width="16.33203125" bestFit="1" customWidth="1"/>
    <col min="7" max="7" width="18.5546875" bestFit="1" customWidth="1"/>
    <col min="8" max="8" width="15.5546875" customWidth="1"/>
    <col min="9" max="9" width="16.88671875" bestFit="1" customWidth="1"/>
    <col min="10" max="10" width="15.5546875" customWidth="1"/>
    <col min="11" max="11" width="19.44140625" customWidth="1"/>
    <col min="12" max="12" width="10.5546875" bestFit="1" customWidth="1"/>
    <col min="13" max="13" width="107.44140625" bestFit="1" customWidth="1"/>
  </cols>
  <sheetData>
    <row r="1" spans="1:13">
      <c r="A1" s="216" t="s">
        <v>4</v>
      </c>
      <c r="B1" s="216"/>
      <c r="C1" s="216"/>
      <c r="D1" s="216"/>
      <c r="F1" t="s">
        <v>152</v>
      </c>
      <c r="G1" s="69">
        <f>G3-D3</f>
        <v>300692.97563681006</v>
      </c>
      <c r="H1" s="69">
        <f>G3-I3</f>
        <v>300692.97563681006</v>
      </c>
      <c r="K1" s="145"/>
      <c r="L1" s="145"/>
      <c r="M1" s="145"/>
    </row>
    <row r="2" spans="1:13">
      <c r="A2" s="19" t="s">
        <v>1</v>
      </c>
      <c r="B2" s="19" t="s">
        <v>0</v>
      </c>
      <c r="C2" s="19" t="s">
        <v>136</v>
      </c>
      <c r="D2" s="19" t="s">
        <v>3</v>
      </c>
      <c r="G2" s="19" t="s">
        <v>127</v>
      </c>
      <c r="I2" s="19" t="s">
        <v>72</v>
      </c>
      <c r="K2" s="145"/>
      <c r="L2" s="145"/>
      <c r="M2" s="145"/>
    </row>
    <row r="3" spans="1:13">
      <c r="A3" s="20">
        <v>44805</v>
      </c>
      <c r="B3" s="21">
        <f>VLOOKUP(A3,'INCC - M'!$E:$F,2,FALSE)</f>
        <v>1045.4690000000001</v>
      </c>
      <c r="C3" s="22">
        <f>9300085.301432+K22</f>
        <v>9311845.1214320008</v>
      </c>
      <c r="D3" s="22">
        <f>SUM(D5:D48)</f>
        <v>9976432.7515815813</v>
      </c>
      <c r="E3" s="69"/>
      <c r="G3" s="22">
        <f>SUM(G5:G48)</f>
        <v>10277125.727218391</v>
      </c>
      <c r="I3" s="142">
        <f>SUM(I5:I48)</f>
        <v>9976432.7515815813</v>
      </c>
      <c r="J3" s="69">
        <f>D3-I3</f>
        <v>0</v>
      </c>
      <c r="K3" s="19" t="s">
        <v>137</v>
      </c>
      <c r="L3" s="19" t="s">
        <v>192</v>
      </c>
      <c r="M3" s="19" t="s">
        <v>31</v>
      </c>
    </row>
    <row r="4" spans="1:13">
      <c r="A4" s="19" t="s">
        <v>5</v>
      </c>
      <c r="B4" s="19" t="s">
        <v>132</v>
      </c>
      <c r="C4" s="19" t="s">
        <v>24</v>
      </c>
      <c r="D4" s="19" t="s">
        <v>126</v>
      </c>
      <c r="F4" s="19" t="s">
        <v>125</v>
      </c>
      <c r="G4" s="19" t="s">
        <v>124</v>
      </c>
      <c r="I4" s="19" t="s">
        <v>72</v>
      </c>
      <c r="K4" s="139">
        <v>3231.9</v>
      </c>
      <c r="L4" s="206">
        <v>46107</v>
      </c>
      <c r="M4" s="139" t="s">
        <v>193</v>
      </c>
    </row>
    <row r="5" spans="1:13">
      <c r="A5" s="16">
        <v>45047</v>
      </c>
      <c r="B5" s="14">
        <f>VLOOKUP(A5,'INCC - M'!$E:$F,2,FALSE)</f>
        <v>1061.0709999999999</v>
      </c>
      <c r="C5" s="42">
        <v>8.908776876801151E-3</v>
      </c>
      <c r="D5" s="31">
        <f>(C5*$C$3)*B5/$B$3</f>
        <v>84195.157040754508</v>
      </c>
      <c r="F5" s="36">
        <v>8.908776876801151E-3</v>
      </c>
      <c r="G5" s="69">
        <f>F5*($C$3/$B$3*B5)</f>
        <v>84195.157040754493</v>
      </c>
      <c r="I5" s="150">
        <v>120763.23062467722</v>
      </c>
      <c r="K5" s="139">
        <v>2859.07</v>
      </c>
      <c r="L5" s="206">
        <v>46104</v>
      </c>
      <c r="M5" s="139" t="s">
        <v>194</v>
      </c>
    </row>
    <row r="6" spans="1:13">
      <c r="A6" s="16">
        <v>45078</v>
      </c>
      <c r="B6" s="14">
        <f>VLOOKUP(A6,'INCC - M'!$E:$F,2,FALSE)</f>
        <v>1065.289</v>
      </c>
      <c r="C6" s="42">
        <v>9.3150901342892983E-3</v>
      </c>
      <c r="D6" s="31">
        <f t="shared" ref="D6:D48" si="0">(C6*$C$3)*B6/$B$3</f>
        <v>88385.106262069356</v>
      </c>
      <c r="E6" s="185"/>
      <c r="F6" s="36">
        <v>9.3150901342892983E-3</v>
      </c>
      <c r="G6" s="69">
        <f t="shared" ref="G6:G48" si="1">F6*($C$3/$B$3*B6)</f>
        <v>88385.106262069356</v>
      </c>
      <c r="I6" s="150">
        <v>96629.992197816246</v>
      </c>
      <c r="K6" s="139">
        <v>5668.85</v>
      </c>
      <c r="L6" s="206">
        <v>46156</v>
      </c>
      <c r="M6" s="139" t="s">
        <v>201</v>
      </c>
    </row>
    <row r="7" spans="1:13" ht="16.2">
      <c r="A7" s="16">
        <v>45108</v>
      </c>
      <c r="B7" s="14">
        <f>VLOOKUP(A7,'INCC - M'!$E:$F,2,FALSE)</f>
        <v>1074.2919999999999</v>
      </c>
      <c r="C7" s="42">
        <v>9.1427032320046016E-3</v>
      </c>
      <c r="D7" s="31">
        <f>(C7*$C$3)*B7/$B$3</f>
        <v>87482.573213727592</v>
      </c>
      <c r="E7" s="186"/>
      <c r="F7" s="36">
        <v>9.1427032320046016E-3</v>
      </c>
      <c r="G7" s="69">
        <f t="shared" si="1"/>
        <v>87482.573213727592</v>
      </c>
      <c r="I7" s="150">
        <v>80899.092604098594</v>
      </c>
      <c r="K7" s="139"/>
      <c r="L7" s="206"/>
      <c r="M7" s="139"/>
    </row>
    <row r="8" spans="1:13">
      <c r="A8" s="16">
        <v>45139</v>
      </c>
      <c r="B8" s="14">
        <f>VLOOKUP(A8,'INCC - M'!$E:$F,2,FALSE)</f>
        <v>1074.895</v>
      </c>
      <c r="C8" s="42">
        <v>1.2304596890399028E-2</v>
      </c>
      <c r="D8" s="31">
        <f t="shared" si="0"/>
        <v>117803.45215580102</v>
      </c>
      <c r="F8" s="36">
        <v>1.2304596890399028E-2</v>
      </c>
      <c r="G8" s="69">
        <f t="shared" si="1"/>
        <v>117803.45215580102</v>
      </c>
      <c r="I8" s="150">
        <v>80944.501257276948</v>
      </c>
      <c r="K8" s="139"/>
      <c r="L8" s="206"/>
      <c r="M8" s="139"/>
    </row>
    <row r="9" spans="1:13">
      <c r="A9" s="16">
        <v>45170</v>
      </c>
      <c r="B9" s="14">
        <f>VLOOKUP(A9,'INCC - M'!$E:$F,2,FALSE)</f>
        <v>1077.4970000000001</v>
      </c>
      <c r="C9" s="42">
        <v>1.2658837175830918E-2</v>
      </c>
      <c r="D9" s="31">
        <f t="shared" si="0"/>
        <v>121488.30356067346</v>
      </c>
      <c r="F9" s="36">
        <v>1.2658837175830918E-2</v>
      </c>
      <c r="G9" s="69">
        <f t="shared" si="1"/>
        <v>121488.30356067348</v>
      </c>
      <c r="I9" s="150">
        <v>81140.443737492635</v>
      </c>
      <c r="K9" s="139"/>
      <c r="L9" s="206"/>
      <c r="M9" s="139"/>
    </row>
    <row r="10" spans="1:13">
      <c r="A10" s="16">
        <v>45200</v>
      </c>
      <c r="B10" s="14">
        <f>VLOOKUP(A10,'INCC - M'!$E:$F,2,FALSE)</f>
        <v>1080.0709999999999</v>
      </c>
      <c r="C10" s="42">
        <v>1.4858479454555939E-2</v>
      </c>
      <c r="D10" s="31">
        <f t="shared" si="0"/>
        <v>142939.17057749923</v>
      </c>
      <c r="F10" s="36">
        <v>1.4858479454555939E-2</v>
      </c>
      <c r="G10" s="69">
        <f t="shared" si="1"/>
        <v>142939.17057749923</v>
      </c>
      <c r="I10" s="150">
        <v>81334.277689865863</v>
      </c>
      <c r="K10" s="139"/>
      <c r="L10" s="206"/>
      <c r="M10" s="139"/>
    </row>
    <row r="11" spans="1:13">
      <c r="A11" s="16">
        <v>45231</v>
      </c>
      <c r="B11" s="14">
        <f>VLOOKUP(A11,'INCC - M'!$E:$F,2,FALSE)</f>
        <v>1082.251</v>
      </c>
      <c r="C11" s="42">
        <v>1.1469742960953882E-2</v>
      </c>
      <c r="D11" s="31">
        <f t="shared" si="0"/>
        <v>110562.09653264639</v>
      </c>
      <c r="F11" s="36">
        <v>1.1469742960953882E-2</v>
      </c>
      <c r="G11" s="69">
        <f t="shared" si="1"/>
        <v>110562.09653264639</v>
      </c>
      <c r="I11" s="150">
        <v>79646.204333237984</v>
      </c>
      <c r="K11" s="139"/>
      <c r="L11" s="206"/>
      <c r="M11" s="139"/>
    </row>
    <row r="12" spans="1:13">
      <c r="A12" s="16">
        <v>45261</v>
      </c>
      <c r="B12" s="14">
        <f>VLOOKUP(A12,'INCC - M'!$E:$F,2,FALSE)</f>
        <v>1083.335</v>
      </c>
      <c r="C12" s="42">
        <v>1.1616776289313218E-2</v>
      </c>
      <c r="D12" s="31">
        <f t="shared" si="0"/>
        <v>112091.57839573589</v>
      </c>
      <c r="F12" s="36">
        <v>1.1616776289313218E-2</v>
      </c>
      <c r="G12" s="69">
        <f t="shared" si="1"/>
        <v>112091.57839573589</v>
      </c>
      <c r="I12" s="150">
        <v>186336.30034455773</v>
      </c>
      <c r="K12" s="139"/>
      <c r="L12" s="206"/>
      <c r="M12" s="139"/>
    </row>
    <row r="13" spans="1:13">
      <c r="A13" s="16">
        <v>45292</v>
      </c>
      <c r="B13" s="14">
        <f>VLOOKUP(A13,'INCC - M'!$E:$F,2,FALSE)</f>
        <v>1086.1500000000001</v>
      </c>
      <c r="C13" s="42">
        <v>2.6287542599686586E-2</v>
      </c>
      <c r="D13" s="31">
        <f t="shared" si="0"/>
        <v>254310.55183549039</v>
      </c>
      <c r="E13" s="69"/>
      <c r="F13" s="36">
        <v>2.6287542599686586E-2</v>
      </c>
      <c r="G13" s="69">
        <f t="shared" si="1"/>
        <v>254310.55183549039</v>
      </c>
      <c r="I13" s="150">
        <v>240728.88663240641</v>
      </c>
      <c r="K13" s="139"/>
      <c r="L13" s="206"/>
      <c r="M13" s="139"/>
    </row>
    <row r="14" spans="1:13">
      <c r="A14" s="16">
        <v>45323</v>
      </c>
      <c r="B14" s="14">
        <f>VLOOKUP(A14,'INCC - M'!$E:$F,2,FALSE)</f>
        <v>1088.663</v>
      </c>
      <c r="C14" s="42">
        <v>2.4278093756159743E-2</v>
      </c>
      <c r="D14" s="31">
        <f t="shared" si="0"/>
        <v>235414.18690183171</v>
      </c>
      <c r="F14" s="36">
        <v>2.4278093756159743E-2</v>
      </c>
      <c r="G14" s="69">
        <f t="shared" si="1"/>
        <v>235414.18690183165</v>
      </c>
      <c r="I14" s="150">
        <v>220790.53183020689</v>
      </c>
      <c r="K14" s="139"/>
      <c r="L14" s="206"/>
      <c r="M14" s="139"/>
    </row>
    <row r="15" spans="1:13">
      <c r="A15" s="73">
        <v>45352</v>
      </c>
      <c r="B15" s="15">
        <f>VLOOKUP(A15,'INCC - M'!$E:$F,2,FALSE)</f>
        <v>1090.8710000000001</v>
      </c>
      <c r="C15" s="42">
        <v>2.2869583788795125E-2</v>
      </c>
      <c r="D15" s="31">
        <f t="shared" si="0"/>
        <v>222206.23535580264</v>
      </c>
      <c r="F15" s="36">
        <v>2.2869583788795125E-2</v>
      </c>
      <c r="G15" s="69">
        <f t="shared" si="1"/>
        <v>222206.23535580261</v>
      </c>
      <c r="I15" s="150">
        <v>196033.96670579311</v>
      </c>
      <c r="K15" s="139"/>
      <c r="L15" s="206"/>
      <c r="M15" s="139"/>
    </row>
    <row r="16" spans="1:13">
      <c r="A16" s="16">
        <v>45383</v>
      </c>
      <c r="B16" s="14">
        <f>VLOOKUP(A16,'INCC - M'!$E:$F,2,FALSE)</f>
        <v>1093.5029999999999</v>
      </c>
      <c r="C16" s="42">
        <v>3.5019255544291687E-2</v>
      </c>
      <c r="D16" s="31">
        <f t="shared" si="0"/>
        <v>341076.24455842137</v>
      </c>
      <c r="F16" s="36">
        <v>3.5019255544291687E-2</v>
      </c>
      <c r="G16" s="69">
        <f t="shared" si="1"/>
        <v>341076.24455842131</v>
      </c>
      <c r="I16" s="150">
        <v>208671.66365624877</v>
      </c>
      <c r="K16" s="139"/>
      <c r="L16" s="206"/>
      <c r="M16" s="139"/>
    </row>
    <row r="17" spans="1:13">
      <c r="A17" s="16">
        <v>45413</v>
      </c>
      <c r="B17" s="14">
        <f>VLOOKUP(A17,'INCC - M'!$E:$F,2,FALSE)</f>
        <v>1097.991</v>
      </c>
      <c r="C17" s="42">
        <v>4.4570825154019771E-2</v>
      </c>
      <c r="D17" s="31">
        <f t="shared" si="0"/>
        <v>435887.12269268546</v>
      </c>
      <c r="E17" s="187"/>
      <c r="F17" s="36">
        <v>4.4570825154019771E-2</v>
      </c>
      <c r="G17" s="69">
        <f t="shared" si="1"/>
        <v>435887.12269268552</v>
      </c>
      <c r="I17" s="150">
        <v>202950.98715852812</v>
      </c>
      <c r="K17" s="139"/>
      <c r="L17" s="206"/>
      <c r="M17" s="139"/>
    </row>
    <row r="18" spans="1:13">
      <c r="A18" s="16">
        <v>45444</v>
      </c>
      <c r="B18" s="14">
        <f>VLOOKUP(A18,'INCC - M'!$E:$F,2,FALSE)</f>
        <v>1104.4570000000001</v>
      </c>
      <c r="C18" s="42">
        <v>2.8628015895706866E-2</v>
      </c>
      <c r="D18" s="31">
        <f t="shared" si="0"/>
        <v>281620.74692882039</v>
      </c>
      <c r="E18" s="13"/>
      <c r="F18" s="36">
        <v>2.8628015895706866E-2</v>
      </c>
      <c r="G18" s="69">
        <f>F18*($C$3/$B$3*B18)</f>
        <v>281620.74692882033</v>
      </c>
      <c r="I18" s="150">
        <v>221278.37136071009</v>
      </c>
      <c r="K18" s="139"/>
      <c r="L18" s="206"/>
      <c r="M18" s="139"/>
    </row>
    <row r="19" spans="1:13">
      <c r="A19" s="16">
        <v>45474</v>
      </c>
      <c r="B19" s="14">
        <f>VLOOKUP(A19,'INCC - M'!$E:$F,2,FALSE)</f>
        <v>1114.748</v>
      </c>
      <c r="C19" s="42">
        <v>3.8359449283505549E-2</v>
      </c>
      <c r="D19" s="31">
        <f t="shared" si="0"/>
        <v>380867.26702702284</v>
      </c>
      <c r="F19" s="36">
        <v>3.8359449283505549E-2</v>
      </c>
      <c r="G19" s="69">
        <f t="shared" si="1"/>
        <v>380867.2670270229</v>
      </c>
      <c r="H19" s="36"/>
      <c r="I19" s="150">
        <v>365921.30992483516</v>
      </c>
      <c r="J19" s="36"/>
      <c r="K19" s="139"/>
      <c r="L19" s="206"/>
      <c r="M19" s="139"/>
    </row>
    <row r="20" spans="1:13">
      <c r="A20" s="16">
        <v>45505</v>
      </c>
      <c r="B20" s="14">
        <f>VLOOKUP(A20,'INCC - M'!$E:$F,2,FALSE)</f>
        <v>1122.452</v>
      </c>
      <c r="C20" s="42">
        <v>4.6803544561982401E-2</v>
      </c>
      <c r="D20" s="31">
        <f t="shared" si="0"/>
        <v>467919.45982970035</v>
      </c>
      <c r="F20" s="36">
        <v>4.6803544561982401E-2</v>
      </c>
      <c r="G20" s="69">
        <f t="shared" si="1"/>
        <v>467919.45982970041</v>
      </c>
      <c r="H20" s="36"/>
      <c r="I20" s="150">
        <v>449557.40884935879</v>
      </c>
      <c r="J20" s="36"/>
      <c r="K20" s="139"/>
      <c r="L20" s="206"/>
      <c r="M20" s="139"/>
    </row>
    <row r="21" spans="1:13">
      <c r="A21" s="16">
        <v>45536</v>
      </c>
      <c r="B21" s="14">
        <f>VLOOKUP(A21,'INCC - M'!$E:$F,2,FALSE)</f>
        <v>1129.6389999999999</v>
      </c>
      <c r="C21" s="42">
        <v>4.258548089973091E-2</v>
      </c>
      <c r="D21" s="31">
        <f>(C21*$C$3)*B21/$B$3</f>
        <v>428475.32596229058</v>
      </c>
      <c r="F21" s="36">
        <v>4.258548089973091E-2</v>
      </c>
      <c r="G21" s="69">
        <f t="shared" si="1"/>
        <v>428475.32596229063</v>
      </c>
      <c r="H21" s="36"/>
      <c r="I21" s="150">
        <v>411661.13793514267</v>
      </c>
      <c r="J21" s="36"/>
      <c r="K21" s="139"/>
      <c r="L21" s="206"/>
      <c r="M21" s="139"/>
    </row>
    <row r="22" spans="1:13">
      <c r="A22" s="16">
        <v>45566</v>
      </c>
      <c r="B22" s="14">
        <f>VLOOKUP(A22,'INCC - M'!$E:$F,2,FALSE)</f>
        <v>1136.521</v>
      </c>
      <c r="C22" s="42">
        <v>5.6026420793899925E-2</v>
      </c>
      <c r="D22" s="31">
        <f>(C22*$C$3)*B22/$B$3</f>
        <v>567146.07103714428</v>
      </c>
      <c r="E22" s="13"/>
      <c r="F22" s="36">
        <v>5.6026420793899925E-2</v>
      </c>
      <c r="G22" s="69">
        <f t="shared" si="1"/>
        <v>567146.07103714428</v>
      </c>
      <c r="H22" s="75"/>
      <c r="I22" s="150">
        <v>987706.93951372593</v>
      </c>
      <c r="J22" s="36"/>
      <c r="K22" s="139">
        <f>SUM(K4:K21)</f>
        <v>11759.82</v>
      </c>
      <c r="L22" s="206"/>
      <c r="M22" s="139"/>
    </row>
    <row r="23" spans="1:13">
      <c r="A23" s="16">
        <v>45597</v>
      </c>
      <c r="B23" s="14">
        <f>VLOOKUP(A23,'INCC - M'!$E:$F,2,FALSE)</f>
        <v>1144.136</v>
      </c>
      <c r="C23" s="42">
        <v>3.8731060918373389E-2</v>
      </c>
      <c r="D23" s="31">
        <f t="shared" si="0"/>
        <v>394695.00325203611</v>
      </c>
      <c r="E23" s="13"/>
      <c r="F23" s="36">
        <v>3.8731060918373389E-2</v>
      </c>
      <c r="G23" s="69">
        <f t="shared" si="1"/>
        <v>394695.00325203617</v>
      </c>
      <c r="H23" s="75"/>
      <c r="I23" s="150">
        <v>382231.54073795641</v>
      </c>
      <c r="J23" s="36"/>
      <c r="K23" s="87"/>
    </row>
    <row r="24" spans="1:13">
      <c r="A24" s="16">
        <v>45627</v>
      </c>
      <c r="B24" s="14">
        <f>VLOOKUP(A24,'INCC - M'!$E:$F,2,FALSE)</f>
        <v>1149.1579999999999</v>
      </c>
      <c r="C24" s="42">
        <v>2.7227771739891399E-2</v>
      </c>
      <c r="D24" s="31">
        <f t="shared" si="0"/>
        <v>278686.82008938392</v>
      </c>
      <c r="E24" s="144"/>
      <c r="F24" s="36">
        <v>2.7227771739891399E-2</v>
      </c>
      <c r="G24" s="69">
        <f t="shared" si="1"/>
        <v>278686.82008938387</v>
      </c>
      <c r="H24" s="75"/>
      <c r="I24" s="150">
        <v>295576.59389772697</v>
      </c>
      <c r="J24" s="36"/>
      <c r="K24" s="69"/>
    </row>
    <row r="25" spans="1:13">
      <c r="A25" s="16">
        <v>45658</v>
      </c>
      <c r="B25" s="14">
        <f>VLOOKUP(A25,'INCC - M'!$E:$F,2,FALSE)</f>
        <v>1154.99</v>
      </c>
      <c r="C25" s="155">
        <v>2.151477932083426E-2</v>
      </c>
      <c r="D25" s="31">
        <f t="shared" si="0"/>
        <v>221329.70449373868</v>
      </c>
      <c r="F25" s="36">
        <v>2.151477932083426E-2</v>
      </c>
      <c r="G25" s="69">
        <f t="shared" si="1"/>
        <v>221329.70449373868</v>
      </c>
      <c r="H25" s="75"/>
      <c r="I25" s="150">
        <v>214057.93408147432</v>
      </c>
      <c r="J25" s="151"/>
      <c r="K25" s="69"/>
    </row>
    <row r="26" spans="1:13">
      <c r="A26" s="16">
        <v>45689</v>
      </c>
      <c r="B26" s="14">
        <f>VLOOKUP(A26,'INCC - M'!$E:$F,2,FALSE)</f>
        <v>1163.221</v>
      </c>
      <c r="C26" s="155">
        <v>3.5731168222512752E-2</v>
      </c>
      <c r="D26" s="31">
        <f t="shared" si="0"/>
        <v>370197.97080046579</v>
      </c>
      <c r="F26" s="36">
        <v>3.5731168222512752E-2</v>
      </c>
      <c r="G26" s="69">
        <f t="shared" si="1"/>
        <v>370197.97080046573</v>
      </c>
      <c r="H26" s="75"/>
      <c r="I26" s="150">
        <v>358507.7003997569</v>
      </c>
      <c r="J26" s="151"/>
      <c r="K26" s="69"/>
    </row>
    <row r="27" spans="1:13">
      <c r="A27" s="16">
        <v>45717</v>
      </c>
      <c r="B27" s="14">
        <f>VLOOKUP(A27,'INCC - M'!$E:$F,2,FALSE)</f>
        <v>1169.1559999999999</v>
      </c>
      <c r="C27" s="155">
        <v>3.6477710534418797E-2</v>
      </c>
      <c r="D27" s="31">
        <f t="shared" si="0"/>
        <v>379860.9234775895</v>
      </c>
      <c r="F27" s="36">
        <v>3.6477710534418797E-2</v>
      </c>
      <c r="G27" s="69">
        <f t="shared" si="1"/>
        <v>379860.9234775895</v>
      </c>
      <c r="H27" s="75"/>
      <c r="I27" s="150">
        <v>367865.51221016981</v>
      </c>
      <c r="J27" s="36"/>
      <c r="K27" s="69"/>
    </row>
    <row r="28" spans="1:13">
      <c r="A28" s="16">
        <v>45748</v>
      </c>
      <c r="B28" s="14">
        <f>VLOOKUP(A28,'INCC - M'!$E:$F,2,FALSE)</f>
        <v>1173.586</v>
      </c>
      <c r="C28" s="42">
        <v>3.2651478719090847E-2</v>
      </c>
      <c r="D28" s="31">
        <f t="shared" si="0"/>
        <v>341304.77059187414</v>
      </c>
      <c r="F28" s="36">
        <v>3.2651478719090847E-2</v>
      </c>
      <c r="G28" s="69">
        <f t="shared" si="1"/>
        <v>341304.77059187414</v>
      </c>
      <c r="H28" s="75"/>
      <c r="I28" s="150">
        <v>330526.9020675178</v>
      </c>
      <c r="J28" s="36"/>
      <c r="K28" s="69"/>
    </row>
    <row r="29" spans="1:13">
      <c r="A29" s="16">
        <v>45778</v>
      </c>
      <c r="B29" s="14">
        <f>VLOOKUP(A29,'INCC - M'!$E:$F,2,FALSE)</f>
        <v>1180.5640000000001</v>
      </c>
      <c r="C29" s="42">
        <v>3.4539469678887685E-2</v>
      </c>
      <c r="D29" s="31">
        <f t="shared" si="0"/>
        <v>363186.57368064491</v>
      </c>
      <c r="F29" s="36">
        <v>3.4539469678887685E-2</v>
      </c>
      <c r="G29" s="69">
        <f t="shared" si="1"/>
        <v>363186.57368064497</v>
      </c>
      <c r="H29" s="75"/>
      <c r="I29" s="150">
        <v>351717.7121872846</v>
      </c>
      <c r="J29" s="36"/>
      <c r="K29" s="69"/>
    </row>
    <row r="30" spans="1:13">
      <c r="A30" s="16">
        <v>45809</v>
      </c>
      <c r="B30" s="14">
        <f>VLOOKUP(A30,'INCC - M'!$E:$F,2,FALSE)</f>
        <v>1183.606</v>
      </c>
      <c r="C30" s="42">
        <v>3.0976830669079591E-2</v>
      </c>
      <c r="D30" s="31">
        <f t="shared" si="0"/>
        <v>326564.31361249351</v>
      </c>
      <c r="F30" s="36">
        <v>3.0976830669079591E-2</v>
      </c>
      <c r="G30" s="69">
        <f t="shared" si="1"/>
        <v>326564.31361249351</v>
      </c>
      <c r="H30" s="75"/>
      <c r="I30" s="150">
        <v>316251.92556483019</v>
      </c>
      <c r="J30" s="36"/>
      <c r="K30" s="69"/>
    </row>
    <row r="31" spans="1:13">
      <c r="A31" s="16">
        <v>45839</v>
      </c>
      <c r="B31" s="14">
        <f>VLOOKUP(A31,'INCC - M'!$E:$F,2,FALSE)</f>
        <v>1194.912</v>
      </c>
      <c r="C31" s="42">
        <v>2.3330077525689108E-2</v>
      </c>
      <c r="D31" s="31">
        <f t="shared" si="0"/>
        <v>248299.98241102812</v>
      </c>
      <c r="F31" s="36">
        <v>2.3330077525689108E-2</v>
      </c>
      <c r="G31" s="69">
        <f t="shared" si="1"/>
        <v>248299.98241102812</v>
      </c>
      <c r="H31" s="75"/>
      <c r="I31" s="150">
        <v>240459.05900293961</v>
      </c>
      <c r="J31" s="36"/>
      <c r="K31" s="69"/>
    </row>
    <row r="32" spans="1:13">
      <c r="A32" s="16">
        <v>45870</v>
      </c>
      <c r="B32" s="14">
        <f>VLOOKUP(A32,'INCC - M'!$E:$F,2,FALSE)</f>
        <v>1205.838</v>
      </c>
      <c r="C32" s="42">
        <v>3.020708060609718E-2</v>
      </c>
      <c r="D32" s="31">
        <f t="shared" si="0"/>
        <v>324430.96963588044</v>
      </c>
      <c r="F32" s="36">
        <v>3.020708060609718E-2</v>
      </c>
      <c r="G32" s="69">
        <f t="shared" si="1"/>
        <v>324430.96963588044</v>
      </c>
      <c r="H32" s="75"/>
      <c r="I32" s="150">
        <v>314082.42503469996</v>
      </c>
      <c r="J32" s="36"/>
      <c r="K32" s="69"/>
    </row>
    <row r="33" spans="1:14">
      <c r="A33" s="16">
        <v>45901</v>
      </c>
      <c r="B33" s="14">
        <f>VLOOKUP(A33,'INCC - M'!$E:$F,2,FALSE)</f>
        <v>1214.239</v>
      </c>
      <c r="C33" s="42">
        <v>4.1989092602598838E-2</v>
      </c>
      <c r="D33" s="31">
        <f t="shared" si="0"/>
        <v>454114.37692737515</v>
      </c>
      <c r="F33" s="36">
        <v>4.1989092602598838E-2</v>
      </c>
      <c r="G33" s="69">
        <f t="shared" si="1"/>
        <v>454114.37692737515</v>
      </c>
      <c r="H33" s="75"/>
      <c r="I33" s="150">
        <v>330313.62750834902</v>
      </c>
      <c r="J33" s="36"/>
      <c r="K33" s="69"/>
    </row>
    <row r="34" spans="1:14">
      <c r="A34" s="16">
        <v>45931</v>
      </c>
      <c r="B34" s="14">
        <f>VLOOKUP(A34,'INCC - M'!$E:$F,2,FALSE)</f>
        <v>1216.825</v>
      </c>
      <c r="C34" s="42">
        <v>4.658823033160335E-2</v>
      </c>
      <c r="D34" s="31">
        <f t="shared" si="0"/>
        <v>504927.38094439707</v>
      </c>
      <c r="F34" s="36">
        <v>4.658823033160335E-2</v>
      </c>
      <c r="G34" s="69">
        <f t="shared" si="1"/>
        <v>504927.38094439707</v>
      </c>
      <c r="H34" s="75"/>
      <c r="I34" s="150">
        <v>598546.62234422565</v>
      </c>
      <c r="J34" s="36"/>
      <c r="K34" s="69"/>
    </row>
    <row r="35" spans="1:14">
      <c r="A35" s="16">
        <v>45962</v>
      </c>
      <c r="B35" s="14">
        <f>VLOOKUP(A35,'INCC - M'!$E:$F,2,FALSE)</f>
        <v>1219.4069999999999</v>
      </c>
      <c r="C35" s="42">
        <v>2.4597903095709698E-2</v>
      </c>
      <c r="D35" s="31">
        <f t="shared" si="0"/>
        <v>267159.95046295831</v>
      </c>
      <c r="F35" s="36">
        <v>2.4597903095709698E-2</v>
      </c>
      <c r="G35" s="69">
        <f t="shared" si="1"/>
        <v>267159.95046295837</v>
      </c>
      <c r="H35" s="75"/>
      <c r="I35" s="150">
        <v>559142.20127239637</v>
      </c>
      <c r="J35" s="36"/>
      <c r="K35" s="36"/>
      <c r="L35" s="36"/>
      <c r="M35" s="36"/>
      <c r="N35" s="87"/>
    </row>
    <row r="36" spans="1:14">
      <c r="A36" s="16">
        <v>45992</v>
      </c>
      <c r="B36" s="14">
        <f>VLOOKUP(A36,'INCC - M'!$E:$F,2,FALSE)</f>
        <v>1222.865</v>
      </c>
      <c r="C36" s="42">
        <v>1.9619587466960242E-2</v>
      </c>
      <c r="D36" s="31">
        <f t="shared" si="0"/>
        <v>213694.3160602361</v>
      </c>
      <c r="F36" s="36">
        <v>1.9619587466960249E-2</v>
      </c>
      <c r="G36" s="69">
        <f t="shared" si="1"/>
        <v>213694.31606023616</v>
      </c>
      <c r="H36" s="75"/>
      <c r="I36" s="150">
        <v>214115.41300491616</v>
      </c>
      <c r="K36" s="69"/>
    </row>
    <row r="37" spans="1:14">
      <c r="A37" s="16">
        <v>46023</v>
      </c>
      <c r="B37" s="14">
        <f>VLOOKUP(A37,'INCC - M'!$E:$F,2,FALSE)</f>
        <v>1225.3979999999999</v>
      </c>
      <c r="C37" s="42">
        <v>1.763580327632619E-2</v>
      </c>
      <c r="D37" s="31">
        <f t="shared" si="0"/>
        <v>192485.04686672095</v>
      </c>
      <c r="F37" s="36">
        <v>1.8538280002422823E-2</v>
      </c>
      <c r="G37" s="69">
        <f t="shared" si="1"/>
        <v>202335.08160554248</v>
      </c>
      <c r="H37" s="75"/>
      <c r="I37" s="150">
        <v>162596.681908397</v>
      </c>
      <c r="K37" s="69"/>
    </row>
    <row r="38" spans="1:14">
      <c r="A38" s="16">
        <v>46054</v>
      </c>
      <c r="B38" s="14">
        <f>VLOOKUP(A38,'INCC - M'!$E:$F,2,FALSE)</f>
        <v>1233.096</v>
      </c>
      <c r="C38" s="42">
        <v>1.9734130000000016E-2</v>
      </c>
      <c r="D38" s="31">
        <f t="shared" si="0"/>
        <v>216740.19413535815</v>
      </c>
      <c r="F38" s="36">
        <v>1.6712914945912909E-2</v>
      </c>
      <c r="G38" s="69">
        <f t="shared" si="1"/>
        <v>183558.15178803878</v>
      </c>
      <c r="H38" s="75"/>
      <c r="I38" s="150">
        <v>216466.47548598636</v>
      </c>
    </row>
    <row r="39" spans="1:14">
      <c r="A39" s="16">
        <v>46082</v>
      </c>
      <c r="B39" s="14">
        <f>VLOOKUP(A39,'INCC - M'!$E:$F,2,FALSE)</f>
        <v>1237.3119999999999</v>
      </c>
      <c r="C39" s="42">
        <v>1.419351999999996E-2</v>
      </c>
      <c r="D39" s="31">
        <f t="shared" si="0"/>
        <v>156420.5912874132</v>
      </c>
      <c r="F39" s="36">
        <v>1.393888503530474E-2</v>
      </c>
      <c r="G39" s="69">
        <f t="shared" si="1"/>
        <v>153614.37043873887</v>
      </c>
      <c r="H39" s="75"/>
      <c r="I39" s="150">
        <v>162590.13531371392</v>
      </c>
    </row>
    <row r="40" spans="1:14">
      <c r="A40" s="16">
        <v>46113</v>
      </c>
      <c r="B40" s="14">
        <f>VLOOKUP(A40,'INCC - M'!$E:$F,2,FALSE)</f>
        <v>1241.721</v>
      </c>
      <c r="C40" s="42">
        <v>1.0919999999999999E-2</v>
      </c>
      <c r="D40" s="31">
        <f t="shared" si="0"/>
        <v>120773.38773836807</v>
      </c>
      <c r="F40" s="36">
        <v>1.3980000000000001E-2</v>
      </c>
      <c r="G40" s="69">
        <f t="shared" si="1"/>
        <v>154616.4799068119</v>
      </c>
      <c r="H40" s="75"/>
      <c r="I40" s="150">
        <v>120699.86351087503</v>
      </c>
    </row>
    <row r="41" spans="1:14">
      <c r="A41" s="16">
        <v>46143</v>
      </c>
      <c r="B41" s="14">
        <f>VLOOKUP(A41,'INCC - M'!$E:$F,2,FALSE)</f>
        <v>1254.655</v>
      </c>
      <c r="C41" s="42">
        <v>4.675180000000001E-3</v>
      </c>
      <c r="D41" s="31">
        <f t="shared" si="0"/>
        <v>52245.301805628726</v>
      </c>
      <c r="F41" s="36">
        <v>8.8000000000000005E-3</v>
      </c>
      <c r="G41" s="69">
        <f t="shared" si="1"/>
        <v>98340.311151556234</v>
      </c>
      <c r="H41" s="75"/>
      <c r="I41" s="150">
        <v>58244.656252510846</v>
      </c>
    </row>
    <row r="42" spans="1:14">
      <c r="A42" s="23">
        <f>EDATE(A41,1)</f>
        <v>46174</v>
      </c>
      <c r="B42" s="24">
        <f>VLOOKUP(A42,'INCC - M'!$E:$F,2,FALSE)</f>
        <v>1264.3530000000001</v>
      </c>
      <c r="C42" s="161">
        <v>6.1665899999999718E-3</v>
      </c>
      <c r="D42" s="25">
        <f t="shared" si="0"/>
        <v>69444.523439874989</v>
      </c>
      <c r="F42" s="36">
        <v>7.7279999999999996E-3</v>
      </c>
      <c r="G42" s="69">
        <f t="shared" si="1"/>
        <v>87028.20799556261</v>
      </c>
      <c r="H42" s="75"/>
      <c r="I42" s="150">
        <v>69444.523439874873</v>
      </c>
    </row>
    <row r="43" spans="1:14">
      <c r="A43" s="16">
        <f t="shared" ref="A43:A48" si="2">EDATE(A42,1)</f>
        <v>46204</v>
      </c>
      <c r="B43" s="14">
        <f>VLOOKUP(A43,'INCC - M'!$E:$F,2,FALSE)</f>
        <v>1264.3530000000001</v>
      </c>
      <c r="C43" s="18"/>
      <c r="D43" s="31">
        <f t="shared" si="0"/>
        <v>0</v>
      </c>
      <c r="F43" s="36">
        <v>6.2579999999999997E-3</v>
      </c>
      <c r="G43" s="69">
        <f t="shared" si="1"/>
        <v>70473.929300754506</v>
      </c>
      <c r="H43" s="75">
        <f>(F43*$G$1/(SUM($F$43:$F$48)))</f>
        <v>92412.320823437185</v>
      </c>
    </row>
    <row r="44" spans="1:14">
      <c r="A44" s="16">
        <f t="shared" si="2"/>
        <v>46235</v>
      </c>
      <c r="B44" s="14">
        <f>VLOOKUP(A44,'INCC - M'!$E:$F,2,FALSE)</f>
        <v>1264.3530000000001</v>
      </c>
      <c r="C44" s="18"/>
      <c r="D44" s="31">
        <f t="shared" si="0"/>
        <v>0</v>
      </c>
      <c r="F44" s="36">
        <v>5.208E-3</v>
      </c>
      <c r="G44" s="69">
        <f t="shared" si="1"/>
        <v>58649.444518748714</v>
      </c>
      <c r="H44" s="75">
        <f t="shared" ref="H44:H48" si="3">(F44*$G$1/(SUM($F$43:$F$48)))</f>
        <v>76906.897866484636</v>
      </c>
    </row>
    <row r="45" spans="1:14">
      <c r="A45" s="16">
        <f t="shared" si="2"/>
        <v>46266</v>
      </c>
      <c r="B45" s="14">
        <f>VLOOKUP(A45,'INCC - M'!$E:$F,2,FALSE)</f>
        <v>1264.3530000000001</v>
      </c>
      <c r="C45" s="18"/>
      <c r="D45" s="31">
        <f t="shared" si="0"/>
        <v>0</v>
      </c>
      <c r="F45" s="36">
        <v>4.1369999999999992E-3</v>
      </c>
      <c r="G45" s="69">
        <f t="shared" si="1"/>
        <v>46588.470041102802</v>
      </c>
      <c r="H45" s="75">
        <f t="shared" si="3"/>
        <v>61091.366450393034</v>
      </c>
    </row>
    <row r="46" spans="1:14">
      <c r="A46" s="16">
        <f t="shared" si="2"/>
        <v>46296</v>
      </c>
      <c r="B46" s="14">
        <f>VLOOKUP(A46,'INCC - M'!$E:$F,2,FALSE)</f>
        <v>1264.3530000000001</v>
      </c>
      <c r="C46" s="18"/>
      <c r="D46" s="31">
        <f t="shared" si="0"/>
        <v>0</v>
      </c>
      <c r="F46" s="36">
        <v>2.2469999999999999E-3</v>
      </c>
      <c r="G46" s="69">
        <f t="shared" si="1"/>
        <v>25304.397433492388</v>
      </c>
      <c r="H46" s="75">
        <f t="shared" si="3"/>
        <v>33181.605127878458</v>
      </c>
    </row>
    <row r="47" spans="1:14">
      <c r="A47" s="16">
        <f t="shared" si="2"/>
        <v>46327</v>
      </c>
      <c r="B47" s="14">
        <f>VLOOKUP(A47,'INCC - M'!$E:$F,2,FALSE)</f>
        <v>1264.3530000000001</v>
      </c>
      <c r="C47" s="18"/>
      <c r="D47" s="31">
        <f t="shared" si="0"/>
        <v>0</v>
      </c>
      <c r="F47" s="36">
        <v>2E-3</v>
      </c>
      <c r="G47" s="69">
        <f t="shared" si="1"/>
        <v>22522.828156201504</v>
      </c>
      <c r="H47" s="75">
        <f t="shared" si="3"/>
        <v>29534.138965623901</v>
      </c>
    </row>
    <row r="48" spans="1:14">
      <c r="A48" s="16">
        <f t="shared" si="2"/>
        <v>46357</v>
      </c>
      <c r="B48" s="14">
        <f>VLOOKUP(A48,'INCC - M'!$E:$F,2,FALSE)</f>
        <v>1264.3530000000001</v>
      </c>
      <c r="C48" s="18"/>
      <c r="D48" s="31">
        <f t="shared" si="0"/>
        <v>0</v>
      </c>
      <c r="F48" s="36">
        <v>5.1239999999999999E-4</v>
      </c>
      <c r="G48" s="69">
        <f t="shared" si="1"/>
        <v>5770.348573618825</v>
      </c>
      <c r="H48" s="75">
        <f t="shared" si="3"/>
        <v>7566.6464029928438</v>
      </c>
    </row>
    <row r="49" spans="3:3">
      <c r="C49" s="87">
        <f>SUM(C5:C48)</f>
        <v>0.97321067999999999</v>
      </c>
    </row>
    <row r="50" spans="3:3">
      <c r="C50" s="197">
        <v>0.97321067999999999</v>
      </c>
    </row>
    <row r="51" spans="3:3">
      <c r="C51" s="87">
        <f>C50-C49</f>
        <v>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4FFE-E370-4E41-81D3-E7BC70A0C181}">
  <sheetPr>
    <tabColor theme="9" tint="0.39997558519241921"/>
  </sheetPr>
  <dimension ref="A1:N50"/>
  <sheetViews>
    <sheetView workbookViewId="0">
      <pane ySplit="4" topLeftCell="A26" activePane="bottomLeft" state="frozen"/>
      <selection activeCell="J58" sqref="J58"/>
      <selection pane="bottomLeft" activeCell="H31" sqref="H31:H45"/>
    </sheetView>
  </sheetViews>
  <sheetFormatPr defaultRowHeight="14.4"/>
  <cols>
    <col min="1" max="1" width="9.5546875" bestFit="1" customWidth="1"/>
    <col min="2" max="2" width="12.33203125" bestFit="1" customWidth="1"/>
    <col min="3" max="3" width="14.44140625" bestFit="1" customWidth="1"/>
    <col min="4" max="4" width="18.6640625" bestFit="1" customWidth="1"/>
    <col min="5" max="5" width="22.33203125" customWidth="1"/>
    <col min="6" max="6" width="18.44140625" bestFit="1" customWidth="1"/>
    <col min="7" max="7" width="18.5546875" bestFit="1" customWidth="1"/>
    <col min="8" max="8" width="15.88671875" customWidth="1"/>
    <col min="9" max="9" width="15.88671875" bestFit="1" customWidth="1"/>
    <col min="10" max="10" width="14" bestFit="1" customWidth="1"/>
    <col min="11" max="11" width="22.6640625" customWidth="1"/>
    <col min="12" max="13" width="11.5546875" bestFit="1" customWidth="1"/>
    <col min="14" max="14" width="12.5546875" customWidth="1"/>
  </cols>
  <sheetData>
    <row r="1" spans="1:14">
      <c r="A1" s="216" t="s">
        <v>100</v>
      </c>
      <c r="B1" s="216"/>
      <c r="C1" s="216"/>
      <c r="D1" s="216"/>
      <c r="F1" t="s">
        <v>152</v>
      </c>
      <c r="G1" s="69">
        <f>G3-D3</f>
        <v>3639935.0834761253</v>
      </c>
      <c r="H1" s="69">
        <f>G3-I3</f>
        <v>3639935.0834761253</v>
      </c>
    </row>
    <row r="2" spans="1:14">
      <c r="A2" s="19" t="s">
        <v>1</v>
      </c>
      <c r="B2" s="19" t="s">
        <v>0</v>
      </c>
      <c r="C2" s="19" t="s">
        <v>23</v>
      </c>
      <c r="D2" s="19" t="s">
        <v>3</v>
      </c>
      <c r="G2" s="19" t="s">
        <v>127</v>
      </c>
      <c r="I2" s="19" t="s">
        <v>72</v>
      </c>
    </row>
    <row r="3" spans="1:14">
      <c r="A3" s="20">
        <v>45170</v>
      </c>
      <c r="B3" s="140">
        <f>VLOOKUP(A3,'INCC - DI'!$E:$F,2,FALSE)</f>
        <v>1078.412</v>
      </c>
      <c r="C3" s="37">
        <v>5245908.3291920014</v>
      </c>
      <c r="D3" s="22">
        <f>SUM(D5:D45)</f>
        <v>2395147.0913724946</v>
      </c>
      <c r="E3" s="69"/>
      <c r="G3" s="22">
        <f>SUM(G5:G45)</f>
        <v>6035082.1748486198</v>
      </c>
      <c r="I3" s="142">
        <f>SUM(I5:I45)</f>
        <v>2395147.0913724946</v>
      </c>
      <c r="J3" s="69">
        <f>D3-I3</f>
        <v>0</v>
      </c>
    </row>
    <row r="4" spans="1:14">
      <c r="A4" s="19" t="s">
        <v>5</v>
      </c>
      <c r="B4" s="19" t="s">
        <v>128</v>
      </c>
      <c r="C4" s="19" t="s">
        <v>24</v>
      </c>
      <c r="D4" s="19" t="s">
        <v>3</v>
      </c>
      <c r="F4" s="19" t="s">
        <v>125</v>
      </c>
      <c r="G4" s="19" t="s">
        <v>124</v>
      </c>
      <c r="I4" s="19" t="s">
        <v>72</v>
      </c>
    </row>
    <row r="5" spans="1:14">
      <c r="A5" s="16">
        <v>45413</v>
      </c>
      <c r="B5" s="14">
        <f>VLOOKUP(A5,'INCC - DI'!$E:$F,2,FALSE)</f>
        <v>1101.3889999999999</v>
      </c>
      <c r="C5" s="147">
        <v>1.1376964365536322E-2</v>
      </c>
      <c r="D5" s="17">
        <f>(C5*$C$3)*B5/$B$3</f>
        <v>60954.127316869126</v>
      </c>
      <c r="F5" s="36">
        <v>1.1200000000000002E-2</v>
      </c>
      <c r="G5" s="69">
        <f>F5*($C$3/$B$3*B5)</f>
        <v>60006.00898575037</v>
      </c>
      <c r="I5" s="150">
        <v>40749.620000000003</v>
      </c>
    </row>
    <row r="6" spans="1:14">
      <c r="A6" s="16">
        <v>45444</v>
      </c>
      <c r="B6" s="14">
        <f>VLOOKUP(A6,'INCC - DI'!$E:$F,2,FALSE)</f>
        <v>1110.8869999999999</v>
      </c>
      <c r="C6" s="147">
        <v>2.0986748038404154E-2</v>
      </c>
      <c r="D6" s="17">
        <f t="shared" ref="D6:D45" si="0">(C6*$C$3)*B6/$B$3</f>
        <v>113409.91328536261</v>
      </c>
      <c r="E6" s="118"/>
      <c r="F6" s="36">
        <v>1.0999999999999999E-2</v>
      </c>
      <c r="G6" s="69">
        <f t="shared" ref="G6:G45" si="1">F6*($C$3/$B$3*B6)</f>
        <v>59442.703741243837</v>
      </c>
      <c r="I6" s="150">
        <v>60954.13</v>
      </c>
    </row>
    <row r="7" spans="1:14">
      <c r="A7" s="16">
        <v>45474</v>
      </c>
      <c r="B7" s="14">
        <f>VLOOKUP(A7,'INCC - DI'!$E:$F,2,FALSE)</f>
        <v>1118.827</v>
      </c>
      <c r="C7" s="147">
        <v>2.054512111641045E-2</v>
      </c>
      <c r="D7" s="17">
        <f t="shared" si="0"/>
        <v>111816.9468091077</v>
      </c>
      <c r="F7" s="36">
        <v>3.2600000000000004E-2</v>
      </c>
      <c r="G7" s="69">
        <f t="shared" si="1"/>
        <v>177425.69855503438</v>
      </c>
      <c r="H7" s="87"/>
      <c r="I7" s="150">
        <v>111023.41</v>
      </c>
      <c r="L7" s="75"/>
      <c r="M7" s="75"/>
      <c r="N7" s="75"/>
    </row>
    <row r="8" spans="1:14">
      <c r="A8" s="16">
        <v>45505</v>
      </c>
      <c r="B8" s="14">
        <f>VLOOKUP(A8,'INCC - DI'!$E:$F,2,FALSE)</f>
        <v>1126.9159999999999</v>
      </c>
      <c r="C8" s="147">
        <v>1.785707345793008E-2</v>
      </c>
      <c r="D8" s="17">
        <f t="shared" si="0"/>
        <v>97889.884381206561</v>
      </c>
      <c r="F8" s="36">
        <v>2.3099999999999996E-2</v>
      </c>
      <c r="G8" s="69">
        <f t="shared" si="1"/>
        <v>126630.84656806843</v>
      </c>
      <c r="H8" s="87"/>
      <c r="I8" s="150">
        <v>97187.23</v>
      </c>
      <c r="K8" s="67"/>
      <c r="L8" s="75"/>
      <c r="M8" s="75"/>
      <c r="N8" s="75"/>
    </row>
    <row r="9" spans="1:14">
      <c r="A9" s="16">
        <v>45536</v>
      </c>
      <c r="B9" s="14">
        <f>VLOOKUP(A9,'INCC - DI'!$E:$F,2,FALSE)</f>
        <v>1134.7750000000001</v>
      </c>
      <c r="C9" s="147">
        <v>9.1972731643226793E-3</v>
      </c>
      <c r="D9" s="17">
        <f t="shared" si="0"/>
        <v>50769.727240799235</v>
      </c>
      <c r="F9" s="36">
        <v>1.1599999999999999E-2</v>
      </c>
      <c r="G9" s="69">
        <f t="shared" si="1"/>
        <v>64032.982979976761</v>
      </c>
      <c r="H9" s="87"/>
      <c r="I9" s="150">
        <v>50771.049361899015</v>
      </c>
      <c r="K9" s="68"/>
      <c r="L9" s="75"/>
      <c r="M9" s="75"/>
      <c r="N9" s="75"/>
    </row>
    <row r="10" spans="1:14">
      <c r="A10" s="16">
        <v>45566</v>
      </c>
      <c r="B10" s="14">
        <f>VLOOKUP(A10,'INCC - DI'!$E:$F,2,FALSE)</f>
        <v>1141.3979999999999</v>
      </c>
      <c r="C10" s="148">
        <v>1.0291113301494535E-2</v>
      </c>
      <c r="D10" s="17">
        <f>(C10*$C$3)*B10/$B$3</f>
        <v>57139.370595068853</v>
      </c>
      <c r="E10" s="158"/>
      <c r="F10" s="36">
        <v>8.199999999999999E-3</v>
      </c>
      <c r="G10" s="69">
        <f t="shared" si="1"/>
        <v>45528.877697957127</v>
      </c>
      <c r="H10" s="87"/>
      <c r="I10" s="150">
        <v>93646.550595068853</v>
      </c>
      <c r="K10" s="157"/>
      <c r="L10" s="75"/>
      <c r="M10" s="75"/>
      <c r="N10" s="75"/>
    </row>
    <row r="11" spans="1:14">
      <c r="A11" s="16">
        <v>45597</v>
      </c>
      <c r="B11" s="14">
        <f>VLOOKUP(A11,'INCC - DI'!$E:$F,2,FALSE)</f>
        <v>1149.17</v>
      </c>
      <c r="C11" s="148">
        <v>8.7224533219287387E-3</v>
      </c>
      <c r="D11" s="17">
        <f>(C11*$C$3)*B11/$B$3</f>
        <v>48759.463585555983</v>
      </c>
      <c r="E11" s="149"/>
      <c r="F11" s="36">
        <v>8.4999999999999937E-3</v>
      </c>
      <c r="G11" s="69">
        <f t="shared" si="1"/>
        <v>47515.925299968221</v>
      </c>
      <c r="H11" s="75"/>
      <c r="I11" s="150">
        <v>98510.990429371508</v>
      </c>
      <c r="J11" s="69"/>
      <c r="K11" s="157"/>
      <c r="N11" s="76"/>
    </row>
    <row r="12" spans="1:14">
      <c r="A12" s="16">
        <v>45627</v>
      </c>
      <c r="B12" s="14">
        <f>VLOOKUP(A12,'INCC - DI'!$E:$F,2,FALSE)</f>
        <v>1153.7249999999999</v>
      </c>
      <c r="C12" s="148">
        <v>7.1784377212524217E-3</v>
      </c>
      <c r="D12" s="17">
        <f>(C12*$C$3)*B12/$B$3</f>
        <v>40287.305853510363</v>
      </c>
      <c r="E12" s="149"/>
      <c r="F12" s="36">
        <v>4.9000000000000016E-3</v>
      </c>
      <c r="G12" s="69">
        <f t="shared" si="1"/>
        <v>27500.106060369795</v>
      </c>
      <c r="H12" s="75"/>
      <c r="I12" s="150">
        <v>50161.356874610348</v>
      </c>
      <c r="J12" s="69"/>
      <c r="K12" s="68"/>
    </row>
    <row r="13" spans="1:14">
      <c r="A13" s="16">
        <v>45658</v>
      </c>
      <c r="B13" s="14">
        <f>VLOOKUP(A13,'INCC - DI'!$E:$F,2,FALSE)</f>
        <v>1159.5360000000001</v>
      </c>
      <c r="C13" s="148">
        <v>1.8751261300249168E-2</v>
      </c>
      <c r="D13" s="17">
        <f t="shared" si="0"/>
        <v>105767.12705282326</v>
      </c>
      <c r="F13" s="36">
        <v>1.2100000000000014E-2</v>
      </c>
      <c r="G13" s="69">
        <f t="shared" si="1"/>
        <v>68250.4614941373</v>
      </c>
      <c r="H13" s="75"/>
      <c r="I13" s="150">
        <v>85841.406808130792</v>
      </c>
      <c r="J13" s="76"/>
      <c r="K13" s="67"/>
    </row>
    <row r="14" spans="1:14">
      <c r="A14" s="16">
        <v>45689</v>
      </c>
      <c r="B14" s="14">
        <f>VLOOKUP(A14,'INCC - DI'!$E:$F,2,FALSE)</f>
        <v>1169.116</v>
      </c>
      <c r="C14" s="148">
        <v>1.2703957598239668E-2</v>
      </c>
      <c r="D14" s="17">
        <f t="shared" si="0"/>
        <v>72249.130525338114</v>
      </c>
      <c r="F14" s="36">
        <v>2.1299999999999986E-2</v>
      </c>
      <c r="G14" s="69">
        <f t="shared" si="1"/>
        <v>121135.9899692156</v>
      </c>
      <c r="H14" s="75"/>
      <c r="I14" s="150">
        <v>72249.130525338114</v>
      </c>
      <c r="K14" s="68"/>
      <c r="L14" s="67"/>
      <c r="N14" s="67"/>
    </row>
    <row r="15" spans="1:14">
      <c r="A15" s="16">
        <v>45717</v>
      </c>
      <c r="B15" s="14">
        <f>VLOOKUP(A15,'INCC - DI'!$E:$F,2,FALSE)</f>
        <v>1173.7750000000001</v>
      </c>
      <c r="C15" s="148">
        <v>1.2229500540084733E-2</v>
      </c>
      <c r="D15" s="17">
        <f t="shared" si="0"/>
        <v>69827.993241930119</v>
      </c>
      <c r="F15" s="36">
        <v>1.3000000000000012E-2</v>
      </c>
      <c r="G15" s="69">
        <f t="shared" si="1"/>
        <v>74227.390494788182</v>
      </c>
      <c r="H15" s="75"/>
      <c r="I15" s="150">
        <v>67776.115293153445</v>
      </c>
      <c r="J15" s="76"/>
      <c r="K15" s="69"/>
    </row>
    <row r="16" spans="1:14">
      <c r="A16" s="16">
        <v>45748</v>
      </c>
      <c r="B16" s="14">
        <f>VLOOKUP(A16,'INCC - DI'!$E:$F,2,FALSE)</f>
        <v>1178.386</v>
      </c>
      <c r="C16" s="148">
        <v>1.281032122485978E-2</v>
      </c>
      <c r="D16" s="17">
        <f t="shared" si="0"/>
        <v>73431.699481631949</v>
      </c>
      <c r="F16" s="36">
        <v>1.1099999999999999E-2</v>
      </c>
      <c r="G16" s="69">
        <f t="shared" si="1"/>
        <v>63627.745935390201</v>
      </c>
      <c r="H16" s="75"/>
      <c r="I16" s="150">
        <v>73144.362763179932</v>
      </c>
      <c r="K16" s="75"/>
    </row>
    <row r="17" spans="1:11">
      <c r="A17" s="16">
        <v>45778</v>
      </c>
      <c r="B17" s="14">
        <f>VLOOKUP(A17,'INCC - DI'!$E:$F,2,FALSE)</f>
        <v>1184.462</v>
      </c>
      <c r="C17" s="148">
        <v>1.2533465864125029E-2</v>
      </c>
      <c r="D17" s="17">
        <f t="shared" si="0"/>
        <v>72215.14707326761</v>
      </c>
      <c r="F17" s="36">
        <v>8.5999999999999965E-3</v>
      </c>
      <c r="G17" s="69">
        <f t="shared" si="1"/>
        <v>49551.358862974594</v>
      </c>
      <c r="H17" s="75"/>
      <c r="I17" s="150">
        <v>72502.483791719656</v>
      </c>
    </row>
    <row r="18" spans="1:11">
      <c r="A18" s="16">
        <v>45809</v>
      </c>
      <c r="B18" s="14">
        <f>VLOOKUP(A18,'INCC - DI'!$E:$F,2,FALSE)</f>
        <v>1191.327</v>
      </c>
      <c r="C18" s="148">
        <v>8.6969355089004542E-3</v>
      </c>
      <c r="D18" s="17">
        <f t="shared" si="0"/>
        <v>50400.311383240769</v>
      </c>
      <c r="F18" s="36">
        <v>7.8000000000000014E-3</v>
      </c>
      <c r="G18" s="69">
        <f t="shared" si="1"/>
        <v>45202.40818009471</v>
      </c>
      <c r="H18" s="75"/>
      <c r="I18" s="150">
        <v>50400.31138324074</v>
      </c>
      <c r="K18" s="75"/>
    </row>
    <row r="19" spans="1:11">
      <c r="A19" s="16">
        <v>45839</v>
      </c>
      <c r="B19" s="14">
        <f>VLOOKUP(A19,'INCC - DI'!$E:$F,2,FALSE)</f>
        <v>1199.509</v>
      </c>
      <c r="C19" s="148">
        <v>8.3593928913225073E-3</v>
      </c>
      <c r="D19" s="17">
        <f t="shared" si="0"/>
        <v>48776.90430352588</v>
      </c>
      <c r="F19" s="36">
        <v>9.5999999999999974E-3</v>
      </c>
      <c r="G19" s="69">
        <f t="shared" si="1"/>
        <v>56015.824043863904</v>
      </c>
      <c r="H19" s="75"/>
      <c r="I19" s="150">
        <v>48776.904303525807</v>
      </c>
    </row>
    <row r="20" spans="1:11">
      <c r="A20" s="16">
        <v>45870</v>
      </c>
      <c r="B20" s="14">
        <f>VLOOKUP(A20,'INCC - DI'!$E:$F,2,FALSE)</f>
        <v>1210.471</v>
      </c>
      <c r="C20" s="148">
        <v>1.015389158144488E-2</v>
      </c>
      <c r="D20" s="17">
        <f t="shared" si="0"/>
        <v>59789.221203257592</v>
      </c>
      <c r="F20" s="36">
        <v>8.2000000000000128E-3</v>
      </c>
      <c r="G20" s="69">
        <f t="shared" si="1"/>
        <v>48284.109588350388</v>
      </c>
      <c r="H20" s="75"/>
      <c r="I20" s="150">
        <v>59789.221203257563</v>
      </c>
    </row>
    <row r="21" spans="1:11">
      <c r="A21" s="16">
        <v>45901</v>
      </c>
      <c r="B21" s="14">
        <f>VLOOKUP(A21,'INCC - DI'!$E:$F,2,FALSE)</f>
        <v>1216.7059999999999</v>
      </c>
      <c r="C21" s="148">
        <v>1.4240566320740083E-2</v>
      </c>
      <c r="D21" s="17">
        <f t="shared" si="0"/>
        <v>84284.729193399922</v>
      </c>
      <c r="F21" s="36">
        <v>1.3399999999999995E-2</v>
      </c>
      <c r="G21" s="69">
        <f t="shared" si="1"/>
        <v>79309.723065343846</v>
      </c>
      <c r="H21" s="75"/>
      <c r="I21" s="150">
        <v>84284.729193399893</v>
      </c>
    </row>
    <row r="22" spans="1:11">
      <c r="A22" s="16">
        <v>45931</v>
      </c>
      <c r="B22" s="14">
        <f>VLOOKUP(A22,'INCC - DI'!$E:$F,2,FALSE)</f>
        <v>1218.7470000000001</v>
      </c>
      <c r="C22" s="148">
        <v>1.6666532682754337E-2</v>
      </c>
      <c r="D22" s="17">
        <f t="shared" si="0"/>
        <v>98808.613056843198</v>
      </c>
      <c r="F22" s="36">
        <v>1.7799999999999983E-2</v>
      </c>
      <c r="G22" s="69">
        <f t="shared" si="1"/>
        <v>105528.44709156064</v>
      </c>
      <c r="H22" s="75"/>
      <c r="I22" s="150">
        <v>98808.613056843169</v>
      </c>
    </row>
    <row r="23" spans="1:11">
      <c r="A23" s="16">
        <v>45962</v>
      </c>
      <c r="B23" s="14">
        <f>VLOOKUP(A23,'INCC - DI'!$E:$F,2,FALSE)</f>
        <v>1222.356</v>
      </c>
      <c r="C23" s="148">
        <v>1.5587879999999998E-2</v>
      </c>
      <c r="D23" s="17">
        <f t="shared" si="0"/>
        <v>92687.410232070572</v>
      </c>
      <c r="F23" s="36">
        <v>1.2800000000000006E-2</v>
      </c>
      <c r="G23" s="69">
        <f t="shared" si="1"/>
        <v>76110.34027529748</v>
      </c>
      <c r="H23" s="75"/>
      <c r="I23" s="150">
        <v>92687.410232070601</v>
      </c>
    </row>
    <row r="24" spans="1:11">
      <c r="A24" s="16">
        <v>45992</v>
      </c>
      <c r="B24" s="14">
        <f>VLOOKUP(A24,'INCC - DI'!$E:$F,2,FALSE)</f>
        <v>1225.633</v>
      </c>
      <c r="C24" s="148">
        <v>9.7300869420195168E-3</v>
      </c>
      <c r="D24" s="17">
        <f t="shared" si="0"/>
        <v>58011.374013866407</v>
      </c>
      <c r="F24" s="36">
        <v>9.6000000000000252E-3</v>
      </c>
      <c r="G24" s="69">
        <f t="shared" si="1"/>
        <v>57235.787701762347</v>
      </c>
      <c r="H24" s="75"/>
      <c r="I24" s="150">
        <v>58011.374013866298</v>
      </c>
    </row>
    <row r="25" spans="1:11">
      <c r="A25" s="16">
        <v>46023</v>
      </c>
      <c r="B25" s="14">
        <f>VLOOKUP(A25,'INCC - DI'!$E:$F,2,FALSE)</f>
        <v>1228.1610000000001</v>
      </c>
      <c r="C25" s="148">
        <v>1.4196663057980508E-2</v>
      </c>
      <c r="D25" s="17">
        <f t="shared" si="0"/>
        <v>84815.956202169094</v>
      </c>
      <c r="F25" s="36">
        <v>1.369999999999999E-2</v>
      </c>
      <c r="G25" s="69">
        <f t="shared" si="1"/>
        <v>81848.712984458805</v>
      </c>
      <c r="H25" s="75"/>
      <c r="I25" s="150">
        <v>84815.956202169182</v>
      </c>
    </row>
    <row r="26" spans="1:11">
      <c r="A26" s="16">
        <v>46054</v>
      </c>
      <c r="B26" s="14">
        <f>VLOOKUP(A26,'INCC - DI'!$E:$F,2,FALSE)</f>
        <v>1237.0360000000001</v>
      </c>
      <c r="C26" s="148">
        <v>1.890861079860312E-2</v>
      </c>
      <c r="D26" s="17">
        <f t="shared" si="0"/>
        <v>113783.14840621044</v>
      </c>
      <c r="F26" s="36">
        <v>1.6600000000000004E-2</v>
      </c>
      <c r="G26" s="69">
        <f t="shared" si="1"/>
        <v>99891.011754424035</v>
      </c>
      <c r="H26" s="75"/>
      <c r="I26" s="150">
        <v>113783.14840621036</v>
      </c>
    </row>
    <row r="27" spans="1:11">
      <c r="A27" s="16">
        <v>46082</v>
      </c>
      <c r="B27" s="14">
        <f>VLOOKUP(A27,'INCC - DI'!$E:$F,2,FALSE)</f>
        <v>1240.481</v>
      </c>
      <c r="C27" s="148">
        <v>2.0395759201396857E-2</v>
      </c>
      <c r="D27" s="17">
        <f t="shared" si="0"/>
        <v>123073.90428047322</v>
      </c>
      <c r="F27" s="36">
        <v>2.5600000000000012E-2</v>
      </c>
      <c r="G27" s="69">
        <f t="shared" si="1"/>
        <v>154477.79700028681</v>
      </c>
      <c r="H27" s="75"/>
      <c r="I27" s="150">
        <v>123073.90428047325</v>
      </c>
    </row>
    <row r="28" spans="1:11">
      <c r="A28" s="16">
        <v>46113</v>
      </c>
      <c r="B28" s="14">
        <f>VLOOKUP(A28,'INCC - DI'!$E:$F,2,FALSE)</f>
        <v>1247.181</v>
      </c>
      <c r="C28" s="148">
        <v>3.2376729999999999E-2</v>
      </c>
      <c r="D28" s="17">
        <f t="shared" si="0"/>
        <v>196425.76576552883</v>
      </c>
      <c r="F28" s="36">
        <v>2.6799999999999935E-2</v>
      </c>
      <c r="G28" s="69">
        <f t="shared" si="1"/>
        <v>162592.40888490467</v>
      </c>
      <c r="H28" s="75"/>
      <c r="I28" s="150">
        <v>196425.76576552889</v>
      </c>
    </row>
    <row r="29" spans="1:11">
      <c r="A29" s="16">
        <v>46143</v>
      </c>
      <c r="B29" s="14">
        <f>VLOOKUP(A29,'INCC - DI'!$E:$F,2,FALSE)</f>
        <v>1259.652</v>
      </c>
      <c r="C29" s="148">
        <v>2.7448939999999977E-2</v>
      </c>
      <c r="D29" s="17">
        <f t="shared" si="0"/>
        <v>168194.63694562408</v>
      </c>
      <c r="F29" s="36">
        <v>2.7700000000000058E-2</v>
      </c>
      <c r="G29" s="69">
        <f t="shared" si="1"/>
        <v>169733.01859357048</v>
      </c>
      <c r="H29" s="75"/>
      <c r="I29" s="150">
        <v>166529.4505946727</v>
      </c>
    </row>
    <row r="30" spans="1:11">
      <c r="A30" s="23">
        <v>46174</v>
      </c>
      <c r="B30" s="24">
        <f>VLOOKUP(A30,'INCC - DI'!$E:$F,2,FALSE)</f>
        <v>1270.6949999999999</v>
      </c>
      <c r="C30" s="184">
        <v>3.9082180000000022E-2</v>
      </c>
      <c r="D30" s="26">
        <f t="shared" si="0"/>
        <v>241577.27994381331</v>
      </c>
      <c r="F30" s="36">
        <v>4.1199999999999959E-2</v>
      </c>
      <c r="G30" s="69">
        <f t="shared" si="1"/>
        <v>254668.08488382926</v>
      </c>
      <c r="H30" s="75"/>
      <c r="I30" s="150">
        <v>243242.46629476454</v>
      </c>
    </row>
    <row r="31" spans="1:11">
      <c r="A31" s="16">
        <v>46204</v>
      </c>
      <c r="B31" s="14">
        <f>VLOOKUP(A31,'INCC - DI'!$E:$F,2,FALSE)</f>
        <v>1270.6949999999999</v>
      </c>
      <c r="C31" s="139"/>
      <c r="D31" s="17">
        <f t="shared" si="0"/>
        <v>0</v>
      </c>
      <c r="F31" s="36">
        <v>4.2700000000000016E-2</v>
      </c>
      <c r="G31" s="69">
        <f t="shared" si="1"/>
        <v>263939.98117814376</v>
      </c>
      <c r="H31" s="75">
        <f>(F31*$G$1/(SUM($F$31:$F$45)))</f>
        <v>262542.61497370037</v>
      </c>
    </row>
    <row r="32" spans="1:11">
      <c r="A32" s="16">
        <v>46235</v>
      </c>
      <c r="B32" s="14">
        <f>VLOOKUP(A32,'INCC - DI'!$E:$F,2,FALSE)</f>
        <v>1270.6949999999999</v>
      </c>
      <c r="C32" s="139"/>
      <c r="D32" s="17">
        <f t="shared" si="0"/>
        <v>0</v>
      </c>
      <c r="F32" s="36">
        <v>4.0700000000000014E-2</v>
      </c>
      <c r="G32" s="69">
        <f t="shared" si="1"/>
        <v>251577.45278572486</v>
      </c>
      <c r="H32" s="75">
        <f t="shared" ref="H32:H45" si="2">(F32*$G$1/(SUM($F$31:$F$45)))</f>
        <v>250245.53698898372</v>
      </c>
    </row>
    <row r="33" spans="1:8">
      <c r="A33" s="16">
        <v>46266</v>
      </c>
      <c r="B33" s="14">
        <f>VLOOKUP(A33,'INCC - DI'!$E:$F,2,FALSE)</f>
        <v>1270.6949999999999</v>
      </c>
      <c r="C33" s="139"/>
      <c r="D33" s="17">
        <f t="shared" si="0"/>
        <v>0</v>
      </c>
      <c r="F33" s="36">
        <v>4.1999999999999982E-2</v>
      </c>
      <c r="G33" s="69">
        <f t="shared" si="1"/>
        <v>259613.09624079696</v>
      </c>
      <c r="H33" s="75">
        <f t="shared" si="2"/>
        <v>258238.63767904934</v>
      </c>
    </row>
    <row r="34" spans="1:8">
      <c r="A34" s="16">
        <v>46296</v>
      </c>
      <c r="B34" s="14">
        <f>VLOOKUP(A34,'INCC - DI'!$E:$F,2,FALSE)</f>
        <v>1270.6949999999999</v>
      </c>
      <c r="C34" s="139"/>
      <c r="D34" s="17">
        <f t="shared" si="0"/>
        <v>0</v>
      </c>
      <c r="F34" s="36">
        <v>4.5399999999999996E-2</v>
      </c>
      <c r="G34" s="69">
        <f t="shared" si="1"/>
        <v>280629.39450790919</v>
      </c>
      <c r="H34" s="75">
        <f t="shared" si="2"/>
        <v>279143.67025306774</v>
      </c>
    </row>
    <row r="35" spans="1:8">
      <c r="A35" s="16">
        <v>46327</v>
      </c>
      <c r="B35" s="14">
        <f>VLOOKUP(A35,'INCC - DI'!$E:$F,2,FALSE)</f>
        <v>1270.6949999999999</v>
      </c>
      <c r="C35" s="139"/>
      <c r="D35" s="17">
        <f t="shared" si="0"/>
        <v>0</v>
      </c>
      <c r="F35" s="36">
        <v>4.5100000000000029E-2</v>
      </c>
      <c r="G35" s="69">
        <f t="shared" si="1"/>
        <v>278775.01524904656</v>
      </c>
      <c r="H35" s="75">
        <f t="shared" si="2"/>
        <v>277299.10855536041</v>
      </c>
    </row>
    <row r="36" spans="1:8">
      <c r="A36" s="16">
        <v>46357</v>
      </c>
      <c r="B36" s="14">
        <f>VLOOKUP(A36,'INCC - DI'!$E:$F,2,FALSE)</f>
        <v>1270.6949999999999</v>
      </c>
      <c r="C36" s="139"/>
      <c r="D36" s="17">
        <f t="shared" si="0"/>
        <v>0</v>
      </c>
      <c r="F36" s="36">
        <v>3.3299999999999996E-2</v>
      </c>
      <c r="G36" s="69">
        <f t="shared" si="1"/>
        <v>205836.0977337748</v>
      </c>
      <c r="H36" s="75">
        <f t="shared" si="2"/>
        <v>204746.34844553203</v>
      </c>
    </row>
    <row r="37" spans="1:8">
      <c r="A37" s="16">
        <v>46388</v>
      </c>
      <c r="B37" s="14">
        <f>VLOOKUP(A37,'INCC - DI'!$E:$F,2,FALSE)</f>
        <v>1270.6949999999999</v>
      </c>
      <c r="C37" s="139"/>
      <c r="D37" s="17">
        <f t="shared" si="0"/>
        <v>0</v>
      </c>
      <c r="F37" s="36">
        <v>5.0499999999999989E-2</v>
      </c>
      <c r="G37" s="69">
        <f t="shared" si="1"/>
        <v>312153.84190857736</v>
      </c>
      <c r="H37" s="75">
        <f t="shared" si="2"/>
        <v>310501.21911409509</v>
      </c>
    </row>
    <row r="38" spans="1:8">
      <c r="A38" s="16">
        <v>46419</v>
      </c>
      <c r="B38" s="14">
        <f>VLOOKUP(A38,'INCC - DI'!$E:$F,2,FALSE)</f>
        <v>1270.6949999999999</v>
      </c>
      <c r="C38" s="139"/>
      <c r="D38" s="17">
        <f t="shared" si="0"/>
        <v>0</v>
      </c>
      <c r="F38" s="36">
        <v>5.7700000000000085E-2</v>
      </c>
      <c r="G38" s="69">
        <f t="shared" si="1"/>
        <v>356658.94412128604</v>
      </c>
      <c r="H38" s="75">
        <f t="shared" si="2"/>
        <v>354770.6998590756</v>
      </c>
    </row>
    <row r="39" spans="1:8">
      <c r="A39" s="16">
        <v>46447</v>
      </c>
      <c r="B39" s="14">
        <f>VLOOKUP(A39,'INCC - DI'!$E:$F,2,FALSE)</f>
        <v>1270.6949999999999</v>
      </c>
      <c r="C39" s="139"/>
      <c r="D39" s="17">
        <f t="shared" si="0"/>
        <v>0</v>
      </c>
      <c r="F39" s="36">
        <v>6.1099999999999932E-2</v>
      </c>
      <c r="G39" s="69">
        <f t="shared" si="1"/>
        <v>377675.24238839722</v>
      </c>
      <c r="H39" s="75">
        <f t="shared" si="2"/>
        <v>375675.73243309296</v>
      </c>
    </row>
    <row r="40" spans="1:8">
      <c r="A40" s="16">
        <v>46478</v>
      </c>
      <c r="B40" s="14">
        <f>VLOOKUP(A40,'INCC - DI'!$E:$F,2,FALSE)</f>
        <v>1270.6949999999999</v>
      </c>
      <c r="C40" s="139"/>
      <c r="D40" s="17">
        <f t="shared" si="0"/>
        <v>0</v>
      </c>
      <c r="F40" s="36">
        <v>5.7599999999999985E-2</v>
      </c>
      <c r="G40" s="69">
        <f t="shared" si="1"/>
        <v>356040.81770166446</v>
      </c>
      <c r="H40" s="75">
        <f t="shared" si="2"/>
        <v>354155.84595983912</v>
      </c>
    </row>
    <row r="41" spans="1:8">
      <c r="A41" s="16">
        <v>46508</v>
      </c>
      <c r="B41" s="14">
        <f>VLOOKUP(A41,'INCC - DI'!$E:$F,2,FALSE)</f>
        <v>1270.6949999999999</v>
      </c>
      <c r="C41" s="139"/>
      <c r="D41" s="17">
        <f t="shared" si="0"/>
        <v>0</v>
      </c>
      <c r="F41" s="36">
        <v>3.8899999999999935E-2</v>
      </c>
      <c r="G41" s="69">
        <f t="shared" si="1"/>
        <v>240451.17723254734</v>
      </c>
      <c r="H41" s="75">
        <f t="shared" si="2"/>
        <v>239178.16680273827</v>
      </c>
    </row>
    <row r="42" spans="1:8">
      <c r="A42" s="16">
        <v>46539</v>
      </c>
      <c r="B42" s="14">
        <f>VLOOKUP(A42,'INCC - DI'!$E:$F,2,FALSE)</f>
        <v>1270.6949999999999</v>
      </c>
      <c r="C42" s="139"/>
      <c r="D42" s="17">
        <f t="shared" si="0"/>
        <v>0</v>
      </c>
      <c r="F42" s="36">
        <v>3.5499999999999976E-2</v>
      </c>
      <c r="G42" s="69">
        <f t="shared" si="1"/>
        <v>219434.87896543546</v>
      </c>
      <c r="H42" s="75">
        <f t="shared" si="2"/>
        <v>218273.13422872021</v>
      </c>
    </row>
    <row r="43" spans="1:8">
      <c r="A43" s="16">
        <v>46569</v>
      </c>
      <c r="B43" s="14">
        <f>VLOOKUP(A43,'INCC - DI'!$E:$F,2,FALSE)</f>
        <v>1270.6949999999999</v>
      </c>
      <c r="C43" s="139"/>
      <c r="D43" s="17">
        <f t="shared" si="0"/>
        <v>0</v>
      </c>
      <c r="F43" s="36">
        <v>3.3400000000000096E-2</v>
      </c>
      <c r="G43" s="69">
        <f t="shared" si="1"/>
        <v>206454.22415339635</v>
      </c>
      <c r="H43" s="75">
        <f t="shared" si="2"/>
        <v>205361.20234476848</v>
      </c>
    </row>
    <row r="44" spans="1:8">
      <c r="A44" s="16">
        <v>46600</v>
      </c>
      <c r="B44" s="14">
        <f>VLOOKUP(A44,'INCC - DI'!$E:$F,2,FALSE)</f>
        <v>1270.6949999999999</v>
      </c>
      <c r="C44" s="139"/>
      <c r="D44" s="17">
        <f t="shared" si="0"/>
        <v>0</v>
      </c>
      <c r="F44" s="36">
        <v>7.4999999999999512E-3</v>
      </c>
      <c r="G44" s="69">
        <f t="shared" si="1"/>
        <v>46359.481471570602</v>
      </c>
      <c r="H44" s="75">
        <f t="shared" si="2"/>
        <v>46114.042442687096</v>
      </c>
    </row>
    <row r="45" spans="1:8">
      <c r="A45" s="16">
        <v>46631</v>
      </c>
      <c r="B45" s="14">
        <f>VLOOKUP(A45,'INCC - DI'!$E:$F,2,FALSE)</f>
        <v>1270.6949999999999</v>
      </c>
      <c r="C45" s="139"/>
      <c r="D45" s="17">
        <f t="shared" si="0"/>
        <v>0</v>
      </c>
      <c r="F45" s="36">
        <v>6.0000000000004494E-4</v>
      </c>
      <c r="G45" s="69">
        <f t="shared" si="1"/>
        <v>3708.7585177259502</v>
      </c>
      <c r="H45" s="75">
        <f t="shared" si="2"/>
        <v>3689.1233954152685</v>
      </c>
    </row>
    <row r="46" spans="1:8">
      <c r="C46" s="87">
        <f>SUM(C5:C45)</f>
        <v>0.41102786000000002</v>
      </c>
      <c r="F46" s="178"/>
    </row>
    <row r="47" spans="1:8">
      <c r="C47" s="197">
        <v>0.41102786000000002</v>
      </c>
      <c r="F47" s="36"/>
    </row>
    <row r="48" spans="1:8">
      <c r="C48" s="87">
        <f>C47-C46</f>
        <v>0</v>
      </c>
      <c r="F48" s="178"/>
    </row>
    <row r="50" spans="6:6">
      <c r="F50" s="178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01C9-DD86-4E26-811C-61D145C9E054}">
  <sheetPr>
    <tabColor theme="9" tint="0.39997558519241921"/>
  </sheetPr>
  <dimension ref="A1:M37"/>
  <sheetViews>
    <sheetView topLeftCell="A13" workbookViewId="0">
      <selection activeCell="H27" sqref="H27:H34"/>
    </sheetView>
  </sheetViews>
  <sheetFormatPr defaultRowHeight="14.4"/>
  <cols>
    <col min="1" max="1" width="9.5546875" bestFit="1" customWidth="1"/>
    <col min="2" max="2" width="12.33203125" bestFit="1" customWidth="1"/>
    <col min="3" max="3" width="15.5546875" bestFit="1" customWidth="1"/>
    <col min="4" max="4" width="18.6640625" bestFit="1" customWidth="1"/>
    <col min="5" max="5" width="4.6640625" customWidth="1"/>
    <col min="6" max="6" width="16.33203125" bestFit="1" customWidth="1"/>
    <col min="7" max="7" width="18.5546875" bestFit="1" customWidth="1"/>
    <col min="8" max="9" width="15.88671875" bestFit="1" customWidth="1"/>
    <col min="10" max="10" width="14" bestFit="1" customWidth="1"/>
    <col min="11" max="11" width="19.109375" bestFit="1" customWidth="1"/>
    <col min="12" max="12" width="10.5546875" bestFit="1" customWidth="1"/>
    <col min="13" max="13" width="46.6640625" bestFit="1" customWidth="1"/>
  </cols>
  <sheetData>
    <row r="1" spans="1:13">
      <c r="A1" s="216" t="s">
        <v>131</v>
      </c>
      <c r="B1" s="216"/>
      <c r="C1" s="216"/>
      <c r="D1" s="216"/>
      <c r="F1" t="s">
        <v>152</v>
      </c>
      <c r="G1" s="69">
        <f>G3-D3</f>
        <v>915103.40999397449</v>
      </c>
      <c r="H1" s="69">
        <f>G3-I3</f>
        <v>915103.40999397449</v>
      </c>
    </row>
    <row r="2" spans="1:13">
      <c r="A2" s="19" t="s">
        <v>1</v>
      </c>
      <c r="B2" s="19" t="s">
        <v>0</v>
      </c>
      <c r="C2" s="19" t="s">
        <v>23</v>
      </c>
      <c r="D2" s="19" t="s">
        <v>3</v>
      </c>
      <c r="G2" s="19" t="s">
        <v>127</v>
      </c>
      <c r="I2" s="19" t="s">
        <v>72</v>
      </c>
    </row>
    <row r="3" spans="1:13">
      <c r="A3" s="20">
        <v>45323</v>
      </c>
      <c r="B3" s="140">
        <f>VLOOKUP(A3,'INCC - DI'!$E:$F,2,FALSE)</f>
        <v>1091.25</v>
      </c>
      <c r="C3" s="22">
        <f>2391293.1+K22</f>
        <v>2389464.27</v>
      </c>
      <c r="D3" s="22">
        <f>SUM(D5:D34)</f>
        <v>1777550.7939643273</v>
      </c>
      <c r="E3" s="68"/>
      <c r="G3" s="22">
        <f>SUM(G5:G34)</f>
        <v>2692654.2039583018</v>
      </c>
      <c r="I3" s="159">
        <f>SUM(I5:I34)</f>
        <v>1777550.7939643273</v>
      </c>
      <c r="J3" s="69">
        <f>D3-I3</f>
        <v>0</v>
      </c>
      <c r="K3" s="19" t="s">
        <v>137</v>
      </c>
      <c r="L3" s="19" t="s">
        <v>192</v>
      </c>
      <c r="M3" s="19" t="s">
        <v>31</v>
      </c>
    </row>
    <row r="4" spans="1:13">
      <c r="A4" s="19" t="s">
        <v>5</v>
      </c>
      <c r="B4" s="19" t="s">
        <v>128</v>
      </c>
      <c r="C4" s="19" t="s">
        <v>24</v>
      </c>
      <c r="D4" s="19" t="s">
        <v>3</v>
      </c>
      <c r="F4" s="19" t="s">
        <v>125</v>
      </c>
      <c r="G4" s="19" t="s">
        <v>124</v>
      </c>
      <c r="I4" s="19" t="s">
        <v>72</v>
      </c>
      <c r="K4" s="139">
        <v>-2855.41</v>
      </c>
      <c r="L4" s="206">
        <v>46139</v>
      </c>
      <c r="M4" s="139" t="s">
        <v>200</v>
      </c>
    </row>
    <row r="5" spans="1:13">
      <c r="A5" s="16">
        <v>45536</v>
      </c>
      <c r="B5" s="14">
        <f>VLOOKUP(A5,'INCC - DI'!$E:$F,2,FALSE)</f>
        <v>1134.7750000000001</v>
      </c>
      <c r="C5" s="42">
        <v>2.2264523811910249E-2</v>
      </c>
      <c r="D5" s="139">
        <f>(C5*$C$3)*B5/$B$3</f>
        <v>55322.201541080962</v>
      </c>
      <c r="E5" s="13"/>
      <c r="F5" s="36">
        <v>2.2264523811910256E-2</v>
      </c>
      <c r="G5" s="69">
        <f>F5*($C$3/$B$3*B5)</f>
        <v>55322.201541080984</v>
      </c>
      <c r="H5" s="69"/>
      <c r="I5" s="150">
        <v>55364.543627177394</v>
      </c>
      <c r="K5" s="139">
        <v>1026.58</v>
      </c>
      <c r="L5" s="206">
        <v>46174</v>
      </c>
      <c r="M5" s="139" t="s">
        <v>202</v>
      </c>
    </row>
    <row r="6" spans="1:13">
      <c r="A6" s="16">
        <f>EDATE(A5,1)</f>
        <v>45566</v>
      </c>
      <c r="B6" s="14">
        <f>VLOOKUP(A6,'INCC - DI'!$E:$F,2,FALSE)</f>
        <v>1141.3979999999999</v>
      </c>
      <c r="C6" s="42">
        <v>2.3718825348779015E-2</v>
      </c>
      <c r="D6" s="31">
        <f t="shared" ref="D6:D34" si="0">(C6*$C$3)*B6/$B$3</f>
        <v>59279.778001650782</v>
      </c>
      <c r="F6" s="36">
        <v>2.3718825348779025E-2</v>
      </c>
      <c r="G6" s="69">
        <f t="shared" ref="G6:G34" si="1">F6*($C$3/$B$3*B6)</f>
        <v>59279.778001650819</v>
      </c>
      <c r="H6" s="68"/>
      <c r="I6" s="150">
        <v>59325.14910753585</v>
      </c>
      <c r="J6" s="135"/>
      <c r="K6" s="139"/>
      <c r="L6" s="206"/>
      <c r="M6" s="139"/>
    </row>
    <row r="7" spans="1:13">
      <c r="A7" s="16">
        <f t="shared" ref="A7:A34" si="2">EDATE(A6,1)</f>
        <v>45597</v>
      </c>
      <c r="B7" s="34">
        <f>VLOOKUP(A7,'INCC - DI'!$E:$F,2,FALSE)</f>
        <v>1149.17</v>
      </c>
      <c r="C7" s="42">
        <v>1.849368958724118E-2</v>
      </c>
      <c r="D7" s="31">
        <f t="shared" si="0"/>
        <v>46535.472489214575</v>
      </c>
      <c r="F7" s="36">
        <v>1.8493689587241183E-2</v>
      </c>
      <c r="G7" s="69">
        <f t="shared" si="1"/>
        <v>46535.47248921459</v>
      </c>
      <c r="H7" s="75"/>
      <c r="I7" s="150">
        <v>47127.893048533762</v>
      </c>
      <c r="K7" s="139"/>
      <c r="L7" s="206"/>
      <c r="M7" s="139"/>
    </row>
    <row r="8" spans="1:13">
      <c r="A8" s="16">
        <f t="shared" si="2"/>
        <v>45627</v>
      </c>
      <c r="B8" s="34">
        <f>VLOOKUP(A8,'INCC - DI'!$E:$F,2,FALSE)</f>
        <v>1153.7249999999999</v>
      </c>
      <c r="C8" s="42">
        <v>7.690094822046631E-3</v>
      </c>
      <c r="D8" s="31">
        <f t="shared" si="0"/>
        <v>19427.203186336093</v>
      </c>
      <c r="F8" s="36">
        <v>7.6900948220466345E-3</v>
      </c>
      <c r="G8" s="69">
        <f t="shared" si="1"/>
        <v>19427.203186336104</v>
      </c>
      <c r="H8" s="75"/>
      <c r="I8" s="150">
        <v>26536.030366786017</v>
      </c>
      <c r="K8" s="139"/>
      <c r="L8" s="206"/>
      <c r="M8" s="139"/>
    </row>
    <row r="9" spans="1:13">
      <c r="A9" s="16">
        <f t="shared" si="2"/>
        <v>45658</v>
      </c>
      <c r="B9" s="34">
        <f>VLOOKUP(A9,'INCC - DI'!$E:$F,2,FALSE)</f>
        <v>1159.5360000000001</v>
      </c>
      <c r="C9" s="42">
        <v>1.9149473611648499E-2</v>
      </c>
      <c r="D9" s="31">
        <f t="shared" si="0"/>
        <v>48620.269435722264</v>
      </c>
      <c r="F9" s="36">
        <v>1.9149473611648506E-2</v>
      </c>
      <c r="G9" s="69">
        <f t="shared" si="1"/>
        <v>48620.269435722286</v>
      </c>
      <c r="H9" s="75"/>
      <c r="I9" s="150">
        <v>41006.720319505897</v>
      </c>
      <c r="J9" s="76"/>
      <c r="K9" s="139"/>
      <c r="L9" s="206"/>
      <c r="M9" s="139"/>
    </row>
    <row r="10" spans="1:13">
      <c r="A10" s="16">
        <f t="shared" si="2"/>
        <v>45689</v>
      </c>
      <c r="B10" s="34">
        <f>VLOOKUP(A10,'INCC - DI'!$E:$F,2,FALSE)</f>
        <v>1169.116</v>
      </c>
      <c r="C10" s="42">
        <v>1.1845312292313146E-2</v>
      </c>
      <c r="D10" s="31">
        <f t="shared" si="0"/>
        <v>30323.575148180487</v>
      </c>
      <c r="F10" s="36">
        <v>1.1845312292313151E-2</v>
      </c>
      <c r="G10" s="69">
        <f t="shared" si="1"/>
        <v>30323.575148180498</v>
      </c>
      <c r="H10" s="75"/>
      <c r="I10" s="150">
        <v>30345.78</v>
      </c>
      <c r="J10" s="76"/>
      <c r="K10" s="139"/>
      <c r="L10" s="206"/>
      <c r="M10" s="139"/>
    </row>
    <row r="11" spans="1:13">
      <c r="A11" s="16">
        <f t="shared" si="2"/>
        <v>45717</v>
      </c>
      <c r="B11" s="34">
        <f>VLOOKUP(A11,'INCC - DI'!$E:$F,2,FALSE)</f>
        <v>1173.7750000000001</v>
      </c>
      <c r="C11" s="42">
        <v>1.7454140431266828E-2</v>
      </c>
      <c r="D11" s="31">
        <f t="shared" si="0"/>
        <v>44860.034713178029</v>
      </c>
      <c r="F11" s="36">
        <v>1.7454140431266835E-2</v>
      </c>
      <c r="G11" s="69">
        <f t="shared" si="1"/>
        <v>44860.034713178044</v>
      </c>
      <c r="H11" s="75"/>
      <c r="I11" s="150">
        <v>44895.373321182968</v>
      </c>
      <c r="K11" s="139"/>
      <c r="L11" s="206"/>
      <c r="M11" s="139"/>
    </row>
    <row r="12" spans="1:13">
      <c r="A12" s="16">
        <f t="shared" si="2"/>
        <v>45748</v>
      </c>
      <c r="B12" s="34">
        <f>VLOOKUP(A12,'INCC - DI'!$E:$F,2,FALSE)</f>
        <v>1178.386</v>
      </c>
      <c r="C12" s="42">
        <v>3.0645598297880387E-2</v>
      </c>
      <c r="D12" s="31">
        <f t="shared" si="0"/>
        <v>79073.682184671925</v>
      </c>
      <c r="F12" s="36">
        <v>3.06455982978804E-2</v>
      </c>
      <c r="G12" s="69">
        <f t="shared" si="1"/>
        <v>79073.682184671969</v>
      </c>
      <c r="H12" s="75"/>
      <c r="I12" s="150">
        <v>78824.552501933038</v>
      </c>
      <c r="K12" s="139"/>
      <c r="L12" s="206"/>
      <c r="M12" s="139"/>
    </row>
    <row r="13" spans="1:13">
      <c r="A13" s="16">
        <f t="shared" si="2"/>
        <v>45778</v>
      </c>
      <c r="B13" s="34">
        <f>VLOOKUP(A13,'INCC - DI'!$E:$F,2,FALSE)</f>
        <v>1184.462</v>
      </c>
      <c r="C13" s="42">
        <v>4.2340207615912479E-2</v>
      </c>
      <c r="D13" s="31">
        <f t="shared" si="0"/>
        <v>109812.15125547821</v>
      </c>
      <c r="F13" s="36">
        <v>4.2340207615912485E-2</v>
      </c>
      <c r="G13" s="69">
        <f t="shared" si="1"/>
        <v>109812.15125547822</v>
      </c>
      <c r="H13" s="75"/>
      <c r="I13" s="150">
        <v>110205.8489416425</v>
      </c>
      <c r="K13" s="139"/>
      <c r="L13" s="206"/>
      <c r="M13" s="139"/>
    </row>
    <row r="14" spans="1:13">
      <c r="A14" s="16">
        <f t="shared" si="2"/>
        <v>45809</v>
      </c>
      <c r="B14" s="34">
        <f>VLOOKUP(A14,'INCC - DI'!$E:$F,2,FALSE)</f>
        <v>1191.327</v>
      </c>
      <c r="C14" s="42">
        <v>2.7457723378979015E-2</v>
      </c>
      <c r="D14" s="31">
        <f t="shared" si="0"/>
        <v>71626.180731635119</v>
      </c>
      <c r="F14" s="36">
        <v>2.7457723378979025E-2</v>
      </c>
      <c r="G14" s="69">
        <f t="shared" si="1"/>
        <v>71626.180731635162</v>
      </c>
      <c r="H14" s="75"/>
      <c r="I14" s="150">
        <v>71681.001433393278</v>
      </c>
      <c r="K14" s="139"/>
      <c r="L14" s="206"/>
      <c r="M14" s="139"/>
    </row>
    <row r="15" spans="1:13">
      <c r="A15" s="16">
        <f t="shared" si="2"/>
        <v>45839</v>
      </c>
      <c r="B15" s="34">
        <f>VLOOKUP(A15,'INCC - DI'!$E:$F,2,FALSE)</f>
        <v>1199.509</v>
      </c>
      <c r="C15" s="42">
        <v>4.2386791982756335E-2</v>
      </c>
      <c r="D15" s="31">
        <f t="shared" si="0"/>
        <v>111329.52176706141</v>
      </c>
      <c r="F15" s="36">
        <v>4.2386791982756342E-2</v>
      </c>
      <c r="G15" s="69">
        <f t="shared" si="1"/>
        <v>111329.52176706144</v>
      </c>
      <c r="H15" s="75"/>
      <c r="I15" s="150">
        <v>111414.73031018535</v>
      </c>
      <c r="K15" s="139"/>
      <c r="L15" s="206"/>
      <c r="M15" s="139"/>
    </row>
    <row r="16" spans="1:13">
      <c r="A16" s="16">
        <f t="shared" si="2"/>
        <v>45870</v>
      </c>
      <c r="B16" s="34">
        <f>VLOOKUP(A16,'INCC - DI'!$E:$F,2,FALSE)</f>
        <v>1210.471</v>
      </c>
      <c r="C16" s="42">
        <v>4.207797718658244E-2</v>
      </c>
      <c r="D16" s="31">
        <f t="shared" si="0"/>
        <v>111528.41422269984</v>
      </c>
      <c r="F16" s="36">
        <v>4.2077977186582453E-2</v>
      </c>
      <c r="G16" s="69">
        <f t="shared" si="1"/>
        <v>111528.41422269988</v>
      </c>
      <c r="H16" s="75"/>
      <c r="I16" s="150">
        <v>111613.77499261958</v>
      </c>
      <c r="K16" s="139"/>
      <c r="L16" s="206"/>
      <c r="M16" s="139"/>
    </row>
    <row r="17" spans="1:13">
      <c r="A17" s="16">
        <f t="shared" si="2"/>
        <v>45901</v>
      </c>
      <c r="B17" s="34">
        <f>VLOOKUP(A17,'INCC - DI'!$E:$F,2,FALSE)</f>
        <v>1216.7059999999999</v>
      </c>
      <c r="C17" s="42">
        <v>4.0976342339917378E-2</v>
      </c>
      <c r="D17" s="31">
        <f t="shared" si="0"/>
        <v>109167.94203161552</v>
      </c>
      <c r="F17" s="36">
        <v>4.0976342339917392E-2</v>
      </c>
      <c r="G17" s="69">
        <f t="shared" si="1"/>
        <v>109167.94203161556</v>
      </c>
      <c r="H17" s="75"/>
      <c r="I17" s="150">
        <v>109251.49616127201</v>
      </c>
      <c r="K17" s="139"/>
      <c r="L17" s="206"/>
      <c r="M17" s="139"/>
    </row>
    <row r="18" spans="1:13">
      <c r="A18" s="16">
        <f t="shared" si="2"/>
        <v>45931</v>
      </c>
      <c r="B18" s="34">
        <f>VLOOKUP(A18,'INCC - DI'!$E:$F,2,FALSE)</f>
        <v>1218.7470000000001</v>
      </c>
      <c r="C18" s="42">
        <v>3.5034715512209672E-2</v>
      </c>
      <c r="D18" s="31">
        <f t="shared" si="0"/>
        <v>93495.0114419319</v>
      </c>
      <c r="F18" s="36">
        <v>3.5034715512209692E-2</v>
      </c>
      <c r="G18" s="69">
        <f t="shared" si="1"/>
        <v>93495.011441931973</v>
      </c>
      <c r="H18" s="75"/>
      <c r="I18" s="150">
        <v>93566.569943108363</v>
      </c>
      <c r="K18" s="139"/>
      <c r="L18" s="206"/>
      <c r="M18" s="139"/>
    </row>
    <row r="19" spans="1:13">
      <c r="A19" s="16">
        <f t="shared" si="2"/>
        <v>45962</v>
      </c>
      <c r="B19" s="34">
        <f>VLOOKUP(A19,'INCC - DI'!$E:$F,2,FALSE)</f>
        <v>1222.356</v>
      </c>
      <c r="C19" s="42">
        <v>3.6723243780556747E-2</v>
      </c>
      <c r="D19" s="31">
        <f t="shared" si="0"/>
        <v>98291.288528825447</v>
      </c>
      <c r="F19" s="36">
        <v>3.9231881009238148E-2</v>
      </c>
      <c r="G19" s="69">
        <f t="shared" si="1"/>
        <v>105005.76035304452</v>
      </c>
      <c r="H19" s="75"/>
      <c r="I19" s="150">
        <v>98366.517968100728</v>
      </c>
      <c r="K19" s="139"/>
      <c r="L19" s="206"/>
      <c r="M19" s="139"/>
    </row>
    <row r="20" spans="1:13">
      <c r="A20" s="16">
        <f t="shared" si="2"/>
        <v>45992</v>
      </c>
      <c r="B20" s="34">
        <f>VLOOKUP(A20,'INCC - DI'!$E:$F,2,FALSE)</f>
        <v>1225.633</v>
      </c>
      <c r="C20" s="42">
        <v>2.2394393140469371E-2</v>
      </c>
      <c r="D20" s="31">
        <f t="shared" si="0"/>
        <v>60100.215327970393</v>
      </c>
      <c r="F20" s="36">
        <v>1.9885755911788018E-2</v>
      </c>
      <c r="G20" s="69">
        <f t="shared" si="1"/>
        <v>53367.742754241517</v>
      </c>
      <c r="H20" s="75"/>
      <c r="I20" s="150">
        <v>60146.214373939903</v>
      </c>
      <c r="K20" s="139"/>
      <c r="L20" s="206"/>
      <c r="M20" s="139"/>
    </row>
    <row r="21" spans="1:13">
      <c r="A21" s="16">
        <f t="shared" si="2"/>
        <v>46023</v>
      </c>
      <c r="B21" s="34">
        <f>VLOOKUP(A21,'INCC - DI'!$E:$F,2,FALSE)</f>
        <v>1228.1610000000001</v>
      </c>
      <c r="C21" s="42">
        <v>3.7622096859530607E-2</v>
      </c>
      <c r="D21" s="31">
        <f t="shared" si="0"/>
        <v>101175.31929940511</v>
      </c>
      <c r="F21" s="36">
        <v>3.7622101058032584E-2</v>
      </c>
      <c r="G21" s="69">
        <f t="shared" si="1"/>
        <v>101175.33059023721</v>
      </c>
      <c r="H21" s="75"/>
      <c r="I21" s="150">
        <v>101252.75609622919</v>
      </c>
      <c r="K21" s="139"/>
      <c r="L21" s="206"/>
      <c r="M21" s="139"/>
    </row>
    <row r="22" spans="1:13">
      <c r="A22" s="16">
        <f t="shared" si="2"/>
        <v>46054</v>
      </c>
      <c r="B22" s="34">
        <f>VLOOKUP(A22,'INCC - DI'!$E:$F,2,FALSE)</f>
        <v>1237.0360000000001</v>
      </c>
      <c r="C22" s="42">
        <v>2.4990869999999998E-2</v>
      </c>
      <c r="D22" s="31">
        <f t="shared" si="0"/>
        <v>67692.413403671671</v>
      </c>
      <c r="F22" s="36">
        <v>2.4797362090114371E-2</v>
      </c>
      <c r="G22" s="69">
        <f t="shared" si="1"/>
        <v>67168.261286003981</v>
      </c>
      <c r="H22" s="75"/>
      <c r="I22" s="150">
        <v>67744.223308494082</v>
      </c>
      <c r="K22" s="139">
        <f>SUM(K4:K21)</f>
        <v>-1828.83</v>
      </c>
      <c r="L22" s="206"/>
      <c r="M22" s="139"/>
    </row>
    <row r="23" spans="1:13">
      <c r="A23" s="16">
        <f t="shared" si="2"/>
        <v>46082</v>
      </c>
      <c r="B23" s="34">
        <f>VLOOKUP(A23,'INCC - DI'!$E:$F,2,FALSE)</f>
        <v>1240.481</v>
      </c>
      <c r="C23" s="42">
        <v>3.4047029999999978E-2</v>
      </c>
      <c r="D23" s="31">
        <f t="shared" si="0"/>
        <v>92479.534332826297</v>
      </c>
      <c r="F23" s="36">
        <v>4.1409090868739708E-2</v>
      </c>
      <c r="G23" s="69">
        <f t="shared" si="1"/>
        <v>112476.57844712857</v>
      </c>
      <c r="H23" s="75"/>
      <c r="I23" s="150">
        <v>92550.315615851665</v>
      </c>
    </row>
    <row r="24" spans="1:13">
      <c r="A24" s="16">
        <f t="shared" si="2"/>
        <v>46113</v>
      </c>
      <c r="B24" s="34">
        <f>VLOOKUP(A24,'INCC - DI'!$E:$F,2,FALSE)</f>
        <v>1247.181</v>
      </c>
      <c r="C24" s="42">
        <v>5.0087159792343953E-2</v>
      </c>
      <c r="D24" s="31">
        <f t="shared" si="0"/>
        <v>136783.01608110039</v>
      </c>
      <c r="F24" s="36">
        <v>5.6998845236585237E-2</v>
      </c>
      <c r="G24" s="69">
        <f t="shared" si="1"/>
        <v>155658.13667461573</v>
      </c>
      <c r="H24" s="75"/>
      <c r="I24" s="150">
        <v>136887.70602622326</v>
      </c>
    </row>
    <row r="25" spans="1:13">
      <c r="A25" s="16">
        <f t="shared" si="2"/>
        <v>46143</v>
      </c>
      <c r="B25" s="34">
        <f>VLOOKUP(A25,'INCC - DI'!$E:$F,2,FALSE)</f>
        <v>1259.652</v>
      </c>
      <c r="C25" s="42">
        <v>2.2935000207656153E-2</v>
      </c>
      <c r="D25" s="31">
        <f t="shared" si="0"/>
        <v>63259.479334318079</v>
      </c>
      <c r="F25" s="36">
        <v>6.4913909700084815E-2</v>
      </c>
      <c r="G25" s="69">
        <f t="shared" si="1"/>
        <v>179046.00357542193</v>
      </c>
      <c r="H25" s="75"/>
      <c r="I25" s="150">
        <v>60757.705797713716</v>
      </c>
    </row>
    <row r="26" spans="1:13">
      <c r="A26" s="23">
        <f t="shared" si="2"/>
        <v>46174</v>
      </c>
      <c r="B26" s="174">
        <f>VLOOKUP(A26,'INCC - DI'!$E:$F,2,FALSE)</f>
        <v>1270.6949999999999</v>
      </c>
      <c r="C26" s="161">
        <v>6.0152690000000009E-2</v>
      </c>
      <c r="D26" s="25">
        <f t="shared" si="0"/>
        <v>167368.08950575275</v>
      </c>
      <c r="F26" s="36">
        <v>8.7851780099998653E-2</v>
      </c>
      <c r="G26" s="69">
        <f t="shared" si="1"/>
        <v>244437.69006866164</v>
      </c>
      <c r="H26" s="75"/>
      <c r="I26" s="150">
        <v>168685.89070289861</v>
      </c>
    </row>
    <row r="27" spans="1:13">
      <c r="A27" s="16">
        <f t="shared" si="2"/>
        <v>46204</v>
      </c>
      <c r="B27" s="34">
        <f>VLOOKUP(A27,'INCC - DI'!$E:$F,2,FALSE)</f>
        <v>1270.6949999999999</v>
      </c>
      <c r="C27" s="42"/>
      <c r="D27" s="31">
        <f t="shared" si="0"/>
        <v>0</v>
      </c>
      <c r="F27" s="36">
        <v>8.4873136535717722E-2</v>
      </c>
      <c r="G27" s="69">
        <f t="shared" si="1"/>
        <v>236149.94960896973</v>
      </c>
      <c r="H27" s="75">
        <f>(F27*$G$1/(SUM($F$27:$F$46)))</f>
        <v>315976.26810389268</v>
      </c>
    </row>
    <row r="28" spans="1:13">
      <c r="A28" s="16">
        <f t="shared" si="2"/>
        <v>46235</v>
      </c>
      <c r="B28" s="34">
        <f>VLOOKUP(A28,'INCC - DI'!$E:$F,2,FALSE)</f>
        <v>1270.6949999999999</v>
      </c>
      <c r="C28" s="42"/>
      <c r="D28" s="31">
        <f t="shared" si="0"/>
        <v>0</v>
      </c>
      <c r="F28" s="36">
        <v>6.7938376225980646E-2</v>
      </c>
      <c r="G28" s="69">
        <f t="shared" si="1"/>
        <v>189030.88512027366</v>
      </c>
      <c r="H28" s="75">
        <f t="shared" ref="H28:H34" si="3">(F28*$G$1/(SUM($F$27:$F$46)))</f>
        <v>252929.43629919377</v>
      </c>
    </row>
    <row r="29" spans="1:13">
      <c r="A29" s="16">
        <f t="shared" si="2"/>
        <v>46266</v>
      </c>
      <c r="B29" s="34">
        <f>VLOOKUP(A29,'INCC - DI'!$E:$F,2,FALSE)</f>
        <v>1270.6949999999999</v>
      </c>
      <c r="C29" s="42"/>
      <c r="D29" s="31">
        <f t="shared" si="0"/>
        <v>0</v>
      </c>
      <c r="F29" s="36">
        <v>5.2792493048281125E-2</v>
      </c>
      <c r="G29" s="69">
        <f t="shared" si="1"/>
        <v>146889.16990639232</v>
      </c>
      <c r="H29" s="75">
        <f t="shared" si="3"/>
        <v>196542.45875874421</v>
      </c>
    </row>
    <row r="30" spans="1:13">
      <c r="A30" s="16">
        <f t="shared" si="2"/>
        <v>46296</v>
      </c>
      <c r="B30" s="34">
        <f>VLOOKUP(A30,'INCC - DI'!$E:$F,2,FALSE)</f>
        <v>1270.6949999999999</v>
      </c>
      <c r="C30" s="42"/>
      <c r="D30" s="31">
        <f t="shared" si="0"/>
        <v>0</v>
      </c>
      <c r="F30" s="36">
        <v>2.7591773034363356E-2</v>
      </c>
      <c r="G30" s="69">
        <f t="shared" si="1"/>
        <v>76771.002906731868</v>
      </c>
      <c r="H30" s="75">
        <f t="shared" si="3"/>
        <v>102722.0841555532</v>
      </c>
    </row>
    <row r="31" spans="1:13">
      <c r="A31" s="16">
        <f t="shared" si="2"/>
        <v>46327</v>
      </c>
      <c r="B31" s="34">
        <f>VLOOKUP(A31,'INCC - DI'!$E:$F,2,FALSE)</f>
        <v>1270.6949999999999</v>
      </c>
      <c r="C31" s="42"/>
      <c r="D31" s="31">
        <f t="shared" si="0"/>
        <v>0</v>
      </c>
      <c r="F31" s="36">
        <v>1.0680476775644366E-2</v>
      </c>
      <c r="G31" s="69">
        <f t="shared" si="1"/>
        <v>29717.224499023399</v>
      </c>
      <c r="H31" s="75">
        <f t="shared" si="3"/>
        <v>39762.607238135635</v>
      </c>
    </row>
    <row r="32" spans="1:13">
      <c r="A32" s="16">
        <f t="shared" si="2"/>
        <v>46357</v>
      </c>
      <c r="B32" s="34">
        <f>VLOOKUP(A32,'INCC - DI'!$E:$F,2,FALSE)</f>
        <v>1270.6949999999999</v>
      </c>
      <c r="C32" s="42"/>
      <c r="D32" s="31">
        <f t="shared" si="0"/>
        <v>0</v>
      </c>
      <c r="F32" s="36">
        <v>5.9921697297339355E-4</v>
      </c>
      <c r="G32" s="69">
        <f t="shared" si="1"/>
        <v>1667.2537830972672</v>
      </c>
      <c r="H32" s="75">
        <f t="shared" si="3"/>
        <v>2230.8394697415656</v>
      </c>
    </row>
    <row r="33" spans="1:8">
      <c r="A33" s="16">
        <f t="shared" si="2"/>
        <v>46388</v>
      </c>
      <c r="B33" s="34">
        <f>VLOOKUP(A33,'INCC - DI'!$E:$F,2,FALSE)</f>
        <v>1270.6949999999999</v>
      </c>
      <c r="C33" s="42"/>
      <c r="D33" s="31">
        <f t="shared" si="0"/>
        <v>0</v>
      </c>
      <c r="F33" s="36">
        <v>8.9882545946009021E-4</v>
      </c>
      <c r="G33" s="69">
        <f t="shared" si="1"/>
        <v>2500.8806746459004</v>
      </c>
      <c r="H33" s="75">
        <f t="shared" si="3"/>
        <v>3346.2592046123477</v>
      </c>
    </row>
    <row r="34" spans="1:8">
      <c r="A34" s="16">
        <f t="shared" si="2"/>
        <v>46419</v>
      </c>
      <c r="B34" s="34">
        <f>VLOOKUP(A34,'INCC - DI'!$E:$F,2,FALSE)</f>
        <v>1270.6949999999999</v>
      </c>
      <c r="C34" s="42"/>
      <c r="D34" s="31">
        <f t="shared" si="0"/>
        <v>0</v>
      </c>
      <c r="F34" s="36">
        <v>4.2801212355242396E-4</v>
      </c>
      <c r="G34" s="69">
        <f t="shared" si="1"/>
        <v>1190.8955593551909</v>
      </c>
      <c r="H34" s="75">
        <f t="shared" si="3"/>
        <v>1593.4567641011183</v>
      </c>
    </row>
    <row r="35" spans="1:8">
      <c r="C35" s="199">
        <f>SUM(C5:C34)</f>
        <v>0.67048790000000003</v>
      </c>
    </row>
    <row r="36" spans="1:8">
      <c r="C36" s="197">
        <v>0.67048790000000003</v>
      </c>
    </row>
    <row r="37" spans="1:8">
      <c r="C37" s="199">
        <f>C36-C35</f>
        <v>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D32E-46B7-4BBD-81AC-985EA95D3524}">
  <sheetPr>
    <tabColor theme="9" tint="0.39997558519241921"/>
  </sheetPr>
  <dimension ref="A1:M39"/>
  <sheetViews>
    <sheetView topLeftCell="A13" workbookViewId="0">
      <selection activeCell="I29" sqref="I29"/>
    </sheetView>
  </sheetViews>
  <sheetFormatPr defaultRowHeight="14.4"/>
  <cols>
    <col min="1" max="1" width="9.5546875" bestFit="1" customWidth="1"/>
    <col min="2" max="2" width="12.33203125" bestFit="1" customWidth="1"/>
    <col min="3" max="3" width="16.33203125" bestFit="1" customWidth="1"/>
    <col min="4" max="4" width="18.6640625" bestFit="1" customWidth="1"/>
    <col min="5" max="5" width="5.6640625" customWidth="1"/>
    <col min="6" max="6" width="16.33203125" bestFit="1" customWidth="1"/>
    <col min="7" max="7" width="18.5546875" bestFit="1" customWidth="1"/>
    <col min="8" max="9" width="15.88671875" bestFit="1" customWidth="1"/>
    <col min="10" max="10" width="13.33203125" bestFit="1" customWidth="1"/>
    <col min="11" max="11" width="19.88671875" bestFit="1" customWidth="1"/>
    <col min="12" max="12" width="10.5546875" bestFit="1" customWidth="1"/>
    <col min="13" max="13" width="107.44140625" bestFit="1" customWidth="1"/>
  </cols>
  <sheetData>
    <row r="1" spans="1:13">
      <c r="A1" s="216" t="s">
        <v>129</v>
      </c>
      <c r="B1" s="216"/>
      <c r="C1" s="216"/>
      <c r="D1" s="216"/>
      <c r="F1" t="s">
        <v>152</v>
      </c>
      <c r="G1" s="69">
        <f>G3-D3</f>
        <v>251027.91067903931</v>
      </c>
      <c r="H1" s="69">
        <f>G3-I3</f>
        <v>251027.91067903931</v>
      </c>
    </row>
    <row r="2" spans="1:13">
      <c r="A2" s="19" t="s">
        <v>1</v>
      </c>
      <c r="B2" s="19" t="s">
        <v>0</v>
      </c>
      <c r="C2" s="19" t="s">
        <v>23</v>
      </c>
      <c r="D2" s="19" t="s">
        <v>3</v>
      </c>
      <c r="G2" s="19" t="s">
        <v>127</v>
      </c>
      <c r="I2" s="19" t="s">
        <v>72</v>
      </c>
    </row>
    <row r="3" spans="1:13">
      <c r="A3" s="20">
        <v>45231</v>
      </c>
      <c r="B3" s="21">
        <f>VLOOKUP(A3,'INCC - DI'!$E:$F,2,FALSE)</f>
        <v>1084.242</v>
      </c>
      <c r="C3" s="22">
        <f>1789232.84+K22</f>
        <v>1789587.6616</v>
      </c>
      <c r="D3" s="22">
        <f>SUM(D5:D34)</f>
        <v>1740917.8578133474</v>
      </c>
      <c r="E3" s="69"/>
      <c r="G3" s="22">
        <f>SUM(G5:G34)</f>
        <v>1991945.7684923867</v>
      </c>
      <c r="I3" s="142">
        <f>SUM(I5:I34)</f>
        <v>1740917.8578133474</v>
      </c>
      <c r="J3" s="69">
        <f>D3-I3</f>
        <v>0</v>
      </c>
      <c r="K3" s="19" t="s">
        <v>137</v>
      </c>
      <c r="L3" s="19" t="s">
        <v>192</v>
      </c>
      <c r="M3" s="19" t="s">
        <v>31</v>
      </c>
    </row>
    <row r="4" spans="1:13">
      <c r="A4" s="19" t="s">
        <v>5</v>
      </c>
      <c r="B4" s="19" t="s">
        <v>128</v>
      </c>
      <c r="C4" s="19" t="s">
        <v>24</v>
      </c>
      <c r="D4" s="19" t="s">
        <v>3</v>
      </c>
      <c r="F4" s="19" t="s">
        <v>125</v>
      </c>
      <c r="G4" s="19" t="s">
        <v>124</v>
      </c>
      <c r="I4" s="19" t="s">
        <v>72</v>
      </c>
      <c r="K4" s="139">
        <f>2895.64*8%</f>
        <v>231.65119999999999</v>
      </c>
      <c r="L4" s="206">
        <v>46050</v>
      </c>
      <c r="M4" s="139" t="s">
        <v>197</v>
      </c>
    </row>
    <row r="5" spans="1:13">
      <c r="A5" s="16">
        <v>45444</v>
      </c>
      <c r="B5" s="14">
        <f>VLOOKUP(A5,'INCC - DI'!$E:$F,2,FALSE)</f>
        <v>1110.8869999999999</v>
      </c>
      <c r="C5" s="42">
        <v>3.9456415441948438E-2</v>
      </c>
      <c r="D5" s="31">
        <f t="shared" ref="D5:D28" si="0">(C5*$C$3)*B5/$B$3</f>
        <v>72345.956452947707</v>
      </c>
      <c r="F5" s="36">
        <v>3.9456415441948438E-2</v>
      </c>
      <c r="G5" s="69">
        <f>F5*($C$3/$B$3*B5)</f>
        <v>72345.956452947707</v>
      </c>
      <c r="H5" s="114"/>
      <c r="I5" s="150">
        <v>44403.900969864721</v>
      </c>
      <c r="K5" s="139">
        <f>1539.63*8%</f>
        <v>123.17040000000001</v>
      </c>
      <c r="L5" s="206">
        <v>46050</v>
      </c>
      <c r="M5" s="139" t="s">
        <v>198</v>
      </c>
    </row>
    <row r="6" spans="1:13">
      <c r="A6" s="16">
        <v>45474</v>
      </c>
      <c r="B6" s="14">
        <f>VLOOKUP(A6,'INCC - DI'!$E:$F,2,FALSE)</f>
        <v>1118.827</v>
      </c>
      <c r="C6" s="42">
        <v>1.8879537727151979E-2</v>
      </c>
      <c r="D6" s="31">
        <f t="shared" si="0"/>
        <v>34864.307634782315</v>
      </c>
      <c r="E6" s="13"/>
      <c r="F6" s="36">
        <v>1.8879537727151979E-2</v>
      </c>
      <c r="G6" s="69">
        <f t="shared" ref="G6:G34" si="1">F6*($C$3/$B$3*B6)</f>
        <v>34864.307634782315</v>
      </c>
      <c r="I6" s="150">
        <v>38627.573892845357</v>
      </c>
      <c r="K6" s="139"/>
      <c r="L6" s="206"/>
      <c r="M6" s="139"/>
    </row>
    <row r="7" spans="1:13">
      <c r="A7" s="16">
        <v>45505</v>
      </c>
      <c r="B7" s="14">
        <f>VLOOKUP(A7,'INCC - DI'!$E:$F,2,FALSE)</f>
        <v>1126.9159999999999</v>
      </c>
      <c r="C7" s="42">
        <v>2.0100982381095735E-2</v>
      </c>
      <c r="D7" s="31">
        <f t="shared" si="0"/>
        <v>37388.287914303044</v>
      </c>
      <c r="E7" s="87"/>
      <c r="F7" s="36">
        <v>2.0100982381095735E-2</v>
      </c>
      <c r="G7" s="69">
        <f t="shared" si="1"/>
        <v>37388.287914303037</v>
      </c>
      <c r="I7" s="150">
        <v>36383.375761094394</v>
      </c>
      <c r="K7" s="139"/>
      <c r="L7" s="206"/>
      <c r="M7" s="139"/>
    </row>
    <row r="8" spans="1:13">
      <c r="A8" s="16">
        <v>45536</v>
      </c>
      <c r="B8" s="14">
        <f>VLOOKUP(A8,'INCC - DI'!$E:$F,2,FALSE)</f>
        <v>1134.7750000000001</v>
      </c>
      <c r="C8" s="42">
        <v>2.8013435221844966E-2</v>
      </c>
      <c r="D8" s="31">
        <f t="shared" si="0"/>
        <v>52469.011027347609</v>
      </c>
      <c r="E8" s="152"/>
      <c r="F8" s="36">
        <v>2.8013435221844966E-2</v>
      </c>
      <c r="G8" s="69">
        <f t="shared" si="1"/>
        <v>52469.011027347609</v>
      </c>
      <c r="I8" s="150">
        <v>51058.763332425915</v>
      </c>
      <c r="K8" s="139"/>
      <c r="L8" s="206"/>
      <c r="M8" s="139"/>
    </row>
    <row r="9" spans="1:13">
      <c r="A9" s="16">
        <v>45566</v>
      </c>
      <c r="B9" s="14">
        <f>VLOOKUP(A9,'INCC - DI'!$E:$F,2,FALSE)</f>
        <v>1141.3979999999999</v>
      </c>
      <c r="C9" s="42">
        <v>2.2520491878625124E-2</v>
      </c>
      <c r="D9" s="31">
        <f>(C9*$C$3)*B9/$B$3</f>
        <v>42426.941921085527</v>
      </c>
      <c r="E9" s="153"/>
      <c r="F9" s="36">
        <v>2.2520491878625124E-2</v>
      </c>
      <c r="G9" s="69">
        <f t="shared" si="1"/>
        <v>42426.941921085527</v>
      </c>
      <c r="H9" s="68"/>
      <c r="I9" s="150">
        <v>67284.162206742432</v>
      </c>
      <c r="K9" s="139"/>
      <c r="L9" s="206"/>
      <c r="M9" s="139"/>
    </row>
    <row r="10" spans="1:13">
      <c r="A10" s="16">
        <v>45597</v>
      </c>
      <c r="B10" s="34">
        <f>VLOOKUP(A10,'INCC - DI'!$E:$F,2,FALSE)</f>
        <v>1149.17</v>
      </c>
      <c r="C10" s="42">
        <v>2.8623754510050892E-2</v>
      </c>
      <c r="D10" s="31">
        <f t="shared" si="0"/>
        <v>54292.223570914721</v>
      </c>
      <c r="F10" s="36">
        <v>2.8623754510050892E-2</v>
      </c>
      <c r="G10" s="69">
        <f t="shared" si="1"/>
        <v>54292.223570914721</v>
      </c>
      <c r="H10" s="75"/>
      <c r="I10" s="150">
        <v>71309.804082344403</v>
      </c>
      <c r="K10" s="139"/>
      <c r="L10" s="206"/>
      <c r="M10" s="139"/>
    </row>
    <row r="11" spans="1:13">
      <c r="A11" s="16">
        <v>45627</v>
      </c>
      <c r="B11" s="14">
        <f>VLOOKUP(A11,'INCC - DI'!$E:$F,2,FALSE)</f>
        <v>1153.7249999999999</v>
      </c>
      <c r="C11" s="42">
        <v>3.1255530727602128E-2</v>
      </c>
      <c r="D11" s="31">
        <f t="shared" si="0"/>
        <v>59519.041898999501</v>
      </c>
      <c r="F11" s="36">
        <v>3.1255530727602128E-2</v>
      </c>
      <c r="G11" s="69">
        <f t="shared" si="1"/>
        <v>59519.041898999501</v>
      </c>
      <c r="H11" s="75"/>
      <c r="I11" s="150">
        <v>34522.29</v>
      </c>
      <c r="K11" s="139"/>
      <c r="L11" s="206"/>
      <c r="M11" s="139"/>
    </row>
    <row r="12" spans="1:13">
      <c r="A12" s="16">
        <v>45658</v>
      </c>
      <c r="B12" s="14">
        <f>VLOOKUP(A12,'INCC - DI'!$E:$F,2,FALSE)</f>
        <v>1159.5360000000001</v>
      </c>
      <c r="C12" s="42">
        <v>1.6029647428136624E-2</v>
      </c>
      <c r="D12" s="31">
        <f t="shared" si="0"/>
        <v>30678.559049775584</v>
      </c>
      <c r="F12" s="36">
        <v>1.6029647428136624E-2</v>
      </c>
      <c r="G12" s="69">
        <f t="shared" si="1"/>
        <v>30678.559049775584</v>
      </c>
      <c r="H12" s="75"/>
      <c r="I12" s="150">
        <v>30073.833679998235</v>
      </c>
      <c r="J12" s="69"/>
      <c r="K12" s="139"/>
      <c r="L12" s="206"/>
      <c r="M12" s="139"/>
    </row>
    <row r="13" spans="1:13">
      <c r="A13" s="16">
        <v>45689</v>
      </c>
      <c r="B13" s="14">
        <f>VLOOKUP(A13,'INCC - DI'!$E:$F,2,FALSE)</f>
        <v>1169.116</v>
      </c>
      <c r="C13" s="42">
        <v>2.6916266296960419E-2</v>
      </c>
      <c r="D13" s="31">
        <f t="shared" si="0"/>
        <v>51939.668192016798</v>
      </c>
      <c r="F13" s="36">
        <v>2.6916266296960419E-2</v>
      </c>
      <c r="G13" s="69">
        <f t="shared" si="1"/>
        <v>51939.668192016798</v>
      </c>
      <c r="H13" s="75"/>
      <c r="I13" s="150">
        <v>53881.225504532864</v>
      </c>
      <c r="J13" s="76"/>
      <c r="K13" s="139"/>
      <c r="L13" s="206"/>
      <c r="M13" s="139"/>
    </row>
    <row r="14" spans="1:13">
      <c r="A14" s="176">
        <v>45717</v>
      </c>
      <c r="B14" s="177">
        <f>VLOOKUP(A14,'INCC - DI'!$E:$F,2,FALSE)</f>
        <v>1173.7750000000001</v>
      </c>
      <c r="C14" s="147">
        <v>3.2724422799895972E-2</v>
      </c>
      <c r="D14" s="30">
        <f t="shared" si="0"/>
        <v>63399.174169978731</v>
      </c>
      <c r="F14" s="36">
        <v>3.2724422799895972E-2</v>
      </c>
      <c r="G14" s="69">
        <f t="shared" si="1"/>
        <v>63399.174169978731</v>
      </c>
      <c r="H14" s="75"/>
      <c r="I14" s="150">
        <v>62717.952724417846</v>
      </c>
      <c r="J14" s="76"/>
      <c r="K14" s="139"/>
      <c r="L14" s="206"/>
      <c r="M14" s="139"/>
    </row>
    <row r="15" spans="1:13">
      <c r="A15" s="176">
        <v>45748</v>
      </c>
      <c r="B15" s="177">
        <f>VLOOKUP(A15,'INCC - DI'!$E:$F,2,FALSE)</f>
        <v>1178.386</v>
      </c>
      <c r="C15" s="147">
        <v>3.4862821697394845E-2</v>
      </c>
      <c r="D15" s="30">
        <f t="shared" si="0"/>
        <v>67807.363648287894</v>
      </c>
      <c r="F15" s="36">
        <v>3.4862821697394845E-2</v>
      </c>
      <c r="G15" s="69">
        <f t="shared" si="1"/>
        <v>67807.363648287894</v>
      </c>
      <c r="H15" s="75"/>
      <c r="I15" s="150">
        <v>66316.475050475958</v>
      </c>
      <c r="K15" s="139"/>
      <c r="L15" s="206"/>
      <c r="M15" s="139"/>
    </row>
    <row r="16" spans="1:13">
      <c r="A16" s="176">
        <v>45778</v>
      </c>
      <c r="B16" s="177">
        <f>VLOOKUP(A16,'INCC - DI'!$E:$F,2,FALSE)</f>
        <v>1184.462</v>
      </c>
      <c r="C16" s="147">
        <v>5.0790044219605708E-2</v>
      </c>
      <c r="D16" s="30">
        <f t="shared" si="0"/>
        <v>99294.792724131097</v>
      </c>
      <c r="F16" s="36">
        <v>5.0790044219605708E-2</v>
      </c>
      <c r="G16" s="69">
        <f t="shared" si="1"/>
        <v>99294.792724131083</v>
      </c>
      <c r="H16" s="75"/>
      <c r="I16" s="179">
        <v>97753.589025929337</v>
      </c>
      <c r="K16" s="139"/>
      <c r="L16" s="206"/>
      <c r="M16" s="139"/>
    </row>
    <row r="17" spans="1:13">
      <c r="A17" s="16">
        <v>45809</v>
      </c>
      <c r="B17" s="14">
        <f>VLOOKUP(A17,'INCC - DI'!$E:$F,2,FALSE)</f>
        <v>1191.327</v>
      </c>
      <c r="C17" s="42">
        <v>4.3122788265023269E-2</v>
      </c>
      <c r="D17" s="31">
        <f t="shared" si="0"/>
        <v>84793.891893454449</v>
      </c>
      <c r="F17" s="36">
        <v>4.3122788265023269E-2</v>
      </c>
      <c r="G17" s="69">
        <f t="shared" si="1"/>
        <v>84793.891893454449</v>
      </c>
      <c r="H17" s="75"/>
      <c r="I17" s="179">
        <v>85255.29</v>
      </c>
      <c r="K17" s="139"/>
      <c r="L17" s="206"/>
      <c r="M17" s="139"/>
    </row>
    <row r="18" spans="1:13">
      <c r="A18" s="16">
        <v>45839</v>
      </c>
      <c r="B18" s="14">
        <f>VLOOKUP(A18,'INCC - DI'!$E:$F,2,FALSE)</f>
        <v>1199.509</v>
      </c>
      <c r="C18" s="42">
        <v>4.9059773237230389E-2</v>
      </c>
      <c r="D18" s="31">
        <f t="shared" si="0"/>
        <v>97130.538780032832</v>
      </c>
      <c r="F18" s="36">
        <v>4.9059773237230389E-2</v>
      </c>
      <c r="G18" s="69">
        <f t="shared" si="1"/>
        <v>97130.538780032832</v>
      </c>
      <c r="H18" s="75"/>
      <c r="I18" s="179">
        <v>93368.096110828104</v>
      </c>
      <c r="K18" s="139"/>
      <c r="L18" s="206"/>
      <c r="M18" s="139"/>
    </row>
    <row r="19" spans="1:13">
      <c r="A19" s="16">
        <v>45870</v>
      </c>
      <c r="B19" s="14">
        <f>VLOOKUP(A19,'INCC - DI'!$E:$F,2,FALSE)</f>
        <v>1210.471</v>
      </c>
      <c r="C19" s="42">
        <v>4.3654817974575211E-2</v>
      </c>
      <c r="D19" s="31">
        <f t="shared" si="0"/>
        <v>87219.445509787343</v>
      </c>
      <c r="F19" s="36">
        <v>4.3654817974575211E-2</v>
      </c>
      <c r="G19" s="69">
        <f t="shared" si="1"/>
        <v>87219.445509787343</v>
      </c>
      <c r="H19" s="75"/>
      <c r="I19" s="179">
        <v>85636.836317100271</v>
      </c>
      <c r="K19" s="139"/>
      <c r="L19" s="206"/>
      <c r="M19" s="139"/>
    </row>
    <row r="20" spans="1:13">
      <c r="A20" s="16">
        <v>45901</v>
      </c>
      <c r="B20" s="14">
        <f>VLOOKUP(A20,'INCC - DI'!$E:$F,2,FALSE)</f>
        <v>1216.7059999999999</v>
      </c>
      <c r="C20" s="42">
        <v>4.9249781923929932E-2</v>
      </c>
      <c r="D20" s="31">
        <f t="shared" si="0"/>
        <v>98904.650342273628</v>
      </c>
      <c r="F20" s="36">
        <v>4.9249781923929932E-2</v>
      </c>
      <c r="G20" s="69">
        <f t="shared" si="1"/>
        <v>98904.650342273628</v>
      </c>
      <c r="H20" s="75"/>
      <c r="I20" s="179">
        <v>97110.011452788603</v>
      </c>
      <c r="K20" s="139"/>
      <c r="L20" s="206"/>
      <c r="M20" s="139"/>
    </row>
    <row r="21" spans="1:13">
      <c r="A21" s="16">
        <v>45931</v>
      </c>
      <c r="B21" s="14">
        <f>VLOOKUP(A21,'INCC - DI'!$E:$F,2,FALSE)</f>
        <v>1218.7470000000001</v>
      </c>
      <c r="C21" s="42">
        <v>5.3776678268928402E-2</v>
      </c>
      <c r="D21" s="31">
        <f t="shared" si="0"/>
        <v>108176.83799225364</v>
      </c>
      <c r="F21" s="36">
        <v>5.377667896631632E-2</v>
      </c>
      <c r="G21" s="69">
        <f t="shared" si="1"/>
        <v>108176.83939511492</v>
      </c>
      <c r="H21" s="75"/>
      <c r="I21" s="179">
        <v>106213.95394453121</v>
      </c>
      <c r="K21" s="139"/>
      <c r="L21" s="206"/>
      <c r="M21" s="139"/>
    </row>
    <row r="22" spans="1:13">
      <c r="A22" s="16">
        <v>45962</v>
      </c>
      <c r="B22" s="14">
        <f>VLOOKUP(A22,'INCC - DI'!$E:$F,2,FALSE)</f>
        <v>1222.356</v>
      </c>
      <c r="C22" s="42">
        <v>4.4653940000000003E-2</v>
      </c>
      <c r="D22" s="31">
        <f t="shared" si="0"/>
        <v>90091.588300677962</v>
      </c>
      <c r="F22" s="36">
        <v>4.4653941798416343E-2</v>
      </c>
      <c r="G22" s="69">
        <f t="shared" si="1"/>
        <v>90091.591929074115</v>
      </c>
      <c r="H22" s="75"/>
      <c r="I22" s="179">
        <v>88456.863670235034</v>
      </c>
      <c r="K22" s="139">
        <f>SUM(K4:K21)</f>
        <v>354.82159999999999</v>
      </c>
      <c r="L22" s="206"/>
      <c r="M22" s="139"/>
    </row>
    <row r="23" spans="1:13">
      <c r="A23" s="16">
        <v>45992</v>
      </c>
      <c r="B23" s="14">
        <f>VLOOKUP(A23,'INCC - DI'!$E:$F,2,FALSE)</f>
        <v>1225.633</v>
      </c>
      <c r="C23" s="42">
        <v>2.9269210000000045E-2</v>
      </c>
      <c r="D23" s="31">
        <f t="shared" si="0"/>
        <v>59210.427513568859</v>
      </c>
      <c r="F23" s="36">
        <v>2.9269212007093176E-2</v>
      </c>
      <c r="G23" s="69">
        <f t="shared" si="1"/>
        <v>59210.431573837042</v>
      </c>
      <c r="H23" s="75"/>
      <c r="I23" s="179">
        <v>58136.045919668628</v>
      </c>
    </row>
    <row r="24" spans="1:13">
      <c r="A24" s="16">
        <v>46023</v>
      </c>
      <c r="B24" s="14">
        <f>VLOOKUP(A24,'INCC - DI'!$E:$F,2,FALSE)</f>
        <v>1228.1610000000001</v>
      </c>
      <c r="C24" s="42">
        <v>3.0599999999999961E-2</v>
      </c>
      <c r="D24" s="31">
        <f t="shared" si="0"/>
        <v>62030.242533479097</v>
      </c>
      <c r="F24" s="36">
        <v>2.7149353889076279E-2</v>
      </c>
      <c r="G24" s="69">
        <f t="shared" si="1"/>
        <v>55035.327005446328</v>
      </c>
      <c r="H24" s="75"/>
      <c r="I24" s="179">
        <v>84936.0001894983</v>
      </c>
    </row>
    <row r="25" spans="1:13">
      <c r="A25" s="16">
        <v>46054</v>
      </c>
      <c r="B25" s="14">
        <f>VLOOKUP(A25,'INCC - DI'!$E:$F,2,FALSE)</f>
        <v>1237.0360000000001</v>
      </c>
      <c r="C25" s="42">
        <v>2.4051069999999952E-2</v>
      </c>
      <c r="D25" s="31">
        <f t="shared" si="0"/>
        <v>49107.00993755638</v>
      </c>
      <c r="F25" s="36">
        <v>2.7501714415888098E-2</v>
      </c>
      <c r="G25" s="69">
        <f t="shared" si="1"/>
        <v>56152.469021995988</v>
      </c>
      <c r="H25" s="75"/>
      <c r="I25" s="179">
        <v>49365.726483164355</v>
      </c>
    </row>
    <row r="26" spans="1:13">
      <c r="A26" s="16">
        <v>46082</v>
      </c>
      <c r="B26" s="14">
        <f>VLOOKUP(A26,'INCC - DI'!$E:$F,2,FALSE)</f>
        <v>1240.481</v>
      </c>
      <c r="C26" s="42">
        <v>3.7214840000000082E-2</v>
      </c>
      <c r="D26" s="31">
        <f t="shared" si="0"/>
        <v>76196.149157377731</v>
      </c>
      <c r="F26" s="36">
        <v>3.2588230019236275E-2</v>
      </c>
      <c r="G26" s="69">
        <f t="shared" si="1"/>
        <v>66723.318851314572</v>
      </c>
      <c r="H26" s="75"/>
      <c r="I26" s="179">
        <v>76474.339846546762</v>
      </c>
    </row>
    <row r="27" spans="1:13">
      <c r="A27" s="16">
        <v>46113</v>
      </c>
      <c r="B27" s="14">
        <f>VLOOKUP(A27,'INCC - DI'!$E:$F,2,FALSE)</f>
        <v>1247.181</v>
      </c>
      <c r="C27" s="42">
        <v>2.9946161639848076E-2</v>
      </c>
      <c r="D27" s="31">
        <f t="shared" si="0"/>
        <v>61644.935269497619</v>
      </c>
      <c r="F27" s="36">
        <v>2.2074525583921478E-2</v>
      </c>
      <c r="G27" s="69">
        <f t="shared" si="1"/>
        <v>45440.972271884537</v>
      </c>
      <c r="H27" s="75"/>
      <c r="I27" s="179">
        <v>61644.935269497568</v>
      </c>
    </row>
    <row r="28" spans="1:13">
      <c r="A28" s="16">
        <v>46143</v>
      </c>
      <c r="B28" s="14">
        <f>VLOOKUP(A28,'INCC - DI'!$E:$F,2,FALSE)</f>
        <v>1259.652</v>
      </c>
      <c r="C28" s="42">
        <v>3.7260638360151921E-2</v>
      </c>
      <c r="D28" s="31">
        <f t="shared" si="0"/>
        <v>77468.941506954186</v>
      </c>
      <c r="F28" s="36">
        <v>5.362164949483747E-2</v>
      </c>
      <c r="G28" s="69">
        <f t="shared" si="1"/>
        <v>111485.2726909917</v>
      </c>
      <c r="H28" s="75"/>
      <c r="I28" s="179">
        <v>76701.971606113948</v>
      </c>
    </row>
    <row r="29" spans="1:13">
      <c r="A29" s="23">
        <v>46174</v>
      </c>
      <c r="B29" s="24">
        <f>VLOOKUP(A29,'INCC - DI'!$E:$F,2,FALSE)</f>
        <v>1270.6949999999999</v>
      </c>
      <c r="C29" s="161">
        <v>5.8415939999999944E-2</v>
      </c>
      <c r="D29" s="25">
        <f t="shared" ref="D29:D34" si="2">(C29*$C$3)*B29/$B$3</f>
        <v>122517.87087186308</v>
      </c>
      <c r="F29" s="36">
        <v>6.2794275471192665E-2</v>
      </c>
      <c r="G29" s="69">
        <f t="shared" si="1"/>
        <v>131700.71274504511</v>
      </c>
      <c r="H29" s="75"/>
      <c r="I29" s="179">
        <v>123284.84077270329</v>
      </c>
    </row>
    <row r="30" spans="1:13">
      <c r="A30" s="16">
        <v>46204</v>
      </c>
      <c r="B30" s="14">
        <f>VLOOKUP(A30,'INCC - DI'!$E:$F,2,FALSE)</f>
        <v>1270.6949999999999</v>
      </c>
      <c r="C30" s="42"/>
      <c r="D30" s="31">
        <f t="shared" si="2"/>
        <v>0</v>
      </c>
      <c r="F30" s="36">
        <v>5.1788300012005371E-2</v>
      </c>
      <c r="G30" s="69">
        <f t="shared" si="1"/>
        <v>108617.48100850872</v>
      </c>
      <c r="H30" s="75">
        <f>(F30*$G$1/(SUM($F$30:$F$46)))</f>
        <v>116793.47993328523</v>
      </c>
    </row>
    <row r="31" spans="1:13">
      <c r="A31" s="16">
        <v>46235</v>
      </c>
      <c r="B31" s="14">
        <f>VLOOKUP(A31,'INCC - DI'!$E:$F,2,FALSE)</f>
        <v>1270.6949999999999</v>
      </c>
      <c r="C31" s="42"/>
      <c r="D31" s="31">
        <f t="shared" si="2"/>
        <v>0</v>
      </c>
      <c r="F31" s="36">
        <v>3.9085452847997228E-2</v>
      </c>
      <c r="G31" s="69">
        <f t="shared" si="1"/>
        <v>81975.338666111027</v>
      </c>
      <c r="H31" s="75">
        <f t="shared" ref="H31:H34" si="3">(F31*$G$1/(SUM($F$30:$F$46)))</f>
        <v>88145.894957504017</v>
      </c>
    </row>
    <row r="32" spans="1:13">
      <c r="A32" s="16">
        <v>46266</v>
      </c>
      <c r="B32" s="14">
        <f>VLOOKUP(A32,'INCC - DI'!$E:$F,2,FALSE)</f>
        <v>1270.6949999999999</v>
      </c>
      <c r="C32" s="42"/>
      <c r="D32" s="31">
        <f t="shared" si="2"/>
        <v>0</v>
      </c>
      <c r="F32" s="36">
        <v>1.6336589872394017E-2</v>
      </c>
      <c r="G32" s="69">
        <f t="shared" si="1"/>
        <v>34263.322792932173</v>
      </c>
      <c r="H32" s="75">
        <f t="shared" si="3"/>
        <v>36842.43701757837</v>
      </c>
    </row>
    <row r="33" spans="1:8">
      <c r="A33" s="16">
        <v>46296</v>
      </c>
      <c r="B33" s="14">
        <f>VLOOKUP(A33,'INCC - DI'!$E:$F,2,FALSE)</f>
        <v>1270.6949999999999</v>
      </c>
      <c r="C33" s="42"/>
      <c r="D33" s="31">
        <f t="shared" si="2"/>
        <v>0</v>
      </c>
      <c r="F33" s="36">
        <v>2.0499420744621265E-3</v>
      </c>
      <c r="G33" s="69">
        <f t="shared" si="1"/>
        <v>4299.4179050058974</v>
      </c>
      <c r="H33" s="75">
        <f t="shared" si="3"/>
        <v>4623.0493853358385</v>
      </c>
    </row>
    <row r="34" spans="1:8">
      <c r="A34" s="16">
        <v>46327</v>
      </c>
      <c r="B34" s="14">
        <f>VLOOKUP(A34,'INCC - DI'!$E:$F,2,FALSE)</f>
        <v>1270.6949999999999</v>
      </c>
      <c r="C34" s="42"/>
      <c r="D34" s="31">
        <f t="shared" si="2"/>
        <v>0</v>
      </c>
      <c r="F34" s="36">
        <v>2.0499420744621265E-3</v>
      </c>
      <c r="G34" s="69">
        <f t="shared" si="1"/>
        <v>4299.4179050058974</v>
      </c>
      <c r="H34" s="75">
        <f t="shared" si="3"/>
        <v>4623.0493853358385</v>
      </c>
    </row>
    <row r="35" spans="1:8">
      <c r="C35" s="87">
        <f>SUM(C5:C34)</f>
        <v>0.88044898999999999</v>
      </c>
    </row>
    <row r="36" spans="1:8">
      <c r="C36" s="197">
        <v>0.88044898999999999</v>
      </c>
    </row>
    <row r="37" spans="1:8">
      <c r="C37" s="87">
        <f>C36-C35</f>
        <v>0</v>
      </c>
    </row>
    <row r="39" spans="1:8">
      <c r="C39" s="198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D036-1412-4943-B8A8-8D535B5DA3C6}">
  <sheetPr>
    <tabColor theme="9" tint="0.39997558519241921"/>
  </sheetPr>
  <dimension ref="A1:M51"/>
  <sheetViews>
    <sheetView topLeftCell="A11" workbookViewId="0">
      <selection activeCell="H25" sqref="H25:H48"/>
    </sheetView>
  </sheetViews>
  <sheetFormatPr defaultRowHeight="14.4"/>
  <cols>
    <col min="1" max="1" width="9.5546875" bestFit="1" customWidth="1"/>
    <col min="2" max="2" width="12.33203125" bestFit="1" customWidth="1"/>
    <col min="3" max="3" width="15.5546875" bestFit="1" customWidth="1"/>
    <col min="4" max="4" width="18.6640625" bestFit="1" customWidth="1"/>
    <col min="5" max="5" width="20" customWidth="1"/>
    <col min="6" max="6" width="16.33203125" bestFit="1" customWidth="1"/>
    <col min="7" max="7" width="18.5546875" bestFit="1" customWidth="1"/>
    <col min="8" max="9" width="15.88671875" bestFit="1" customWidth="1"/>
    <col min="10" max="10" width="17" bestFit="1" customWidth="1"/>
    <col min="11" max="11" width="19.88671875" bestFit="1" customWidth="1"/>
    <col min="12" max="12" width="10.5546875" bestFit="1" customWidth="1"/>
    <col min="13" max="13" width="53.77734375" bestFit="1" customWidth="1"/>
  </cols>
  <sheetData>
    <row r="1" spans="1:13">
      <c r="A1" s="216" t="s">
        <v>140</v>
      </c>
      <c r="B1" s="216"/>
      <c r="C1" s="216"/>
      <c r="D1" s="216"/>
      <c r="F1" t="s">
        <v>152</v>
      </c>
      <c r="G1" s="69">
        <f>G3-D3</f>
        <v>2900498.0140600251</v>
      </c>
      <c r="H1" s="69">
        <f>G3-I3</f>
        <v>2900498.0140600251</v>
      </c>
    </row>
    <row r="2" spans="1:13">
      <c r="A2" s="19" t="s">
        <v>1</v>
      </c>
      <c r="B2" s="19" t="s">
        <v>0</v>
      </c>
      <c r="C2" s="19" t="s">
        <v>23</v>
      </c>
      <c r="D2" s="19" t="s">
        <v>3</v>
      </c>
      <c r="G2" s="19" t="s">
        <v>127</v>
      </c>
      <c r="I2" s="19" t="s">
        <v>72</v>
      </c>
    </row>
    <row r="3" spans="1:13">
      <c r="A3" s="20">
        <v>45444</v>
      </c>
      <c r="B3" s="140">
        <f>VLOOKUP(A3,'INCC - DI'!$E:$F,2,FALSE)</f>
        <v>1110.8869999999999</v>
      </c>
      <c r="C3" s="22">
        <f>4387275.530048+K22</f>
        <v>4384297.0100480001</v>
      </c>
      <c r="D3" s="22">
        <f>SUM(D5:D48)</f>
        <v>2022858.9129366365</v>
      </c>
      <c r="E3" s="68"/>
      <c r="G3" s="22">
        <f>SUM(G5:G48)</f>
        <v>4923356.9269966614</v>
      </c>
      <c r="I3" s="159">
        <f>SUM(I5:I48)</f>
        <v>2022858.9129366365</v>
      </c>
      <c r="J3" s="69">
        <f>D3-I3</f>
        <v>0</v>
      </c>
      <c r="K3" s="19" t="s">
        <v>137</v>
      </c>
      <c r="L3" s="19" t="s">
        <v>192</v>
      </c>
      <c r="M3" s="19" t="s">
        <v>31</v>
      </c>
    </row>
    <row r="4" spans="1:13">
      <c r="A4" s="19" t="s">
        <v>5</v>
      </c>
      <c r="B4" s="19" t="s">
        <v>128</v>
      </c>
      <c r="C4" s="19" t="s">
        <v>24</v>
      </c>
      <c r="D4" s="19" t="s">
        <v>3</v>
      </c>
      <c r="E4" s="154"/>
      <c r="F4" s="19" t="s">
        <v>125</v>
      </c>
      <c r="G4" s="19" t="s">
        <v>124</v>
      </c>
      <c r="I4" s="19" t="s">
        <v>72</v>
      </c>
      <c r="K4" s="139">
        <v>-2978.52</v>
      </c>
      <c r="L4" s="206">
        <v>46124</v>
      </c>
      <c r="M4" s="139" t="s">
        <v>199</v>
      </c>
    </row>
    <row r="5" spans="1:13">
      <c r="A5" s="16">
        <v>45597</v>
      </c>
      <c r="B5" s="34">
        <f>VLOOKUP(A5,'INCC - DI'!$E:$F,2,FALSE)</f>
        <v>1149.17</v>
      </c>
      <c r="C5" s="155">
        <v>1.1380827708359589E-2</v>
      </c>
      <c r="D5" s="30">
        <f>(C5*$C$3)*B5/$B$3</f>
        <v>51616.459438894803</v>
      </c>
      <c r="E5" s="154"/>
      <c r="F5" s="36">
        <v>1.1380827708359589E-2</v>
      </c>
      <c r="G5" s="69">
        <f>F5*($C$3/$B$3*B5)</f>
        <v>51616.459438894803</v>
      </c>
      <c r="H5" s="69"/>
      <c r="I5" s="150">
        <v>38437.810000000005</v>
      </c>
      <c r="K5" s="139"/>
      <c r="L5" s="206"/>
      <c r="M5" s="139"/>
    </row>
    <row r="6" spans="1:13">
      <c r="A6" s="16">
        <f>EDATE(A5,1)</f>
        <v>45627</v>
      </c>
      <c r="B6" s="34">
        <f>VLOOKUP(A6,'INCC - DI'!$E:$F,2,FALSE)</f>
        <v>1153.7249999999999</v>
      </c>
      <c r="C6" s="155">
        <v>1.5123664032534595E-2</v>
      </c>
      <c r="D6" s="30">
        <f t="shared" ref="D6:D34" si="0">(C6*$C$3)*B6/$B$3</f>
        <v>68863.549995637964</v>
      </c>
      <c r="F6" s="36">
        <v>1.5123664032534595E-2</v>
      </c>
      <c r="G6" s="69">
        <f t="shared" ref="G6:G48" si="1">F6*($C$3/$B$3*B6)</f>
        <v>68863.54999563795</v>
      </c>
      <c r="H6" s="68"/>
      <c r="I6" s="150">
        <v>81848.038745955084</v>
      </c>
      <c r="J6" s="135"/>
      <c r="K6" s="139"/>
      <c r="L6" s="206"/>
      <c r="M6" s="139"/>
    </row>
    <row r="7" spans="1:13">
      <c r="A7" s="16">
        <f t="shared" ref="A7:A48" si="2">EDATE(A6,1)</f>
        <v>45658</v>
      </c>
      <c r="B7" s="34">
        <f>VLOOKUP(A7,'INCC - DI'!$E:$F,2,FALSE)</f>
        <v>1159.5360000000001</v>
      </c>
      <c r="C7" s="155">
        <v>1.4536545840001223E-2</v>
      </c>
      <c r="D7" s="30">
        <f t="shared" si="0"/>
        <v>66523.569076594868</v>
      </c>
      <c r="F7" s="36">
        <v>1.4536545840001223E-2</v>
      </c>
      <c r="G7" s="69">
        <f t="shared" si="1"/>
        <v>66523.569076594853</v>
      </c>
      <c r="H7" s="75"/>
      <c r="I7" s="150">
        <v>66335.94371685377</v>
      </c>
      <c r="J7" s="160"/>
      <c r="K7" s="139"/>
      <c r="L7" s="206"/>
      <c r="M7" s="139"/>
    </row>
    <row r="8" spans="1:13">
      <c r="A8" s="16">
        <f t="shared" si="2"/>
        <v>45689</v>
      </c>
      <c r="B8" s="34">
        <f>VLOOKUP(A8,'INCC - DI'!$E:$F,2,FALSE)</f>
        <v>1169.116</v>
      </c>
      <c r="C8" s="155">
        <v>1.1429840861179229E-2</v>
      </c>
      <c r="D8" s="31">
        <f t="shared" si="0"/>
        <v>52738.511816119375</v>
      </c>
      <c r="F8" s="36">
        <v>1.1429840861179229E-2</v>
      </c>
      <c r="G8" s="69">
        <f t="shared" si="1"/>
        <v>52738.511816119375</v>
      </c>
      <c r="H8" s="75"/>
      <c r="I8" s="150">
        <v>53208.476400291285</v>
      </c>
      <c r="J8" s="76"/>
      <c r="K8" s="139"/>
      <c r="L8" s="206"/>
      <c r="M8" s="139"/>
    </row>
    <row r="9" spans="1:13">
      <c r="A9" s="16">
        <f t="shared" si="2"/>
        <v>45717</v>
      </c>
      <c r="B9" s="34">
        <f>VLOOKUP(A9,'INCC - DI'!$E:$F,2,FALSE)</f>
        <v>1173.7750000000001</v>
      </c>
      <c r="C9" s="42">
        <v>9.0041097659225647E-3</v>
      </c>
      <c r="D9" s="31">
        <f t="shared" si="0"/>
        <v>41711.49144297668</v>
      </c>
      <c r="F9" s="36">
        <v>9.0041097659225647E-3</v>
      </c>
      <c r="G9" s="69">
        <f t="shared" si="1"/>
        <v>41711.491442976672</v>
      </c>
      <c r="H9" s="75"/>
      <c r="I9" s="150">
        <v>41726.833172243612</v>
      </c>
      <c r="K9" s="139"/>
      <c r="L9" s="206"/>
      <c r="M9" s="139"/>
    </row>
    <row r="10" spans="1:13" ht="16.2">
      <c r="A10" s="16">
        <f t="shared" si="2"/>
        <v>45748</v>
      </c>
      <c r="B10" s="34">
        <f>VLOOKUP(A10,'INCC - DI'!$E:$F,2,FALSE)</f>
        <v>1178.386</v>
      </c>
      <c r="C10" s="42">
        <v>1.4780327365277166E-2</v>
      </c>
      <c r="D10" s="31">
        <f t="shared" si="0"/>
        <v>68738.76264434171</v>
      </c>
      <c r="E10" s="180"/>
      <c r="F10" s="36">
        <v>1.4780327365277166E-2</v>
      </c>
      <c r="G10" s="69">
        <f t="shared" si="1"/>
        <v>68738.762644341725</v>
      </c>
      <c r="H10" s="75"/>
      <c r="I10" s="150">
        <v>68494.97287740765</v>
      </c>
      <c r="K10" s="139"/>
      <c r="L10" s="206"/>
      <c r="M10" s="139"/>
    </row>
    <row r="11" spans="1:13">
      <c r="A11" s="16">
        <f t="shared" si="2"/>
        <v>45778</v>
      </c>
      <c r="B11" s="34">
        <f>VLOOKUP(A11,'INCC - DI'!$E:$F,2,FALSE)</f>
        <v>1184.462</v>
      </c>
      <c r="C11" s="42">
        <v>1.2970405419384795E-2</v>
      </c>
      <c r="D11" s="31">
        <f t="shared" si="0"/>
        <v>60632.400979284968</v>
      </c>
      <c r="E11" s="87"/>
      <c r="F11" s="36">
        <v>1.2970405419384795E-2</v>
      </c>
      <c r="G11" s="69">
        <f t="shared" si="1"/>
        <v>60632.400979284976</v>
      </c>
      <c r="H11" s="75"/>
      <c r="I11" s="150">
        <v>73417.82673764514</v>
      </c>
      <c r="K11" s="139"/>
      <c r="L11" s="206"/>
      <c r="M11" s="139"/>
    </row>
    <row r="12" spans="1:13">
      <c r="A12" s="16">
        <f t="shared" si="2"/>
        <v>45809</v>
      </c>
      <c r="B12" s="34">
        <f>VLOOKUP(A12,'INCC - DI'!$E:$F,2,FALSE)</f>
        <v>1191.327</v>
      </c>
      <c r="C12" s="42">
        <v>1.0041687711445682E-2</v>
      </c>
      <c r="D12" s="31">
        <f t="shared" si="0"/>
        <v>47213.671989780334</v>
      </c>
      <c r="F12" s="36">
        <v>1.0275944673613212E-2</v>
      </c>
      <c r="G12" s="69">
        <f t="shared" si="1"/>
        <v>48315.093552661005</v>
      </c>
      <c r="H12" s="75"/>
      <c r="I12" s="150">
        <v>34736.984928419057</v>
      </c>
      <c r="K12" s="139"/>
      <c r="L12" s="206"/>
      <c r="M12" s="139"/>
    </row>
    <row r="13" spans="1:13">
      <c r="A13" s="16">
        <f t="shared" si="2"/>
        <v>45839</v>
      </c>
      <c r="B13" s="34">
        <f>VLOOKUP(A13,'INCC - DI'!$E:$F,2,FALSE)</f>
        <v>1199.509</v>
      </c>
      <c r="C13" s="42">
        <v>2.2967133687333417E-2</v>
      </c>
      <c r="D13" s="31">
        <f t="shared" si="0"/>
        <v>108727.74778221453</v>
      </c>
      <c r="F13" s="36">
        <v>2.2967133687333417E-2</v>
      </c>
      <c r="G13" s="69">
        <f t="shared" si="1"/>
        <v>108727.74778221452</v>
      </c>
      <c r="H13" s="75"/>
      <c r="I13" s="150">
        <v>108767.73848052265</v>
      </c>
      <c r="K13" s="139"/>
      <c r="L13" s="206"/>
      <c r="M13" s="139"/>
    </row>
    <row r="14" spans="1:13">
      <c r="A14" s="16">
        <f t="shared" si="2"/>
        <v>45870</v>
      </c>
      <c r="B14" s="34">
        <f>VLOOKUP(A14,'INCC - DI'!$E:$F,2,FALSE)</f>
        <v>1210.471</v>
      </c>
      <c r="C14" s="42">
        <v>2.8324888944297442E-2</v>
      </c>
      <c r="D14" s="31">
        <f t="shared" si="0"/>
        <v>135317.10187903635</v>
      </c>
      <c r="F14" s="36">
        <v>2.8324888944297442E-2</v>
      </c>
      <c r="G14" s="69">
        <f t="shared" si="1"/>
        <v>135317.10187903632</v>
      </c>
      <c r="H14" s="75"/>
      <c r="I14" s="150">
        <v>135366.87229650162</v>
      </c>
      <c r="K14" s="139"/>
      <c r="L14" s="206"/>
      <c r="M14" s="139"/>
    </row>
    <row r="15" spans="1:13">
      <c r="A15" s="16">
        <f t="shared" si="2"/>
        <v>45901</v>
      </c>
      <c r="B15" s="34">
        <f>VLOOKUP(A15,'INCC - DI'!$E:$F,2,FALSE)</f>
        <v>1216.7059999999999</v>
      </c>
      <c r="C15" s="42">
        <v>3.0828737285946935E-2</v>
      </c>
      <c r="D15" s="31">
        <f t="shared" si="0"/>
        <v>148037.40696527992</v>
      </c>
      <c r="F15" s="36">
        <v>3.0828737285946935E-2</v>
      </c>
      <c r="G15" s="69">
        <f t="shared" si="1"/>
        <v>148037.40696527992</v>
      </c>
      <c r="H15" s="75"/>
      <c r="I15" s="150">
        <v>148091.85598497401</v>
      </c>
      <c r="K15" s="139"/>
      <c r="L15" s="206"/>
      <c r="M15" s="139"/>
    </row>
    <row r="16" spans="1:13">
      <c r="A16" s="16">
        <f t="shared" si="2"/>
        <v>45931</v>
      </c>
      <c r="B16" s="34">
        <f>VLOOKUP(A16,'INCC - DI'!$E:$F,2,FALSE)</f>
        <v>1218.7470000000001</v>
      </c>
      <c r="C16" s="42">
        <v>3.4398531940507286E-2</v>
      </c>
      <c r="D16" s="31">
        <f t="shared" si="0"/>
        <v>165456.39235389468</v>
      </c>
      <c r="F16" s="36">
        <v>3.4398531940507286E-2</v>
      </c>
      <c r="G16" s="69">
        <f t="shared" si="1"/>
        <v>165456.39235389468</v>
      </c>
      <c r="H16" s="75"/>
      <c r="I16" s="150">
        <v>165517.24817777344</v>
      </c>
      <c r="K16" s="139"/>
      <c r="L16" s="206"/>
      <c r="M16" s="139"/>
    </row>
    <row r="17" spans="1:13">
      <c r="A17" s="16">
        <f t="shared" si="2"/>
        <v>45962</v>
      </c>
      <c r="B17" s="34">
        <f>VLOOKUP(A17,'INCC - DI'!$E:$F,2,FALSE)</f>
        <v>1222.356</v>
      </c>
      <c r="C17" s="42">
        <v>3.4189799437810059E-2</v>
      </c>
      <c r="D17" s="31">
        <f t="shared" si="0"/>
        <v>164939.37501375296</v>
      </c>
      <c r="F17" s="36">
        <v>3.3955542848721432E-2</v>
      </c>
      <c r="G17" s="69">
        <f t="shared" si="1"/>
        <v>163809.26790483546</v>
      </c>
      <c r="H17" s="75"/>
      <c r="I17" s="150">
        <v>165000.04067564558</v>
      </c>
      <c r="K17" s="139"/>
      <c r="L17" s="206"/>
      <c r="M17" s="139"/>
    </row>
    <row r="18" spans="1:13">
      <c r="A18" s="16">
        <f t="shared" si="2"/>
        <v>45992</v>
      </c>
      <c r="B18" s="34">
        <f>VLOOKUP(A18,'INCC - DI'!$E:$F,2,FALSE)</f>
        <v>1225.633</v>
      </c>
      <c r="C18" s="42">
        <v>2.9027989092864137E-2</v>
      </c>
      <c r="D18" s="31">
        <f t="shared" si="0"/>
        <v>140413.05218890178</v>
      </c>
      <c r="F18" s="36">
        <v>2.8388477234614119E-2</v>
      </c>
      <c r="G18" s="69">
        <f t="shared" si="1"/>
        <v>137319.63046958757</v>
      </c>
      <c r="H18" s="75"/>
      <c r="I18" s="150">
        <v>140464.69692654372</v>
      </c>
      <c r="K18" s="139"/>
      <c r="L18" s="206"/>
      <c r="M18" s="139"/>
    </row>
    <row r="19" spans="1:13">
      <c r="A19" s="16">
        <f t="shared" si="2"/>
        <v>46023</v>
      </c>
      <c r="B19" s="34">
        <f>VLOOKUP(A19,'INCC - DI'!$E:$F,2,FALSE)</f>
        <v>1228.1610000000001</v>
      </c>
      <c r="C19" s="42">
        <v>3.261950090713589E-2</v>
      </c>
      <c r="D19" s="31">
        <f t="shared" si="0"/>
        <v>158111.22264498912</v>
      </c>
      <c r="F19" s="36">
        <v>3.2834924902079794E-2</v>
      </c>
      <c r="G19" s="69">
        <f t="shared" si="1"/>
        <v>159155.41247869065</v>
      </c>
      <c r="H19" s="75"/>
      <c r="I19" s="150">
        <v>158630.17953563761</v>
      </c>
      <c r="K19" s="139"/>
      <c r="L19" s="206"/>
      <c r="M19" s="139"/>
    </row>
    <row r="20" spans="1:13">
      <c r="A20" s="16">
        <f t="shared" si="2"/>
        <v>46054</v>
      </c>
      <c r="B20" s="34">
        <f>VLOOKUP(A20,'INCC - DI'!$E:$F,2,FALSE)</f>
        <v>1237.0360000000001</v>
      </c>
      <c r="C20" s="42">
        <v>1.7824089999999959E-2</v>
      </c>
      <c r="D20" s="31">
        <f t="shared" si="0"/>
        <v>87020.142029409733</v>
      </c>
      <c r="F20" s="36">
        <v>1.7359275392790221E-2</v>
      </c>
      <c r="G20" s="69">
        <f t="shared" si="1"/>
        <v>84750.840587555722</v>
      </c>
      <c r="H20" s="75"/>
      <c r="I20" s="150">
        <v>87079.260112158954</v>
      </c>
      <c r="K20" s="139"/>
      <c r="L20" s="206"/>
      <c r="M20" s="139"/>
    </row>
    <row r="21" spans="1:13">
      <c r="A21" s="16">
        <f t="shared" si="2"/>
        <v>46082</v>
      </c>
      <c r="B21" s="34">
        <f>VLOOKUP(A21,'INCC - DI'!$E:$F,2,FALSE)</f>
        <v>1240.481</v>
      </c>
      <c r="C21" s="42">
        <v>2.2152410000000011E-2</v>
      </c>
      <c r="D21" s="31">
        <f t="shared" si="0"/>
        <v>108452.90272680642</v>
      </c>
      <c r="F21" s="36">
        <v>2.235624319045448E-2</v>
      </c>
      <c r="G21" s="69">
        <f t="shared" si="1"/>
        <v>109450.82129082961</v>
      </c>
      <c r="H21" s="75"/>
      <c r="I21" s="150">
        <v>108526.58138933522</v>
      </c>
      <c r="K21" s="139"/>
      <c r="L21" s="206"/>
      <c r="M21" s="139"/>
    </row>
    <row r="22" spans="1:13">
      <c r="A22" s="16">
        <f t="shared" si="2"/>
        <v>46113</v>
      </c>
      <c r="B22" s="34">
        <f>VLOOKUP(A22,'INCC - DI'!$E:$F,2,FALSE)</f>
        <v>1247.181</v>
      </c>
      <c r="C22" s="42">
        <v>2.3216831967566152E-2</v>
      </c>
      <c r="D22" s="31">
        <f t="shared" si="0"/>
        <v>114277.97261012362</v>
      </c>
      <c r="F22" s="36">
        <v>2.3210594658320441E-2</v>
      </c>
      <c r="G22" s="69">
        <f t="shared" si="1"/>
        <v>114247.27130444426</v>
      </c>
      <c r="H22" s="75"/>
      <c r="I22" s="150">
        <v>114277.97261012362</v>
      </c>
      <c r="K22" s="139">
        <f>SUM(K4:K21)</f>
        <v>-2978.52</v>
      </c>
      <c r="L22" s="206"/>
      <c r="M22" s="139"/>
    </row>
    <row r="23" spans="1:13">
      <c r="A23" s="16">
        <f t="shared" si="2"/>
        <v>46143</v>
      </c>
      <c r="B23" s="34">
        <f>VLOOKUP(A23,'INCC - DI'!$E:$F,2,FALSE)</f>
        <v>1259.652</v>
      </c>
      <c r="C23" s="42">
        <v>2.4085158032433884E-2</v>
      </c>
      <c r="D23" s="31">
        <f t="shared" si="0"/>
        <v>119737.49375174883</v>
      </c>
      <c r="F23" s="36">
        <v>2.3550680966936355E-2</v>
      </c>
      <c r="G23" s="69">
        <f t="shared" si="1"/>
        <v>117080.38250488538</v>
      </c>
      <c r="H23" s="75"/>
      <c r="I23" s="150">
        <v>117414.45105467853</v>
      </c>
    </row>
    <row r="24" spans="1:13">
      <c r="A24" s="23">
        <f t="shared" si="2"/>
        <v>46174</v>
      </c>
      <c r="B24" s="174">
        <f>VLOOKUP(A24,'INCC - DI'!$E:$F,2,FALSE)</f>
        <v>1270.6949999999999</v>
      </c>
      <c r="C24" s="161">
        <v>2.2797520000000016E-2</v>
      </c>
      <c r="D24" s="25">
        <f t="shared" si="0"/>
        <v>114329.68560684752</v>
      </c>
      <c r="F24" s="36">
        <v>2.2938595735455061E-2</v>
      </c>
      <c r="G24" s="69">
        <f t="shared" si="1"/>
        <v>115037.18118010856</v>
      </c>
      <c r="H24" s="75"/>
      <c r="I24" s="150">
        <v>115515.12911392585</v>
      </c>
    </row>
    <row r="25" spans="1:13">
      <c r="A25" s="16">
        <f t="shared" si="2"/>
        <v>46204</v>
      </c>
      <c r="B25" s="34">
        <f>VLOOKUP(A25,'INCC - DI'!$E:$F,2,FALSE)</f>
        <v>1270.6949999999999</v>
      </c>
      <c r="C25" s="155"/>
      <c r="D25" s="31">
        <f t="shared" si="0"/>
        <v>0</v>
      </c>
      <c r="F25" s="36">
        <v>2.9805660996387002E-2</v>
      </c>
      <c r="G25" s="69">
        <f t="shared" si="1"/>
        <v>149475.55045554083</v>
      </c>
      <c r="H25" s="75">
        <f>(F25*$G$1/(SUM($F$25:$F$48)))</f>
        <v>149201.3953510327</v>
      </c>
    </row>
    <row r="26" spans="1:13">
      <c r="A26" s="16">
        <f t="shared" si="2"/>
        <v>46235</v>
      </c>
      <c r="B26" s="34">
        <f>VLOOKUP(A26,'INCC - DI'!$E:$F,2,FALSE)</f>
        <v>1270.6949999999999</v>
      </c>
      <c r="C26" s="155"/>
      <c r="D26" s="31">
        <f t="shared" si="0"/>
        <v>0</v>
      </c>
      <c r="F26" s="36">
        <v>2.9223208336991401E-2</v>
      </c>
      <c r="G26" s="69">
        <f t="shared" si="1"/>
        <v>146554.54723108609</v>
      </c>
      <c r="H26" s="75">
        <f t="shared" ref="H26:H48" si="3">(F26*$G$1/(SUM($F$25:$F$48)))</f>
        <v>146285.74957762484</v>
      </c>
    </row>
    <row r="27" spans="1:13">
      <c r="A27" s="16">
        <f t="shared" si="2"/>
        <v>46266</v>
      </c>
      <c r="B27" s="34">
        <f>VLOOKUP(A27,'INCC - DI'!$E:$F,2,FALSE)</f>
        <v>1270.6949999999999</v>
      </c>
      <c r="C27" s="155"/>
      <c r="D27" s="31">
        <f t="shared" si="0"/>
        <v>0</v>
      </c>
      <c r="F27" s="36">
        <v>3.4226589053744115E-2</v>
      </c>
      <c r="G27" s="69">
        <f t="shared" si="1"/>
        <v>171646.52847806824</v>
      </c>
      <c r="H27" s="75">
        <f t="shared" si="3"/>
        <v>171331.70928650181</v>
      </c>
    </row>
    <row r="28" spans="1:13">
      <c r="A28" s="16">
        <f t="shared" si="2"/>
        <v>46296</v>
      </c>
      <c r="B28" s="34">
        <f>VLOOKUP(A28,'INCC - DI'!$E:$F,2,FALSE)</f>
        <v>1270.6949999999999</v>
      </c>
      <c r="C28" s="155"/>
      <c r="D28" s="31">
        <f t="shared" si="0"/>
        <v>0</v>
      </c>
      <c r="F28" s="36">
        <v>3.7919846522132213E-2</v>
      </c>
      <c r="G28" s="69">
        <f t="shared" si="1"/>
        <v>190168.23457706289</v>
      </c>
      <c r="H28" s="75">
        <f t="shared" si="3"/>
        <v>189819.44447683776</v>
      </c>
    </row>
    <row r="29" spans="1:13">
      <c r="A29" s="16">
        <f t="shared" si="2"/>
        <v>46327</v>
      </c>
      <c r="B29" s="34">
        <f>VLOOKUP(A29,'INCC - DI'!$E:$F,2,FALSE)</f>
        <v>1270.6949999999999</v>
      </c>
      <c r="C29" s="155"/>
      <c r="D29" s="31">
        <f t="shared" si="0"/>
        <v>0</v>
      </c>
      <c r="F29" s="36">
        <v>3.2884255822865555E-2</v>
      </c>
      <c r="G29" s="69">
        <f t="shared" si="1"/>
        <v>164914.72009426294</v>
      </c>
      <c r="H29" s="75">
        <f t="shared" si="3"/>
        <v>164612.24780240931</v>
      </c>
    </row>
    <row r="30" spans="1:13">
      <c r="A30" s="16">
        <f t="shared" si="2"/>
        <v>46357</v>
      </c>
      <c r="B30" s="34">
        <f>VLOOKUP(A30,'INCC - DI'!$E:$F,2,FALSE)</f>
        <v>1270.6949999999999</v>
      </c>
      <c r="C30" s="155"/>
      <c r="D30" s="31">
        <f t="shared" si="0"/>
        <v>0</v>
      </c>
      <c r="F30" s="36">
        <v>1.7387386485611164E-2</v>
      </c>
      <c r="G30" s="69">
        <f t="shared" si="1"/>
        <v>87197.836888603328</v>
      </c>
      <c r="H30" s="75">
        <f t="shared" si="3"/>
        <v>87037.906170755348</v>
      </c>
    </row>
    <row r="31" spans="1:13">
      <c r="A31" s="16">
        <f t="shared" si="2"/>
        <v>46388</v>
      </c>
      <c r="B31" s="34">
        <f>VLOOKUP(A31,'INCC - DI'!$E:$F,2,FALSE)</f>
        <v>1270.6949999999999</v>
      </c>
      <c r="C31" s="155"/>
      <c r="D31" s="31">
        <f t="shared" si="0"/>
        <v>0</v>
      </c>
      <c r="F31" s="36">
        <v>2.750918915864518E-2</v>
      </c>
      <c r="G31" s="69">
        <f t="shared" si="1"/>
        <v>137958.73181851357</v>
      </c>
      <c r="H31" s="75">
        <f t="shared" si="3"/>
        <v>137705.69986496499</v>
      </c>
    </row>
    <row r="32" spans="1:13">
      <c r="A32" s="16">
        <f t="shared" si="2"/>
        <v>46419</v>
      </c>
      <c r="B32" s="34">
        <f>VLOOKUP(A32,'INCC - DI'!$E:$F,2,FALSE)</f>
        <v>1270.6949999999999</v>
      </c>
      <c r="C32" s="155"/>
      <c r="D32" s="31">
        <f t="shared" si="0"/>
        <v>0</v>
      </c>
      <c r="F32" s="36">
        <v>3.3696961974632712E-2</v>
      </c>
      <c r="G32" s="69">
        <f t="shared" si="1"/>
        <v>168990.44582330232</v>
      </c>
      <c r="H32" s="75">
        <f t="shared" si="3"/>
        <v>168680.49818842582</v>
      </c>
    </row>
    <row r="33" spans="1:8">
      <c r="A33" s="16">
        <f t="shared" si="2"/>
        <v>46447</v>
      </c>
      <c r="B33" s="34">
        <f>VLOOKUP(A33,'INCC - DI'!$E:$F,2,FALSE)</f>
        <v>1270.6949999999999</v>
      </c>
      <c r="C33" s="155"/>
      <c r="D33" s="31">
        <f t="shared" si="0"/>
        <v>0</v>
      </c>
      <c r="F33" s="36">
        <v>3.3557991953111439E-2</v>
      </c>
      <c r="G33" s="69">
        <f t="shared" si="1"/>
        <v>168293.51041676229</v>
      </c>
      <c r="H33" s="75">
        <f t="shared" si="3"/>
        <v>167984.84104042797</v>
      </c>
    </row>
    <row r="34" spans="1:8">
      <c r="A34" s="16">
        <f t="shared" si="2"/>
        <v>46478</v>
      </c>
      <c r="B34" s="34">
        <f>VLOOKUP(A34,'INCC - DI'!$E:$F,2,FALSE)</f>
        <v>1270.6949999999999</v>
      </c>
      <c r="C34" s="155"/>
      <c r="D34" s="31">
        <f t="shared" si="0"/>
        <v>0</v>
      </c>
      <c r="F34" s="36">
        <v>5.507911305680914E-2</v>
      </c>
      <c r="G34" s="69">
        <f t="shared" si="1"/>
        <v>276222.0486828828</v>
      </c>
      <c r="H34" s="75">
        <f t="shared" si="3"/>
        <v>275715.426132283</v>
      </c>
    </row>
    <row r="35" spans="1:8">
      <c r="A35" s="16">
        <f t="shared" si="2"/>
        <v>46508</v>
      </c>
      <c r="B35" s="34">
        <f>VLOOKUP(A35,'INCC - DI'!$E:$F,2,FALSE)</f>
        <v>1270.6949999999999</v>
      </c>
      <c r="C35" s="155"/>
      <c r="D35" s="31">
        <f t="shared" ref="D35:D45" si="4">(C35*$C$3)*B35/$B$3</f>
        <v>0</v>
      </c>
      <c r="F35" s="36">
        <v>4.2880095706673983E-2</v>
      </c>
      <c r="G35" s="69">
        <f t="shared" si="1"/>
        <v>215043.91095766405</v>
      </c>
      <c r="H35" s="75">
        <f t="shared" si="3"/>
        <v>214649.49604697959</v>
      </c>
    </row>
    <row r="36" spans="1:8">
      <c r="A36" s="16">
        <f t="shared" si="2"/>
        <v>46539</v>
      </c>
      <c r="B36" s="34">
        <f>VLOOKUP(A36,'INCC - DI'!$E:$F,2,FALSE)</f>
        <v>1270.6949999999999</v>
      </c>
      <c r="C36" s="155"/>
      <c r="D36" s="31">
        <f t="shared" si="4"/>
        <v>0</v>
      </c>
      <c r="F36" s="36">
        <v>6.0063164916962786E-2</v>
      </c>
      <c r="G36" s="69">
        <f t="shared" si="1"/>
        <v>301217.09560989897</v>
      </c>
      <c r="H36" s="75">
        <f t="shared" si="3"/>
        <v>300664.62930972554</v>
      </c>
    </row>
    <row r="37" spans="1:8">
      <c r="A37" s="16">
        <f t="shared" si="2"/>
        <v>46569</v>
      </c>
      <c r="B37" s="34">
        <f>VLOOKUP(A37,'INCC - DI'!$E:$F,2,FALSE)</f>
        <v>1270.6949999999999</v>
      </c>
      <c r="C37" s="155"/>
      <c r="D37" s="31">
        <f t="shared" si="4"/>
        <v>0</v>
      </c>
      <c r="F37" s="36">
        <v>4.3632148349456376E-2</v>
      </c>
      <c r="G37" s="69">
        <f t="shared" si="1"/>
        <v>218815.4590124134</v>
      </c>
      <c r="H37" s="75">
        <f t="shared" si="3"/>
        <v>218414.12665504313</v>
      </c>
    </row>
    <row r="38" spans="1:8">
      <c r="A38" s="16">
        <f t="shared" si="2"/>
        <v>46600</v>
      </c>
      <c r="B38" s="34">
        <f>VLOOKUP(A38,'INCC - DI'!$E:$F,2,FALSE)</f>
        <v>1270.6949999999999</v>
      </c>
      <c r="C38" s="155"/>
      <c r="D38" s="31">
        <f t="shared" si="4"/>
        <v>0</v>
      </c>
      <c r="F38" s="36">
        <v>3.4344567400831055E-2</v>
      </c>
      <c r="G38" s="69">
        <f t="shared" si="1"/>
        <v>172238.19052424104</v>
      </c>
      <c r="H38" s="75">
        <f t="shared" si="3"/>
        <v>171922.28615740946</v>
      </c>
    </row>
    <row r="39" spans="1:8">
      <c r="A39" s="16">
        <f t="shared" si="2"/>
        <v>46631</v>
      </c>
      <c r="B39" s="34">
        <f>VLOOKUP(A39,'INCC - DI'!$E:$F,2,FALSE)</f>
        <v>1270.6949999999999</v>
      </c>
      <c r="C39" s="155"/>
      <c r="D39" s="31">
        <f t="shared" si="4"/>
        <v>0</v>
      </c>
      <c r="F39" s="36">
        <v>2.6590937111177271E-2</v>
      </c>
      <c r="G39" s="69">
        <f t="shared" si="1"/>
        <v>133353.69285397488</v>
      </c>
      <c r="H39" s="75">
        <f t="shared" si="3"/>
        <v>133109.10706392757</v>
      </c>
    </row>
    <row r="40" spans="1:8">
      <c r="A40" s="16">
        <f t="shared" si="2"/>
        <v>46661</v>
      </c>
      <c r="B40" s="34">
        <f>VLOOKUP(A40,'INCC - DI'!$E:$F,2,FALSE)</f>
        <v>1270.6949999999999</v>
      </c>
      <c r="C40" s="155"/>
      <c r="D40" s="31">
        <f t="shared" si="4"/>
        <v>0</v>
      </c>
      <c r="F40" s="36">
        <v>1.4291599567105974E-2</v>
      </c>
      <c r="G40" s="69">
        <f t="shared" si="1"/>
        <v>71672.448815756405</v>
      </c>
      <c r="H40" s="75">
        <f t="shared" si="3"/>
        <v>71540.993419636085</v>
      </c>
    </row>
    <row r="41" spans="1:8">
      <c r="A41" s="16">
        <f t="shared" si="2"/>
        <v>46692</v>
      </c>
      <c r="B41" s="34">
        <f>VLOOKUP(A41,'INCC - DI'!$E:$F,2,FALSE)</f>
        <v>1270.6949999999999</v>
      </c>
      <c r="C41" s="155"/>
      <c r="D41" s="31">
        <f t="shared" si="4"/>
        <v>0</v>
      </c>
      <c r="F41" s="36">
        <v>5.378515853464964E-3</v>
      </c>
      <c r="G41" s="69">
        <f t="shared" si="1"/>
        <v>26973.28597839125</v>
      </c>
      <c r="H41" s="75">
        <f t="shared" si="3"/>
        <v>26923.81391413862</v>
      </c>
    </row>
    <row r="42" spans="1:8">
      <c r="A42" s="16">
        <f t="shared" si="2"/>
        <v>46722</v>
      </c>
      <c r="B42" s="34">
        <f>VLOOKUP(A42,'INCC - DI'!$E:$F,2,FALSE)</f>
        <v>1270.6949999999999</v>
      </c>
      <c r="C42" s="155"/>
      <c r="D42" s="31">
        <f t="shared" si="4"/>
        <v>0</v>
      </c>
      <c r="F42" s="36">
        <v>3.9381461597586837E-3</v>
      </c>
      <c r="G42" s="69">
        <f t="shared" si="1"/>
        <v>19749.824205397072</v>
      </c>
      <c r="H42" s="75">
        <f t="shared" si="3"/>
        <v>19713.600788908247</v>
      </c>
    </row>
    <row r="43" spans="1:8">
      <c r="A43" s="16">
        <f t="shared" si="2"/>
        <v>46753</v>
      </c>
      <c r="B43" s="34">
        <f>VLOOKUP(A43,'INCC - DI'!$E:$F,2,FALSE)</f>
        <v>1270.6949999999999</v>
      </c>
      <c r="C43" s="155"/>
      <c r="D43" s="31">
        <f t="shared" si="4"/>
        <v>0</v>
      </c>
      <c r="F43" s="36">
        <v>3.0172418344368754E-3</v>
      </c>
      <c r="G43" s="69">
        <f t="shared" si="1"/>
        <v>15131.484053133656</v>
      </c>
      <c r="H43" s="75">
        <f t="shared" si="3"/>
        <v>15103.731196032229</v>
      </c>
    </row>
    <row r="44" spans="1:8">
      <c r="A44" s="16">
        <f t="shared" si="2"/>
        <v>46784</v>
      </c>
      <c r="B44" s="34">
        <f>VLOOKUP(A44,'INCC - DI'!$E:$F,2,FALSE)</f>
        <v>1270.6949999999999</v>
      </c>
      <c r="C44" s="155"/>
      <c r="D44" s="31">
        <f t="shared" si="4"/>
        <v>0</v>
      </c>
      <c r="F44" s="36">
        <v>3.0172418344368754E-3</v>
      </c>
      <c r="G44" s="69">
        <f t="shared" si="1"/>
        <v>15131.484053133656</v>
      </c>
      <c r="H44" s="75">
        <f t="shared" si="3"/>
        <v>15103.731196032229</v>
      </c>
    </row>
    <row r="45" spans="1:8">
      <c r="A45" s="16">
        <f t="shared" si="2"/>
        <v>46813</v>
      </c>
      <c r="B45" s="34">
        <f>VLOOKUP(A45,'INCC - DI'!$E:$F,2,FALSE)</f>
        <v>1270.6949999999999</v>
      </c>
      <c r="C45" s="155"/>
      <c r="D45" s="31">
        <f t="shared" si="4"/>
        <v>0</v>
      </c>
      <c r="F45" s="36">
        <v>3.3045981996213396E-3</v>
      </c>
      <c r="G45" s="69">
        <f t="shared" si="1"/>
        <v>16572.577772479719</v>
      </c>
      <c r="H45" s="75">
        <f t="shared" si="3"/>
        <v>16542.181786130535</v>
      </c>
    </row>
    <row r="46" spans="1:8">
      <c r="A46" s="16">
        <f t="shared" si="2"/>
        <v>46844</v>
      </c>
      <c r="B46" s="34">
        <f>VLOOKUP(A46,'INCC - DI'!$E:$F,2,FALSE)</f>
        <v>1270.6949999999999</v>
      </c>
      <c r="C46" s="155"/>
      <c r="D46" s="31">
        <f t="shared" ref="D46:D48" si="5">(C46*$C$3)*B46/$B$3</f>
        <v>0</v>
      </c>
      <c r="F46" s="36">
        <v>2.8735636518446434E-3</v>
      </c>
      <c r="G46" s="69">
        <f t="shared" si="1"/>
        <v>14410.937193460626</v>
      </c>
      <c r="H46" s="75">
        <f t="shared" si="3"/>
        <v>14384.505900983075</v>
      </c>
    </row>
    <row r="47" spans="1:8">
      <c r="A47" s="16">
        <f t="shared" si="2"/>
        <v>46874</v>
      </c>
      <c r="B47" s="34">
        <f>VLOOKUP(A47,'INCC - DI'!$E:$F,2,FALSE)</f>
        <v>1270.6949999999999</v>
      </c>
      <c r="C47" s="155"/>
      <c r="D47" s="31">
        <f t="shared" si="5"/>
        <v>0</v>
      </c>
      <c r="F47" s="36">
        <v>3.3045981996213396E-3</v>
      </c>
      <c r="G47" s="69">
        <f t="shared" si="1"/>
        <v>16572.577772479719</v>
      </c>
      <c r="H47" s="75">
        <f t="shared" si="3"/>
        <v>16542.181786130535</v>
      </c>
    </row>
    <row r="48" spans="1:8">
      <c r="A48" s="16">
        <f t="shared" si="2"/>
        <v>46905</v>
      </c>
      <c r="B48" s="34">
        <f>VLOOKUP(A48,'INCC - DI'!$E:$F,2,FALSE)</f>
        <v>1270.6949999999999</v>
      </c>
      <c r="C48" s="155"/>
      <c r="D48" s="31">
        <f t="shared" si="5"/>
        <v>0</v>
      </c>
      <c r="F48" s="36">
        <v>1.5E-3</v>
      </c>
      <c r="G48" s="69">
        <f t="shared" si="1"/>
        <v>7522.5080802767652</v>
      </c>
      <c r="H48" s="75">
        <f t="shared" si="3"/>
        <v>7508.7109476846699</v>
      </c>
    </row>
    <row r="49" spans="3:3">
      <c r="C49" s="87">
        <f>SUM(C5:C48)</f>
        <v>0.42170000000000002</v>
      </c>
    </row>
    <row r="50" spans="3:3">
      <c r="C50" s="197">
        <v>0.42170000000000002</v>
      </c>
    </row>
    <row r="51" spans="3:3">
      <c r="C51" s="87">
        <f>C50-C49</f>
        <v>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51B1-C4E0-4465-A054-E66FCAE394EC}">
  <sheetPr>
    <tabColor theme="9" tint="0.39997558519241921"/>
  </sheetPr>
  <dimension ref="A1:L48"/>
  <sheetViews>
    <sheetView topLeftCell="A19" workbookViewId="0">
      <selection activeCell="E31" sqref="E31"/>
    </sheetView>
  </sheetViews>
  <sheetFormatPr defaultRowHeight="14.4"/>
  <cols>
    <col min="1" max="1" width="9.5546875" bestFit="1" customWidth="1"/>
    <col min="2" max="2" width="12.33203125" bestFit="1" customWidth="1"/>
    <col min="3" max="3" width="17" customWidth="1"/>
    <col min="4" max="4" width="18.6640625" customWidth="1"/>
    <col min="5" max="5" width="20.33203125" bestFit="1" customWidth="1"/>
    <col min="6" max="6" width="16.33203125" bestFit="1" customWidth="1"/>
    <col min="7" max="7" width="18.5546875" bestFit="1" customWidth="1"/>
    <col min="8" max="8" width="15.88671875" bestFit="1" customWidth="1"/>
    <col min="9" max="9" width="20.44140625" bestFit="1" customWidth="1"/>
    <col min="10" max="10" width="14.33203125" bestFit="1" customWidth="1"/>
    <col min="11" max="11" width="20.44140625" bestFit="1" customWidth="1"/>
  </cols>
  <sheetData>
    <row r="1" spans="1:12">
      <c r="A1" s="216" t="s">
        <v>130</v>
      </c>
      <c r="B1" s="216"/>
      <c r="C1" s="216"/>
      <c r="D1" s="216"/>
      <c r="F1" t="s">
        <v>152</v>
      </c>
      <c r="G1" s="69">
        <f>G3-D3</f>
        <v>3373721.0913152718</v>
      </c>
      <c r="H1" s="69">
        <f>G3-I3</f>
        <v>3373721.0913152718</v>
      </c>
    </row>
    <row r="2" spans="1:12">
      <c r="A2" s="19" t="s">
        <v>1</v>
      </c>
      <c r="B2" s="19" t="s">
        <v>0</v>
      </c>
      <c r="C2" s="19" t="s">
        <v>136</v>
      </c>
      <c r="D2" s="19" t="s">
        <v>3</v>
      </c>
      <c r="G2" s="19" t="s">
        <v>127</v>
      </c>
      <c r="I2" s="19" t="s">
        <v>72</v>
      </c>
    </row>
    <row r="3" spans="1:12">
      <c r="A3" s="20">
        <v>45413</v>
      </c>
      <c r="B3" s="21">
        <f>VLOOKUP(A3,'INCC - DI'!$E:$F,2,FALSE)</f>
        <v>1101.3889999999999</v>
      </c>
      <c r="C3" s="37">
        <v>5840925.2300000004</v>
      </c>
      <c r="D3" s="22">
        <f>SUM(D5:D45)</f>
        <v>3203905.3567395289</v>
      </c>
      <c r="E3" s="68"/>
      <c r="G3" s="22">
        <f>SUM(G5:G45)</f>
        <v>6577626.4480548007</v>
      </c>
      <c r="I3" s="142">
        <f>SUM(I5:I45)</f>
        <v>3203905.3567395289</v>
      </c>
      <c r="J3" s="69">
        <f>D3-I3</f>
        <v>0</v>
      </c>
      <c r="K3" s="19" t="s">
        <v>137</v>
      </c>
    </row>
    <row r="4" spans="1:12">
      <c r="A4" s="19" t="s">
        <v>5</v>
      </c>
      <c r="B4" s="19" t="s">
        <v>128</v>
      </c>
      <c r="C4" s="19" t="s">
        <v>24</v>
      </c>
      <c r="D4" s="19" t="s">
        <v>3</v>
      </c>
      <c r="F4" s="19" t="s">
        <v>125</v>
      </c>
      <c r="G4" s="19" t="s">
        <v>124</v>
      </c>
      <c r="I4" s="19" t="s">
        <v>72</v>
      </c>
      <c r="K4" s="139">
        <v>17094.188600003701</v>
      </c>
    </row>
    <row r="5" spans="1:12">
      <c r="A5" s="16">
        <v>45474</v>
      </c>
      <c r="B5" s="14">
        <f>VLOOKUP(A5,'INCC - DI'!$E:$F,2,FALSE)</f>
        <v>1118.827</v>
      </c>
      <c r="C5" s="42">
        <v>1.3032976993620295E-2</v>
      </c>
      <c r="D5" s="139">
        <f>(C5*$C$3)*B5/$B$3</f>
        <v>77329.905450073449</v>
      </c>
      <c r="E5" s="110"/>
      <c r="F5" s="36">
        <v>1.3032976993620295E-2</v>
      </c>
      <c r="G5" s="69">
        <f>F5*($C$3/$B$3*B5)</f>
        <v>77329.905450073449</v>
      </c>
      <c r="I5" s="150">
        <v>77343.144774736065</v>
      </c>
    </row>
    <row r="6" spans="1:12">
      <c r="A6" s="16">
        <v>45505</v>
      </c>
      <c r="B6" s="14">
        <f>VLOOKUP(A6,'INCC - DI'!$E:$F,2,FALSE)</f>
        <v>1126.9159999999999</v>
      </c>
      <c r="C6" s="42">
        <v>1.5319592551101237E-2</v>
      </c>
      <c r="D6" s="139">
        <f t="shared" ref="D6:D45" si="0">(C6*$C$3)*B6/$B$3</f>
        <v>91554.495092122874</v>
      </c>
      <c r="E6" s="110"/>
      <c r="F6" s="36">
        <v>1.5319592551101237E-2</v>
      </c>
      <c r="G6" s="69">
        <f t="shared" ref="G6:G45" si="1">F6*($C$3/$B$3*B6)</f>
        <v>91554.495092122874</v>
      </c>
      <c r="I6" s="150">
        <v>91570.169748360873</v>
      </c>
      <c r="K6" s="143"/>
      <c r="L6" s="136"/>
    </row>
    <row r="7" spans="1:12">
      <c r="A7" s="16">
        <v>45536</v>
      </c>
      <c r="B7" s="14">
        <f>VLOOKUP(A7,'INCC - DI'!$E:$F,2,FALSE)</f>
        <v>1134.7750000000001</v>
      </c>
      <c r="C7" s="42">
        <v>9.8844823723220846E-3</v>
      </c>
      <c r="D7" s="139">
        <f t="shared" si="0"/>
        <v>59484.607836484509</v>
      </c>
      <c r="E7" s="110"/>
      <c r="F7" s="36">
        <v>9.8844823723220846E-3</v>
      </c>
      <c r="G7" s="69">
        <f t="shared" si="1"/>
        <v>59484.607836484516</v>
      </c>
      <c r="I7" s="150">
        <v>59494.791943538476</v>
      </c>
      <c r="K7" s="156"/>
    </row>
    <row r="8" spans="1:12">
      <c r="A8" s="16">
        <v>45566</v>
      </c>
      <c r="B8" s="14">
        <f>VLOOKUP(A8,'INCC - DI'!$E:$F,2,FALSE)</f>
        <v>1141.3979999999999</v>
      </c>
      <c r="C8" s="42">
        <v>1.3244555178639929E-2</v>
      </c>
      <c r="D8" s="139">
        <f>(C8*$C$3)*B8/$B$3</f>
        <v>80170.648455416478</v>
      </c>
      <c r="E8" s="13"/>
      <c r="F8" s="36">
        <v>1.3244878451433382E-2</v>
      </c>
      <c r="G8" s="69">
        <f t="shared" si="1"/>
        <v>80172.605258731477</v>
      </c>
      <c r="H8" s="68"/>
      <c r="I8" s="150">
        <v>80184.374131623335</v>
      </c>
      <c r="K8" s="152"/>
    </row>
    <row r="9" spans="1:12">
      <c r="A9" s="16">
        <v>45597</v>
      </c>
      <c r="B9" s="14">
        <f>VLOOKUP(A9,'INCC - DI'!$E:$F,2,FALSE)</f>
        <v>1149.17</v>
      </c>
      <c r="C9" s="42">
        <v>1.552790509032332E-2</v>
      </c>
      <c r="D9" s="139">
        <f t="shared" si="0"/>
        <v>94632.008960244711</v>
      </c>
      <c r="E9" s="110"/>
      <c r="F9" s="36">
        <v>1.552790509032332E-2</v>
      </c>
      <c r="G9" s="69">
        <f t="shared" si="1"/>
        <v>94632.008960244697</v>
      </c>
      <c r="H9" s="75"/>
      <c r="I9" s="150">
        <v>95096.18862148175</v>
      </c>
      <c r="K9" s="87"/>
    </row>
    <row r="10" spans="1:12">
      <c r="A10" s="16">
        <v>45627</v>
      </c>
      <c r="B10" s="14">
        <f>VLOOKUP(A10,'INCC - DI'!$E:$F,2,FALSE)</f>
        <v>1153.7249999999999</v>
      </c>
      <c r="C10" s="42">
        <v>6.4818876135674594E-3</v>
      </c>
      <c r="D10" s="139">
        <f t="shared" si="0"/>
        <v>39659.26966583122</v>
      </c>
      <c r="E10" s="110"/>
      <c r="F10" s="36">
        <v>6.4818876135674603E-3</v>
      </c>
      <c r="G10" s="69">
        <f t="shared" si="1"/>
        <v>39659.269665831227</v>
      </c>
      <c r="H10" s="75"/>
      <c r="I10" s="150">
        <v>43321.344149635501</v>
      </c>
    </row>
    <row r="11" spans="1:12">
      <c r="A11" s="16">
        <v>45658</v>
      </c>
      <c r="B11" s="14">
        <f>VLOOKUP(A11,'INCC - DI'!$E:$F,2,FALSE)</f>
        <v>1159.5360000000001</v>
      </c>
      <c r="C11" s="42">
        <v>1.1316621256068419E-2</v>
      </c>
      <c r="D11" s="139">
        <f t="shared" si="0"/>
        <v>69589.213806453336</v>
      </c>
      <c r="E11" s="110"/>
      <c r="F11" s="36">
        <v>1.1316621256068419E-2</v>
      </c>
      <c r="G11" s="69">
        <f t="shared" si="1"/>
        <v>69589.213806453336</v>
      </c>
      <c r="H11" s="75"/>
      <c r="I11" s="150">
        <v>65453.892089607776</v>
      </c>
      <c r="J11" s="69"/>
    </row>
    <row r="12" spans="1:12">
      <c r="A12" s="16">
        <v>45689</v>
      </c>
      <c r="B12" s="14">
        <f>VLOOKUP(A12,'INCC - DI'!$E:$F,2,FALSE)</f>
        <v>1169.116</v>
      </c>
      <c r="C12" s="42">
        <v>1.7449318985667709E-2</v>
      </c>
      <c r="D12" s="139">
        <f t="shared" si="0"/>
        <v>108187.4783189915</v>
      </c>
      <c r="E12" s="110"/>
      <c r="F12" s="36">
        <v>1.7449219025645543E-2</v>
      </c>
      <c r="G12" s="69">
        <f t="shared" si="1"/>
        <v>108186.85855711201</v>
      </c>
      <c r="H12" s="75"/>
      <c r="I12" s="150">
        <v>108099.756568835</v>
      </c>
      <c r="J12" s="76"/>
    </row>
    <row r="13" spans="1:12">
      <c r="A13" s="16">
        <v>45717</v>
      </c>
      <c r="B13" s="14">
        <f>VLOOKUP(A13,'INCC - DI'!$E:$F,2,FALSE)</f>
        <v>1173.7750000000001</v>
      </c>
      <c r="C13" s="42">
        <v>1.9519455619060662E-2</v>
      </c>
      <c r="D13" s="139">
        <f t="shared" si="0"/>
        <v>121504.80950188501</v>
      </c>
      <c r="E13" s="110"/>
      <c r="F13" s="36">
        <v>1.9519455619060662E-2</v>
      </c>
      <c r="G13" s="69">
        <f t="shared" si="1"/>
        <v>121504.80950188501</v>
      </c>
      <c r="H13" s="75"/>
      <c r="I13" s="150">
        <v>121504.80950188497</v>
      </c>
    </row>
    <row r="14" spans="1:12">
      <c r="A14" s="16">
        <v>45748</v>
      </c>
      <c r="B14" s="14">
        <f>VLOOKUP(A14,'INCC - DI'!$E:$F,2,FALSE)</f>
        <v>1178.386</v>
      </c>
      <c r="C14" s="42">
        <v>2.1740682605830928E-2</v>
      </c>
      <c r="D14" s="139">
        <f t="shared" si="0"/>
        <v>135863.14454428566</v>
      </c>
      <c r="E14" s="110"/>
      <c r="F14" s="36">
        <v>2.1740682605830931E-2</v>
      </c>
      <c r="G14" s="69">
        <f t="shared" si="1"/>
        <v>135863.14454428566</v>
      </c>
      <c r="H14" s="75"/>
      <c r="I14" s="150">
        <v>135331.51487498061</v>
      </c>
    </row>
    <row r="15" spans="1:12">
      <c r="A15" s="16">
        <v>45778</v>
      </c>
      <c r="B15" s="14">
        <f>VLOOKUP(A15,'INCC - DI'!$E:$F,2,FALSE)</f>
        <v>1184.462</v>
      </c>
      <c r="C15" s="42">
        <v>1.887738868209491E-2</v>
      </c>
      <c r="D15" s="139">
        <f t="shared" si="0"/>
        <v>118577.95666794809</v>
      </c>
      <c r="E15" s="110"/>
      <c r="F15" s="36">
        <v>1.8877388682094907E-2</v>
      </c>
      <c r="G15" s="69">
        <f t="shared" si="1"/>
        <v>118577.95666794808</v>
      </c>
      <c r="H15" s="75"/>
      <c r="I15" s="150">
        <v>119109.58633725322</v>
      </c>
      <c r="J15" s="67"/>
    </row>
    <row r="16" spans="1:12">
      <c r="A16" s="16">
        <v>45809</v>
      </c>
      <c r="B16" s="14">
        <f>VLOOKUP(A16,'INCC - DI'!$E:$F,2,FALSE)</f>
        <v>1191.327</v>
      </c>
      <c r="C16" s="42">
        <v>1.7460095083528589E-2</v>
      </c>
      <c r="D16" s="139">
        <f t="shared" si="0"/>
        <v>110310.91862893823</v>
      </c>
      <c r="E16" s="110"/>
      <c r="F16" s="36">
        <v>1.7460095083528589E-2</v>
      </c>
      <c r="G16" s="69">
        <f t="shared" si="1"/>
        <v>110310.91862893825</v>
      </c>
      <c r="H16" s="75"/>
      <c r="I16" s="150">
        <v>110354.88418673747</v>
      </c>
      <c r="J16" s="67"/>
    </row>
    <row r="17" spans="1:11">
      <c r="A17" s="16">
        <v>45839</v>
      </c>
      <c r="B17" s="14">
        <f>VLOOKUP(A17,'INCC - DI'!$E:$F,2,FALSE)</f>
        <v>1199.509</v>
      </c>
      <c r="C17" s="42">
        <v>8.0094284313236858E-3</v>
      </c>
      <c r="D17" s="139">
        <f t="shared" si="0"/>
        <v>50950.206447340257</v>
      </c>
      <c r="E17" s="110"/>
      <c r="F17" s="36">
        <v>8.0094284313236858E-3</v>
      </c>
      <c r="G17" s="69">
        <f t="shared" si="1"/>
        <v>50950.206447340264</v>
      </c>
      <c r="H17" s="75"/>
      <c r="I17" s="150">
        <v>50950.206447340315</v>
      </c>
    </row>
    <row r="18" spans="1:11">
      <c r="A18" s="16">
        <v>45870</v>
      </c>
      <c r="B18" s="14">
        <f>VLOOKUP(A18,'INCC - DI'!$E:$F,2,FALSE)</f>
        <v>1210.471</v>
      </c>
      <c r="C18" s="42">
        <v>1.7212169548291176E-2</v>
      </c>
      <c r="D18" s="139">
        <f t="shared" si="0"/>
        <v>110492.02088433912</v>
      </c>
      <c r="E18" s="110"/>
      <c r="F18" s="36">
        <v>1.7212169548291172E-2</v>
      </c>
      <c r="G18" s="69">
        <f t="shared" si="1"/>
        <v>110492.0208843391</v>
      </c>
      <c r="H18" s="75"/>
      <c r="I18" s="150">
        <v>110492.020884339</v>
      </c>
      <c r="J18" s="67"/>
      <c r="K18" s="67"/>
    </row>
    <row r="19" spans="1:11">
      <c r="A19" s="16">
        <v>45901</v>
      </c>
      <c r="B19" s="14">
        <f>VLOOKUP(A19,'INCC - DI'!$E:$F,2,FALSE)</f>
        <v>1216.7059999999999</v>
      </c>
      <c r="C19" s="42">
        <v>1.8256695716467725E-2</v>
      </c>
      <c r="D19" s="139">
        <f t="shared" si="0"/>
        <v>117800.93543546704</v>
      </c>
      <c r="E19" s="110"/>
      <c r="F19" s="36">
        <v>1.8256695716467722E-2</v>
      </c>
      <c r="G19" s="69">
        <f t="shared" si="1"/>
        <v>117800.93543546702</v>
      </c>
      <c r="H19" s="75"/>
      <c r="I19" s="150">
        <v>117800.93543546701</v>
      </c>
    </row>
    <row r="20" spans="1:11">
      <c r="A20" s="16">
        <v>45931</v>
      </c>
      <c r="B20" s="14">
        <f>VLOOKUP(A20,'INCC - DI'!$E:$F,2,FALSE)</f>
        <v>1218.7470000000001</v>
      </c>
      <c r="C20" s="42">
        <v>2.5414104272091897E-2</v>
      </c>
      <c r="D20" s="139">
        <f t="shared" si="0"/>
        <v>164259.03961858133</v>
      </c>
      <c r="E20" s="110"/>
      <c r="F20" s="36">
        <v>2.5414107837151586E-2</v>
      </c>
      <c r="G20" s="69">
        <f t="shared" si="1"/>
        <v>164259.06266063999</v>
      </c>
      <c r="H20" s="75"/>
      <c r="I20" s="150">
        <v>164259.0396185813</v>
      </c>
    </row>
    <row r="21" spans="1:11">
      <c r="A21" s="16">
        <v>45962</v>
      </c>
      <c r="B21" s="14">
        <f>VLOOKUP(A21,'INCC - DI'!$E:$F,2,FALSE)</f>
        <v>1222.356</v>
      </c>
      <c r="C21" s="42">
        <v>1.4506519999999995E-2</v>
      </c>
      <c r="D21" s="139">
        <f t="shared" si="0"/>
        <v>94037.670419089089</v>
      </c>
      <c r="E21" s="110"/>
      <c r="F21" s="36">
        <v>2.9014417563943573E-2</v>
      </c>
      <c r="G21" s="69">
        <f t="shared" si="1"/>
        <v>188084.27081615417</v>
      </c>
      <c r="H21" s="75"/>
      <c r="I21" s="150">
        <v>94037.67041908903</v>
      </c>
      <c r="J21" s="67"/>
      <c r="K21" s="67"/>
    </row>
    <row r="22" spans="1:11">
      <c r="A22" s="16">
        <v>45992</v>
      </c>
      <c r="B22" s="14">
        <f>VLOOKUP(A22,'INCC - DI'!$E:$F,2,FALSE)</f>
        <v>1225.633</v>
      </c>
      <c r="C22" s="42">
        <v>4.0352936962106289E-2</v>
      </c>
      <c r="D22" s="139">
        <f t="shared" si="0"/>
        <v>262286.84366803971</v>
      </c>
      <c r="E22" s="110"/>
      <c r="F22" s="36">
        <v>2.5845035833103002E-2</v>
      </c>
      <c r="G22" s="69">
        <f t="shared" si="1"/>
        <v>167988.09166028394</v>
      </c>
      <c r="H22" s="75"/>
      <c r="I22" s="150">
        <v>262286.84366803966</v>
      </c>
    </row>
    <row r="23" spans="1:11">
      <c r="A23" s="16">
        <v>46023</v>
      </c>
      <c r="B23" s="14">
        <f>VLOOKUP(A23,'INCC - DI'!$E:$F,2,FALSE)</f>
        <v>1228.1610000000001</v>
      </c>
      <c r="C23" s="42">
        <v>1.0274813037893737E-2</v>
      </c>
      <c r="D23" s="139">
        <f t="shared" si="0"/>
        <v>66922.189689956416</v>
      </c>
      <c r="E23" s="110"/>
      <c r="F23" s="36">
        <v>1.0274815130267028E-2</v>
      </c>
      <c r="G23" s="69">
        <f t="shared" si="1"/>
        <v>66922.20331805863</v>
      </c>
      <c r="H23" s="75"/>
      <c r="I23" s="150">
        <v>66922.189689956373</v>
      </c>
    </row>
    <row r="24" spans="1:11">
      <c r="A24" s="16">
        <v>46054</v>
      </c>
      <c r="B24" s="14">
        <f>VLOOKUP(A24,'INCC - DI'!$E:$F,2,FALSE)</f>
        <v>1237.0360000000001</v>
      </c>
      <c r="C24" s="42">
        <v>2.6817599999999997E-2</v>
      </c>
      <c r="D24" s="139">
        <f t="shared" si="0"/>
        <v>175931.31929927348</v>
      </c>
      <c r="E24" s="110"/>
      <c r="F24" s="36">
        <v>2.6172755640726814E-2</v>
      </c>
      <c r="G24" s="69">
        <f t="shared" si="1"/>
        <v>171700.95122496312</v>
      </c>
      <c r="H24" s="75"/>
      <c r="I24" s="150">
        <v>175931.31929927343</v>
      </c>
    </row>
    <row r="25" spans="1:11">
      <c r="A25" s="16">
        <v>46082</v>
      </c>
      <c r="B25" s="14">
        <f>VLOOKUP(A25,'INCC - DI'!$E:$F,2,FALSE)</f>
        <v>1240.481</v>
      </c>
      <c r="C25" s="42">
        <v>3.6504599999999998E-2</v>
      </c>
      <c r="D25" s="139">
        <f t="shared" si="0"/>
        <v>240147.805793179</v>
      </c>
      <c r="E25" s="110"/>
      <c r="F25" s="36">
        <v>3.7926533745796485E-2</v>
      </c>
      <c r="G25" s="69">
        <f t="shared" si="1"/>
        <v>249502.08632320267</v>
      </c>
      <c r="H25" s="75"/>
      <c r="I25" s="150">
        <v>240147.8057931792</v>
      </c>
    </row>
    <row r="26" spans="1:11">
      <c r="A26" s="16">
        <v>46113</v>
      </c>
      <c r="B26" s="14">
        <f>VLOOKUP(A26,'INCC - DI'!$E:$F,2,FALSE)</f>
        <v>1247.181</v>
      </c>
      <c r="C26" s="42">
        <v>3.9069479792272974E-2</v>
      </c>
      <c r="D26" s="139">
        <f t="shared" si="0"/>
        <v>258409.23290236853</v>
      </c>
      <c r="E26" s="110"/>
      <c r="F26" s="36">
        <v>4.6931125198779657E-2</v>
      </c>
      <c r="G26" s="69">
        <f t="shared" si="1"/>
        <v>310406.89884640317</v>
      </c>
      <c r="H26" s="75"/>
      <c r="I26" s="150">
        <v>258409.23290236853</v>
      </c>
    </row>
    <row r="27" spans="1:11">
      <c r="A27" s="16">
        <v>46143</v>
      </c>
      <c r="B27" s="14">
        <f>VLOOKUP(A27,'INCC - DI'!$E:$F,2,FALSE)</f>
        <v>1259.652</v>
      </c>
      <c r="C27" s="42">
        <v>3.6098510207726975E-2</v>
      </c>
      <c r="D27" s="139">
        <f t="shared" si="0"/>
        <v>241146.39372671096</v>
      </c>
      <c r="E27" s="110"/>
      <c r="F27" s="36">
        <v>4.6859226970491739E-2</v>
      </c>
      <c r="G27" s="69">
        <f t="shared" si="1"/>
        <v>313030.46944958786</v>
      </c>
      <c r="H27" s="75"/>
      <c r="I27" s="150">
        <v>238758.95920021785</v>
      </c>
    </row>
    <row r="28" spans="1:11">
      <c r="A28" s="23">
        <v>46174</v>
      </c>
      <c r="B28" s="24">
        <f>VLOOKUP(A28,'INCC - DI'!$E:$F,2,FALSE)</f>
        <v>1270.6949999999999</v>
      </c>
      <c r="C28" s="161">
        <v>4.6693399999999996E-2</v>
      </c>
      <c r="D28" s="175">
        <f t="shared" si="0"/>
        <v>314657.24192650878</v>
      </c>
      <c r="E28" s="110"/>
      <c r="F28" s="36">
        <v>4.1634207758980975E-2</v>
      </c>
      <c r="G28" s="69">
        <f t="shared" si="1"/>
        <v>280564.38347252947</v>
      </c>
      <c r="H28" s="75"/>
      <c r="I28" s="150">
        <v>317044.67645300226</v>
      </c>
    </row>
    <row r="29" spans="1:11">
      <c r="A29" s="16">
        <v>46204</v>
      </c>
      <c r="B29" s="14">
        <f>VLOOKUP(A29,'INCC - DI'!$E:$F,2,FALSE)</f>
        <v>1270.6949999999999</v>
      </c>
      <c r="C29" s="42"/>
      <c r="D29" s="139">
        <f t="shared" si="0"/>
        <v>0</v>
      </c>
      <c r="E29" s="110"/>
      <c r="F29" s="36">
        <v>4.909395232822579E-2</v>
      </c>
      <c r="G29" s="69">
        <f t="shared" si="1"/>
        <v>330834.07151484012</v>
      </c>
      <c r="H29" s="75">
        <f>(F29*$G$1/(SUM($F$29:$F$46)))</f>
        <v>340384.80544615845</v>
      </c>
    </row>
    <row r="30" spans="1:11">
      <c r="A30" s="16">
        <v>46235</v>
      </c>
      <c r="B30" s="14">
        <f>VLOOKUP(A30,'INCC - DI'!$E:$F,2,FALSE)</f>
        <v>1270.6949999999999</v>
      </c>
      <c r="C30" s="42"/>
      <c r="D30" s="139">
        <f t="shared" si="0"/>
        <v>0</v>
      </c>
      <c r="E30" s="110"/>
      <c r="F30" s="36">
        <v>4.2424644788199378E-2</v>
      </c>
      <c r="G30" s="69">
        <f t="shared" si="1"/>
        <v>285890.97642850282</v>
      </c>
      <c r="H30" s="75">
        <f t="shared" ref="H30:H45" si="2">(F30*$G$1/(SUM($F$29:$F$46)))</f>
        <v>294144.2637538712</v>
      </c>
    </row>
    <row r="31" spans="1:11">
      <c r="A31" s="16">
        <v>46266</v>
      </c>
      <c r="B31" s="14">
        <f>VLOOKUP(A31,'INCC - DI'!$E:$F,2,FALSE)</f>
        <v>1270.6949999999999</v>
      </c>
      <c r="C31" s="42"/>
      <c r="D31" s="139">
        <f t="shared" si="0"/>
        <v>0</v>
      </c>
      <c r="E31" s="110"/>
      <c r="F31" s="36">
        <v>5.320925349850613E-2</v>
      </c>
      <c r="G31" s="69">
        <f t="shared" si="1"/>
        <v>358566.24171314103</v>
      </c>
      <c r="H31" s="75">
        <f t="shared" si="2"/>
        <v>368917.5660361601</v>
      </c>
    </row>
    <row r="32" spans="1:11">
      <c r="A32" s="16">
        <v>46296</v>
      </c>
      <c r="B32" s="14">
        <f>VLOOKUP(A32,'INCC - DI'!$E:$F,2,FALSE)</f>
        <v>1270.6949999999999</v>
      </c>
      <c r="C32" s="42"/>
      <c r="D32" s="139">
        <f t="shared" si="0"/>
        <v>0</v>
      </c>
      <c r="E32" s="110"/>
      <c r="F32" s="36">
        <v>6.5214167062216236E-2</v>
      </c>
      <c r="G32" s="69">
        <f t="shared" si="1"/>
        <v>439464.89101953467</v>
      </c>
      <c r="H32" s="75">
        <f t="shared" si="2"/>
        <v>452151.65035803011</v>
      </c>
    </row>
    <row r="33" spans="1:8">
      <c r="A33" s="16">
        <v>46327</v>
      </c>
      <c r="B33" s="14">
        <f>VLOOKUP(A33,'INCC - DI'!$E:$F,2,FALSE)</f>
        <v>1270.6949999999999</v>
      </c>
      <c r="C33" s="42"/>
      <c r="D33" s="139">
        <f t="shared" si="0"/>
        <v>0</v>
      </c>
      <c r="E33" s="110"/>
      <c r="F33" s="36">
        <v>5.6950243412907553E-2</v>
      </c>
      <c r="G33" s="69">
        <f t="shared" si="1"/>
        <v>383776.00516023289</v>
      </c>
      <c r="H33" s="75">
        <f t="shared" si="2"/>
        <v>394855.10139033577</v>
      </c>
    </row>
    <row r="34" spans="1:8">
      <c r="A34" s="16">
        <v>46357</v>
      </c>
      <c r="B34" s="14">
        <f>VLOOKUP(A34,'INCC - DI'!$E:$F,2,FALSE)</f>
        <v>1270.6949999999999</v>
      </c>
      <c r="C34" s="42"/>
      <c r="D34" s="139">
        <f t="shared" si="0"/>
        <v>0</v>
      </c>
      <c r="E34" s="110"/>
      <c r="F34" s="36">
        <v>4.0109130082274548E-2</v>
      </c>
      <c r="G34" s="69">
        <f t="shared" si="1"/>
        <v>270287.19792861684</v>
      </c>
      <c r="H34" s="75">
        <f t="shared" si="2"/>
        <v>278090.02519074781</v>
      </c>
    </row>
    <row r="35" spans="1:8">
      <c r="A35" s="16">
        <v>46388</v>
      </c>
      <c r="B35" s="14">
        <f>VLOOKUP(A35,'INCC - DI'!$E:$F,2,FALSE)</f>
        <v>1270.6949999999999</v>
      </c>
      <c r="C35" s="42"/>
      <c r="D35" s="139">
        <f t="shared" si="0"/>
        <v>0</v>
      </c>
      <c r="E35" s="110"/>
      <c r="F35" s="36">
        <v>6.1220116815731696E-2</v>
      </c>
      <c r="G35" s="69">
        <f t="shared" si="1"/>
        <v>412549.80591811304</v>
      </c>
      <c r="H35" s="75">
        <f t="shared" si="2"/>
        <v>424459.56301084399</v>
      </c>
    </row>
    <row r="36" spans="1:8">
      <c r="A36" s="16">
        <v>46419</v>
      </c>
      <c r="B36" s="14">
        <f>VLOOKUP(A36,'INCC - DI'!$E:$F,2,FALSE)</f>
        <v>1270.6949999999999</v>
      </c>
      <c r="C36" s="42"/>
      <c r="D36" s="139">
        <f t="shared" si="0"/>
        <v>0</v>
      </c>
      <c r="E36" s="110"/>
      <c r="F36" s="36">
        <v>4.8597890118430999E-2</v>
      </c>
      <c r="G36" s="69">
        <f t="shared" si="1"/>
        <v>327491.21006636991</v>
      </c>
      <c r="H36" s="75">
        <f t="shared" si="2"/>
        <v>336945.44009131182</v>
      </c>
    </row>
    <row r="37" spans="1:8">
      <c r="A37" s="16">
        <v>46447</v>
      </c>
      <c r="B37" s="14">
        <f>VLOOKUP(A37,'INCC - DI'!$E:$F,2,FALSE)</f>
        <v>1270.6949999999999</v>
      </c>
      <c r="C37" s="42"/>
      <c r="D37" s="139">
        <f t="shared" si="0"/>
        <v>0</v>
      </c>
      <c r="E37" s="110"/>
      <c r="F37" s="36">
        <v>2.5858354927363391E-2</v>
      </c>
      <c r="G37" s="69">
        <f t="shared" si="1"/>
        <v>174254.14817085315</v>
      </c>
      <c r="H37" s="75">
        <f t="shared" si="2"/>
        <v>179284.63066616558</v>
      </c>
    </row>
    <row r="38" spans="1:8">
      <c r="A38" s="16">
        <v>46478</v>
      </c>
      <c r="B38" s="14">
        <f>VLOOKUP(A38,'INCC - DI'!$E:$F,2,FALSE)</f>
        <v>1270.6949999999999</v>
      </c>
      <c r="C38" s="42"/>
      <c r="D38" s="139">
        <f t="shared" si="0"/>
        <v>0</v>
      </c>
      <c r="E38" s="110"/>
      <c r="F38" s="36">
        <v>1.6471322031671485E-2</v>
      </c>
      <c r="G38" s="69">
        <f t="shared" si="1"/>
        <v>110996.85954265678</v>
      </c>
      <c r="H38" s="75">
        <f t="shared" si="2"/>
        <v>114201.18933810311</v>
      </c>
    </row>
    <row r="39" spans="1:8">
      <c r="A39" s="16">
        <v>46508</v>
      </c>
      <c r="B39" s="14">
        <f>VLOOKUP(A39,'INCC - DI'!$E:$F,2,FALSE)</f>
        <v>1270.6949999999999</v>
      </c>
      <c r="C39" s="14"/>
      <c r="D39" s="139">
        <f t="shared" si="0"/>
        <v>0</v>
      </c>
      <c r="F39" s="36">
        <v>1.213205482766248E-2</v>
      </c>
      <c r="G39" s="69">
        <f t="shared" si="1"/>
        <v>81755.428196992783</v>
      </c>
      <c r="H39" s="75">
        <f t="shared" si="2"/>
        <v>84115.597264752942</v>
      </c>
    </row>
    <row r="40" spans="1:8">
      <c r="A40" s="16">
        <v>46539</v>
      </c>
      <c r="B40" s="14">
        <f>VLOOKUP(A40,'INCC - DI'!$E:$F,2,FALSE)</f>
        <v>1270.6949999999999</v>
      </c>
      <c r="C40" s="14"/>
      <c r="D40" s="139">
        <f t="shared" si="0"/>
        <v>0</v>
      </c>
      <c r="F40" s="36">
        <v>6.9608480792155E-3</v>
      </c>
      <c r="G40" s="69">
        <f t="shared" si="1"/>
        <v>46907.726960884967</v>
      </c>
      <c r="H40" s="75">
        <f t="shared" si="2"/>
        <v>48261.889842220015</v>
      </c>
    </row>
    <row r="41" spans="1:8">
      <c r="A41" s="16">
        <v>46569</v>
      </c>
      <c r="B41" s="14">
        <f>VLOOKUP(A41,'INCC - DI'!$E:$F,2,FALSE)</f>
        <v>1270.6949999999999</v>
      </c>
      <c r="C41" s="14"/>
      <c r="D41" s="139">
        <f t="shared" si="0"/>
        <v>0</v>
      </c>
      <c r="F41" s="36">
        <v>3.638885389412001E-3</v>
      </c>
      <c r="G41" s="69">
        <f t="shared" si="1"/>
        <v>24521.702003260642</v>
      </c>
      <c r="H41" s="75">
        <f t="shared" si="2"/>
        <v>25229.610503445794</v>
      </c>
    </row>
    <row r="42" spans="1:8">
      <c r="A42" s="16">
        <v>46600</v>
      </c>
      <c r="B42" s="14">
        <f>VLOOKUP(A42,'INCC - DI'!$E:$F,2,FALSE)</f>
        <v>1270.6949999999999</v>
      </c>
      <c r="C42" s="14"/>
      <c r="D42" s="139">
        <f t="shared" si="0"/>
        <v>0</v>
      </c>
      <c r="F42" s="36">
        <v>3.1114279176712788E-3</v>
      </c>
      <c r="G42" s="69">
        <f t="shared" si="1"/>
        <v>20967.274326298477</v>
      </c>
      <c r="H42" s="75">
        <f t="shared" si="2"/>
        <v>21572.571288121391</v>
      </c>
    </row>
    <row r="43" spans="1:8">
      <c r="A43" s="16">
        <v>46631</v>
      </c>
      <c r="B43" s="14">
        <f>VLOOKUP(A43,'INCC - DI'!$E:$F,2,FALSE)</f>
        <v>1270.6949999999999</v>
      </c>
      <c r="C43" s="14"/>
      <c r="D43" s="139">
        <f t="shared" si="0"/>
        <v>0</v>
      </c>
      <c r="F43" s="36">
        <v>5.7353858223345054E-4</v>
      </c>
      <c r="G43" s="69">
        <f t="shared" si="1"/>
        <v>3864.9588255303261</v>
      </c>
      <c r="H43" s="75">
        <f t="shared" si="2"/>
        <v>3976.5349797913454</v>
      </c>
    </row>
    <row r="44" spans="1:8">
      <c r="A44" s="16">
        <v>46661</v>
      </c>
      <c r="B44" s="14">
        <f>VLOOKUP(A44,'INCC - DI'!$E:$F,2,FALSE)</f>
        <v>1270.6949999999999</v>
      </c>
      <c r="C44" s="14"/>
      <c r="D44" s="139">
        <f t="shared" si="0"/>
        <v>0</v>
      </c>
      <c r="F44" s="36">
        <v>5.1389439663850664E-4</v>
      </c>
      <c r="G44" s="69">
        <f t="shared" si="1"/>
        <v>3463.0288967554275</v>
      </c>
      <c r="H44" s="75">
        <f t="shared" si="2"/>
        <v>3563.0018754693033</v>
      </c>
    </row>
    <row r="45" spans="1:8">
      <c r="A45" s="16">
        <v>46692</v>
      </c>
      <c r="B45" s="14">
        <f>VLOOKUP(A45,'INCC - DI'!$E:$F,2,FALSE)</f>
        <v>1270.6949999999999</v>
      </c>
      <c r="C45" s="14"/>
      <c r="D45" s="139">
        <f t="shared" si="0"/>
        <v>0</v>
      </c>
      <c r="F45" s="36">
        <v>5.1456483942603228E-4</v>
      </c>
      <c r="G45" s="69">
        <f t="shared" si="1"/>
        <v>3467.5468731373644</v>
      </c>
      <c r="H45" s="75">
        <f t="shared" si="2"/>
        <v>3567.6502797425828</v>
      </c>
    </row>
    <row r="46" spans="1:8">
      <c r="C46" s="87">
        <f>SUM(C5:C45)</f>
        <v>0.49906521999999998</v>
      </c>
    </row>
    <row r="47" spans="1:8">
      <c r="C47" s="197">
        <v>0.49906521999999998</v>
      </c>
    </row>
    <row r="48" spans="1:8">
      <c r="C48" s="87">
        <f>C47-C46</f>
        <v>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5958-D50E-49B5-AFCA-40DA7A023BE7}">
  <dimension ref="A1:I42"/>
  <sheetViews>
    <sheetView workbookViewId="0">
      <pane ySplit="4" topLeftCell="A5" activePane="bottomLeft" state="frozen"/>
      <selection pane="bottomLeft" activeCell="B6" sqref="B6"/>
    </sheetView>
  </sheetViews>
  <sheetFormatPr defaultRowHeight="14.4"/>
  <cols>
    <col min="1" max="1" width="10.6640625" bestFit="1" customWidth="1"/>
    <col min="2" max="2" width="9.88671875" bestFit="1" customWidth="1"/>
    <col min="3" max="4" width="17.88671875" bestFit="1" customWidth="1"/>
    <col min="5" max="5" width="25.88671875" bestFit="1" customWidth="1"/>
    <col min="6" max="6" width="14.33203125" bestFit="1" customWidth="1"/>
    <col min="7" max="8" width="21.88671875" customWidth="1"/>
    <col min="9" max="9" width="15.88671875" bestFit="1" customWidth="1"/>
  </cols>
  <sheetData>
    <row r="1" spans="1:9">
      <c r="A1" s="216" t="s">
        <v>100</v>
      </c>
      <c r="B1" s="216"/>
      <c r="C1" s="216"/>
      <c r="D1" s="216"/>
      <c r="E1" s="216"/>
      <c r="F1" s="216"/>
    </row>
    <row r="2" spans="1:9">
      <c r="A2" s="19" t="s">
        <v>1</v>
      </c>
      <c r="B2" s="19" t="s">
        <v>0</v>
      </c>
      <c r="C2" s="19"/>
      <c r="D2" s="19" t="s">
        <v>2</v>
      </c>
      <c r="E2" s="19" t="s">
        <v>3</v>
      </c>
      <c r="F2" s="19" t="s">
        <v>10</v>
      </c>
      <c r="I2" s="69"/>
    </row>
    <row r="3" spans="1:9">
      <c r="A3" s="20">
        <v>45170</v>
      </c>
      <c r="B3" s="21">
        <v>1078.412</v>
      </c>
      <c r="C3" s="21"/>
      <c r="D3" s="22">
        <f>SUM(D7:D42)</f>
        <v>5245908.3100000005</v>
      </c>
      <c r="E3" s="22">
        <f>SUM(E7:E42)</f>
        <v>5771767.3644239912</v>
      </c>
      <c r="F3" s="22">
        <f>SUM(F7:F42)</f>
        <v>525859.05442399043</v>
      </c>
      <c r="I3" s="69"/>
    </row>
    <row r="4" spans="1:9">
      <c r="A4" s="19" t="s">
        <v>5</v>
      </c>
      <c r="B4" s="19" t="s">
        <v>6</v>
      </c>
      <c r="C4" s="19" t="s">
        <v>7</v>
      </c>
      <c r="D4" s="19" t="s">
        <v>8</v>
      </c>
      <c r="E4" s="19" t="s">
        <v>9</v>
      </c>
      <c r="F4" s="19" t="s">
        <v>10</v>
      </c>
    </row>
    <row r="5" spans="1:9">
      <c r="A5" s="16">
        <v>45352</v>
      </c>
      <c r="B5" s="14">
        <f>VLOOKUP(A5,'INCC - DI'!$A:$B,2,0)</f>
        <v>1095.7380000000001</v>
      </c>
      <c r="C5" s="14"/>
      <c r="D5" s="14"/>
      <c r="E5" s="14"/>
      <c r="F5" s="14"/>
    </row>
    <row r="6" spans="1:9">
      <c r="A6" s="16">
        <v>45383</v>
      </c>
      <c r="B6" s="14">
        <f>VLOOKUP(A6,'INCC - DI'!$A:$B,2,0)</f>
        <v>1101.3889999999999</v>
      </c>
      <c r="C6" s="15"/>
      <c r="D6" s="15"/>
      <c r="E6" s="15"/>
      <c r="F6" s="15"/>
    </row>
    <row r="7" spans="1:9">
      <c r="A7" s="16">
        <v>45413</v>
      </c>
      <c r="B7" s="14">
        <f>VLOOKUP(A7,'INCC - DI'!$A:$B,2,0)</f>
        <v>1110.8869999999999</v>
      </c>
      <c r="C7" s="14">
        <f>B6</f>
        <v>1101.3889999999999</v>
      </c>
      <c r="D7" s="18">
        <v>40749.620000000003</v>
      </c>
      <c r="E7" s="97">
        <f>D7</f>
        <v>40749.620000000003</v>
      </c>
      <c r="F7" s="17">
        <f>E7-D7</f>
        <v>0</v>
      </c>
      <c r="I7" s="69"/>
    </row>
    <row r="8" spans="1:9">
      <c r="A8" s="104">
        <v>45444</v>
      </c>
      <c r="B8" s="105">
        <f>VLOOKUP(A8,'INCC - DI'!$A:$B,2,0)</f>
        <v>1118.827</v>
      </c>
      <c r="C8" s="105">
        <f t="shared" ref="C8:C42" si="0">B7</f>
        <v>1110.8869999999999</v>
      </c>
      <c r="D8" s="106">
        <v>62408.31</v>
      </c>
      <c r="E8" s="107">
        <f>D8*C8/$B$8</f>
        <v>61965.415806885234</v>
      </c>
      <c r="F8" s="108">
        <f t="shared" ref="F8:F42" si="1">E8-D8</f>
        <v>-442.89419311476377</v>
      </c>
      <c r="G8" s="109" t="s">
        <v>101</v>
      </c>
      <c r="H8" s="69"/>
      <c r="I8" s="69"/>
    </row>
    <row r="9" spans="1:9">
      <c r="A9" s="16">
        <v>45474</v>
      </c>
      <c r="B9" s="14">
        <f>VLOOKUP(A9,'INCC - DI'!$A:$B,2,0)</f>
        <v>1126.9159999999999</v>
      </c>
      <c r="C9" s="14">
        <f t="shared" si="0"/>
        <v>1118.827</v>
      </c>
      <c r="D9" s="18">
        <v>160279.44</v>
      </c>
      <c r="E9" s="94">
        <f t="shared" ref="E9:E42" si="2">D9*C9/$B$8</f>
        <v>160279.44</v>
      </c>
      <c r="F9" s="17">
        <f t="shared" si="1"/>
        <v>0</v>
      </c>
      <c r="I9" s="69"/>
    </row>
    <row r="10" spans="1:9">
      <c r="A10" s="16">
        <v>45505</v>
      </c>
      <c r="B10" s="14">
        <f>VLOOKUP(A10,'INCC - DI'!$A:$B,2,0)</f>
        <v>1134.7750000000001</v>
      </c>
      <c r="C10" s="14">
        <f t="shared" si="0"/>
        <v>1126.9159999999999</v>
      </c>
      <c r="D10" s="18">
        <v>141857.79999999999</v>
      </c>
      <c r="E10" s="94">
        <f t="shared" si="2"/>
        <v>142883.41677918032</v>
      </c>
      <c r="F10" s="17">
        <f t="shared" si="1"/>
        <v>1025.6167791803309</v>
      </c>
    </row>
    <row r="11" spans="1:9">
      <c r="A11" s="16">
        <v>45536</v>
      </c>
      <c r="B11" s="14">
        <f>VLOOKUP(A11,'INCC - DI'!$A:$B,2,0)</f>
        <v>1141.3979999999999</v>
      </c>
      <c r="C11" s="14">
        <f t="shared" si="0"/>
        <v>1134.7750000000001</v>
      </c>
      <c r="D11" s="18">
        <v>55955.58</v>
      </c>
      <c r="E11" s="94">
        <f t="shared" si="2"/>
        <v>56753.182837471752</v>
      </c>
      <c r="F11" s="17">
        <f t="shared" si="1"/>
        <v>797.60283747174981</v>
      </c>
    </row>
    <row r="12" spans="1:9">
      <c r="A12" s="16">
        <v>45566</v>
      </c>
      <c r="B12" s="14">
        <f>VLOOKUP(A12,'INCC - DI'!$A:$B,2,0)</f>
        <v>1149.17</v>
      </c>
      <c r="C12" s="14">
        <f t="shared" si="0"/>
        <v>1141.3979999999999</v>
      </c>
      <c r="D12" s="31">
        <v>38395.800000000003</v>
      </c>
      <c r="E12" s="94">
        <f t="shared" si="2"/>
        <v>39170.389460032697</v>
      </c>
      <c r="F12" s="17">
        <f t="shared" si="1"/>
        <v>774.58946003269375</v>
      </c>
    </row>
    <row r="13" spans="1:9">
      <c r="A13" s="16">
        <v>45597</v>
      </c>
      <c r="B13" s="14">
        <f>VLOOKUP(A13,'INCC - DI'!$A:$B,2,0)</f>
        <v>1153.7249999999999</v>
      </c>
      <c r="C13" s="14">
        <f t="shared" si="0"/>
        <v>1149.17</v>
      </c>
      <c r="D13" s="31">
        <v>65574.31</v>
      </c>
      <c r="E13" s="94">
        <f t="shared" si="2"/>
        <v>67352.709420401909</v>
      </c>
      <c r="F13" s="17">
        <f t="shared" si="1"/>
        <v>1778.3994204019109</v>
      </c>
    </row>
    <row r="14" spans="1:9">
      <c r="A14" s="16">
        <v>45627</v>
      </c>
      <c r="B14" s="14">
        <f>VLOOKUP(A14,'INCC - DI'!$A:$B,2,0)</f>
        <v>1159.5360000000001</v>
      </c>
      <c r="C14" s="14">
        <f t="shared" si="0"/>
        <v>1153.7249999999999</v>
      </c>
      <c r="D14" s="31">
        <v>102291.57</v>
      </c>
      <c r="E14" s="94">
        <f t="shared" si="2"/>
        <v>105482.2073459525</v>
      </c>
      <c r="F14" s="17">
        <f t="shared" si="1"/>
        <v>3190.6373459524912</v>
      </c>
    </row>
    <row r="15" spans="1:9">
      <c r="A15" s="16">
        <v>45658</v>
      </c>
      <c r="B15" s="14">
        <f>VLOOKUP(A15,'INCC - DI'!$A:$B,2,0)</f>
        <v>1169.116</v>
      </c>
      <c r="C15" s="14">
        <f t="shared" si="0"/>
        <v>1159.5360000000001</v>
      </c>
      <c r="D15" s="31">
        <v>140682.99</v>
      </c>
      <c r="E15" s="94">
        <f t="shared" si="2"/>
        <v>145801.80089740414</v>
      </c>
      <c r="F15" s="17">
        <f t="shared" si="1"/>
        <v>5118.8108974041534</v>
      </c>
    </row>
    <row r="16" spans="1:9">
      <c r="A16" s="16">
        <v>45689</v>
      </c>
      <c r="B16" s="14">
        <f>VLOOKUP(A16,'INCC - DI'!$A:$B,2,0)</f>
        <v>1173.7750000000001</v>
      </c>
      <c r="C16" s="14">
        <f t="shared" si="0"/>
        <v>1169.116</v>
      </c>
      <c r="D16" s="31">
        <v>147575.79</v>
      </c>
      <c r="E16" s="94">
        <f t="shared" si="2"/>
        <v>154209.0218609669</v>
      </c>
      <c r="F16" s="17">
        <f t="shared" si="1"/>
        <v>6633.2318609668873</v>
      </c>
    </row>
    <row r="17" spans="1:6">
      <c r="A17" s="16">
        <v>45717</v>
      </c>
      <c r="B17" s="14">
        <f>VLOOKUP(A17,'INCC - DI'!$A:$B,2,0)</f>
        <v>1178.386</v>
      </c>
      <c r="C17" s="14">
        <f t="shared" si="0"/>
        <v>1173.7750000000001</v>
      </c>
      <c r="D17" s="29">
        <v>107920.65</v>
      </c>
      <c r="E17" s="94">
        <f t="shared" si="2"/>
        <v>113220.86520413791</v>
      </c>
      <c r="F17" s="74">
        <f t="shared" si="1"/>
        <v>5300.2152041379159</v>
      </c>
    </row>
    <row r="18" spans="1:6">
      <c r="A18" s="16">
        <v>45748</v>
      </c>
      <c r="B18" s="14">
        <f>VLOOKUP(A18,'INCC - DI'!$A:$B,2,0)</f>
        <v>1184.462</v>
      </c>
      <c r="C18" s="14">
        <f t="shared" si="0"/>
        <v>1178.386</v>
      </c>
      <c r="D18" s="31">
        <v>57327.63</v>
      </c>
      <c r="E18" s="94">
        <f t="shared" si="2"/>
        <v>60379.376440843844</v>
      </c>
      <c r="F18" s="17">
        <f t="shared" si="1"/>
        <v>3051.7464408438464</v>
      </c>
    </row>
    <row r="19" spans="1:6">
      <c r="A19" s="16">
        <v>45778</v>
      </c>
      <c r="B19" s="14">
        <f>VLOOKUP(A19,'INCC - DI'!$A:$B,2,0)</f>
        <v>1191.327</v>
      </c>
      <c r="C19" s="14">
        <f t="shared" si="0"/>
        <v>1184.462</v>
      </c>
      <c r="D19" s="31">
        <v>60057.52</v>
      </c>
      <c r="E19" s="94">
        <f t="shared" si="2"/>
        <v>63580.741485716731</v>
      </c>
      <c r="F19" s="17">
        <f t="shared" si="1"/>
        <v>3523.2214857167346</v>
      </c>
    </row>
    <row r="20" spans="1:6">
      <c r="A20" s="16">
        <v>45809</v>
      </c>
      <c r="B20" s="14">
        <f>VLOOKUP(A20,'INCC - DI'!$A:$B,2,0)</f>
        <v>1199.509</v>
      </c>
      <c r="C20" s="14">
        <f t="shared" si="0"/>
        <v>1191.327</v>
      </c>
      <c r="D20" s="31">
        <v>57327.63</v>
      </c>
      <c r="E20" s="94">
        <f t="shared" si="2"/>
        <v>61042.460956886098</v>
      </c>
      <c r="F20" s="17">
        <f t="shared" si="1"/>
        <v>3714.8309568861005</v>
      </c>
    </row>
    <row r="21" spans="1:6">
      <c r="A21" s="16">
        <v>45839</v>
      </c>
      <c r="B21" s="14">
        <f>VLOOKUP(A21,'INCC - DI'!$A:$B,2,0)</f>
        <v>1210.471</v>
      </c>
      <c r="C21" s="14">
        <f t="shared" si="0"/>
        <v>1199.509</v>
      </c>
      <c r="D21" s="18">
        <v>64994.33</v>
      </c>
      <c r="E21" s="94">
        <f t="shared" si="2"/>
        <v>69681.267777744011</v>
      </c>
      <c r="F21" s="17">
        <f t="shared" si="1"/>
        <v>4686.9377777440095</v>
      </c>
    </row>
    <row r="22" spans="1:6">
      <c r="A22" s="16">
        <v>45870</v>
      </c>
      <c r="B22" s="14">
        <f>VLOOKUP(A22,'INCC - DI'!$A:$B,2,0)</f>
        <v>1216.7059999999999</v>
      </c>
      <c r="C22" s="14">
        <f t="shared" si="0"/>
        <v>1210.471</v>
      </c>
      <c r="D22" s="18">
        <v>76488.33</v>
      </c>
      <c r="E22" s="94">
        <f t="shared" si="2"/>
        <v>82753.549300678307</v>
      </c>
      <c r="F22" s="17">
        <f t="shared" si="1"/>
        <v>6265.2193006783054</v>
      </c>
    </row>
    <row r="23" spans="1:6">
      <c r="A23" s="16">
        <v>45901</v>
      </c>
      <c r="B23" s="14">
        <f>VLOOKUP(A23,'INCC - DI'!$A:$B,2,0)</f>
        <v>1218.7470000000001</v>
      </c>
      <c r="C23" s="14">
        <f t="shared" si="0"/>
        <v>1216.7059999999999</v>
      </c>
      <c r="D23" s="18">
        <v>102628.92</v>
      </c>
      <c r="E23" s="94">
        <f t="shared" si="2"/>
        <v>111607.2661256119</v>
      </c>
      <c r="F23" s="17">
        <f t="shared" si="1"/>
        <v>8978.3461256119044</v>
      </c>
    </row>
    <row r="24" spans="1:6">
      <c r="A24" s="16">
        <v>45931</v>
      </c>
      <c r="B24" s="14">
        <f>VLOOKUP(A24,'INCC - DI'!$A:$B,2,0)</f>
        <v>1222.356</v>
      </c>
      <c r="C24" s="14">
        <f t="shared" si="0"/>
        <v>1218.7470000000001</v>
      </c>
      <c r="D24" s="18">
        <v>143650.89000000001</v>
      </c>
      <c r="E24" s="94">
        <f t="shared" si="2"/>
        <v>156480.03778495695</v>
      </c>
      <c r="F24" s="17">
        <f t="shared" si="1"/>
        <v>12829.147784956935</v>
      </c>
    </row>
    <row r="25" spans="1:6">
      <c r="A25" s="16">
        <v>45962</v>
      </c>
      <c r="B25" s="14">
        <f>VLOOKUP(A25,'INCC - DI'!$A:$B,2,0)</f>
        <v>1225.633</v>
      </c>
      <c r="C25" s="14">
        <f t="shared" si="0"/>
        <v>1222.356</v>
      </c>
      <c r="D25" s="18">
        <v>118379.46</v>
      </c>
      <c r="E25" s="94">
        <f t="shared" si="2"/>
        <v>129333.52806802125</v>
      </c>
      <c r="F25" s="17">
        <f t="shared" si="1"/>
        <v>10954.068068021239</v>
      </c>
    </row>
    <row r="26" spans="1:6">
      <c r="A26" s="16">
        <v>45992</v>
      </c>
      <c r="B26" s="14">
        <f>VLOOKUP(A26,'INCC - DI'!$A:$B,2,0)</f>
        <v>1228.1610000000001</v>
      </c>
      <c r="C26" s="14">
        <f t="shared" si="0"/>
        <v>1225.633</v>
      </c>
      <c r="D26" s="18">
        <v>102747.4</v>
      </c>
      <c r="E26" s="94">
        <f t="shared" si="2"/>
        <v>112555.92160736199</v>
      </c>
      <c r="F26" s="17">
        <f t="shared" si="1"/>
        <v>9808.5216073619958</v>
      </c>
    </row>
    <row r="27" spans="1:6">
      <c r="A27" s="16">
        <v>46023</v>
      </c>
      <c r="B27" s="14">
        <f>VLOOKUP(A27,'INCC - DI'!$A:$B,2,0)</f>
        <v>1237.0360000000001</v>
      </c>
      <c r="C27" s="14">
        <f t="shared" si="0"/>
        <v>1228.1610000000001</v>
      </c>
      <c r="D27" s="18">
        <v>137538.57</v>
      </c>
      <c r="E27" s="94">
        <f t="shared" si="2"/>
        <v>150979.11265081196</v>
      </c>
      <c r="F27" s="17">
        <f t="shared" si="1"/>
        <v>13440.542650811956</v>
      </c>
    </row>
    <row r="28" spans="1:6">
      <c r="A28" s="16">
        <v>46054</v>
      </c>
      <c r="B28" s="14">
        <f>VLOOKUP(A28,'INCC - DI'!$A:$B,2,0)</f>
        <v>1240.481</v>
      </c>
      <c r="C28" s="14">
        <f t="shared" si="0"/>
        <v>1237.0360000000001</v>
      </c>
      <c r="D28" s="18">
        <v>129957.63</v>
      </c>
      <c r="E28" s="94">
        <f t="shared" si="2"/>
        <v>143688.22595868711</v>
      </c>
      <c r="F28" s="17">
        <f t="shared" si="1"/>
        <v>13730.595958687103</v>
      </c>
    </row>
    <row r="29" spans="1:6">
      <c r="A29" s="16">
        <v>46082</v>
      </c>
      <c r="B29" s="14">
        <f>VLOOKUP(A29,'INCC - DI'!$A:$B,2,0)</f>
        <v>1247.181</v>
      </c>
      <c r="C29" s="14">
        <f t="shared" si="0"/>
        <v>1240.481</v>
      </c>
      <c r="D29" s="18">
        <v>186923.16</v>
      </c>
      <c r="E29" s="94">
        <f t="shared" si="2"/>
        <v>207247.97349363216</v>
      </c>
      <c r="F29" s="17">
        <f t="shared" si="1"/>
        <v>20324.813493632158</v>
      </c>
    </row>
    <row r="30" spans="1:6">
      <c r="A30" s="16">
        <v>46113</v>
      </c>
      <c r="B30" s="14">
        <f>VLOOKUP(A30,'INCC - DI'!$A:$B,2,0)</f>
        <v>1259.652</v>
      </c>
      <c r="C30" s="14">
        <f t="shared" si="0"/>
        <v>1247.181</v>
      </c>
      <c r="D30" s="18">
        <v>300583.95</v>
      </c>
      <c r="E30" s="94">
        <f t="shared" si="2"/>
        <v>335067.52281179308</v>
      </c>
      <c r="F30" s="17">
        <f t="shared" si="1"/>
        <v>34483.57281179307</v>
      </c>
    </row>
    <row r="31" spans="1:6">
      <c r="A31" s="16">
        <v>46143</v>
      </c>
      <c r="B31" s="14">
        <f>VLOOKUP(A31,'INCC - DI'!$A:$B,2,0)</f>
        <v>1270.6949999999999</v>
      </c>
      <c r="C31" s="14">
        <f t="shared" si="0"/>
        <v>1259.652</v>
      </c>
      <c r="D31" s="18">
        <v>298754.53999999998</v>
      </c>
      <c r="E31" s="94">
        <f t="shared" si="2"/>
        <v>336358.30545748357</v>
      </c>
      <c r="F31" s="17">
        <f t="shared" si="1"/>
        <v>37603.765457483591</v>
      </c>
    </row>
    <row r="32" spans="1:6">
      <c r="A32" s="16">
        <v>46174</v>
      </c>
      <c r="B32" s="14">
        <f>VLOOKUP(A32,'INCC - DI'!$A:$B,2,0)</f>
        <v>1270.6949999999999</v>
      </c>
      <c r="C32" s="14">
        <f t="shared" si="0"/>
        <v>1270.6949999999999</v>
      </c>
      <c r="D32" s="18">
        <v>406167.63</v>
      </c>
      <c r="E32" s="94">
        <f t="shared" si="2"/>
        <v>461300.25160534197</v>
      </c>
      <c r="F32" s="17">
        <f t="shared" si="1"/>
        <v>55132.621605341963</v>
      </c>
    </row>
    <row r="33" spans="1:6">
      <c r="A33" s="16">
        <v>46204</v>
      </c>
      <c r="B33" s="14">
        <f>VLOOKUP(A33,'INCC - DI'!$A:$B,2,0)</f>
        <v>1270.6949999999999</v>
      </c>
      <c r="C33" s="14">
        <f t="shared" si="0"/>
        <v>1270.6949999999999</v>
      </c>
      <c r="D33" s="18">
        <v>351570.63</v>
      </c>
      <c r="E33" s="94">
        <f t="shared" si="2"/>
        <v>399292.33177948871</v>
      </c>
      <c r="F33" s="17">
        <f t="shared" si="1"/>
        <v>47721.701779488707</v>
      </c>
    </row>
    <row r="34" spans="1:6">
      <c r="A34" s="16">
        <v>46235</v>
      </c>
      <c r="B34" s="14">
        <f>VLOOKUP(A34,'INCC - DI'!$A:$B,2,0)</f>
        <v>1270.6949999999999</v>
      </c>
      <c r="C34" s="14">
        <f t="shared" si="0"/>
        <v>1270.6949999999999</v>
      </c>
      <c r="D34" s="18">
        <v>228119.48</v>
      </c>
      <c r="E34" s="94">
        <f t="shared" si="2"/>
        <v>259084.09668215015</v>
      </c>
      <c r="F34" s="17">
        <f t="shared" si="1"/>
        <v>30964.616682150139</v>
      </c>
    </row>
    <row r="35" spans="1:6">
      <c r="A35" s="16">
        <v>46266</v>
      </c>
      <c r="B35" s="14">
        <f>VLOOKUP(A35,'INCC - DI'!$A:$B,2,0)</f>
        <v>1270.6949999999999</v>
      </c>
      <c r="C35" s="14">
        <f t="shared" si="0"/>
        <v>1270.6949999999999</v>
      </c>
      <c r="D35" s="18">
        <v>316182.28999999998</v>
      </c>
      <c r="E35" s="94">
        <f t="shared" si="2"/>
        <v>359100.42838754336</v>
      </c>
      <c r="F35" s="17">
        <f t="shared" si="1"/>
        <v>42918.138387543382</v>
      </c>
    </row>
    <row r="36" spans="1:6">
      <c r="A36" s="16">
        <v>46296</v>
      </c>
      <c r="B36" s="14">
        <f>VLOOKUP(A36,'INCC - DI'!$A:$B,2,0)</f>
        <v>1270.6949999999999</v>
      </c>
      <c r="C36" s="14">
        <f t="shared" si="0"/>
        <v>1270.6949999999999</v>
      </c>
      <c r="D36" s="18">
        <v>183283.94</v>
      </c>
      <c r="E36" s="94">
        <f t="shared" si="2"/>
        <v>208162.64367797703</v>
      </c>
      <c r="F36" s="17">
        <f t="shared" si="1"/>
        <v>24878.703677977028</v>
      </c>
    </row>
    <row r="37" spans="1:6">
      <c r="A37" s="16">
        <v>46327</v>
      </c>
      <c r="B37" s="14">
        <f>VLOOKUP(A37,'INCC - DI'!$A:$B,2,0)</f>
        <v>1270.6949999999999</v>
      </c>
      <c r="C37" s="14">
        <f t="shared" si="0"/>
        <v>1270.6949999999999</v>
      </c>
      <c r="D37" s="18">
        <v>162928.56</v>
      </c>
      <c r="E37" s="94">
        <f t="shared" si="2"/>
        <v>185044.25308756402</v>
      </c>
      <c r="F37" s="17">
        <f t="shared" si="1"/>
        <v>22115.693087564025</v>
      </c>
    </row>
    <row r="38" spans="1:6">
      <c r="A38" s="16">
        <v>46357</v>
      </c>
      <c r="B38" s="14">
        <f>VLOOKUP(A38,'INCC - DI'!$A:$B,2,0)</f>
        <v>1270.6949999999999</v>
      </c>
      <c r="C38" s="14">
        <f t="shared" si="0"/>
        <v>1270.6949999999999</v>
      </c>
      <c r="D38" s="18">
        <v>217350.89</v>
      </c>
      <c r="E38" s="94">
        <f t="shared" si="2"/>
        <v>246853.79345381371</v>
      </c>
      <c r="F38" s="17">
        <f t="shared" si="1"/>
        <v>29502.903453813691</v>
      </c>
    </row>
    <row r="39" spans="1:6">
      <c r="A39" s="16">
        <v>46388</v>
      </c>
      <c r="B39" s="14">
        <f>VLOOKUP(A39,'INCC - DI'!$A:$B,2,0)</f>
        <v>1270.6949999999999</v>
      </c>
      <c r="C39" s="14">
        <f t="shared" si="0"/>
        <v>1270.6949999999999</v>
      </c>
      <c r="D39" s="18">
        <v>142073.03</v>
      </c>
      <c r="E39" s="94">
        <f t="shared" si="2"/>
        <v>161357.82284110948</v>
      </c>
      <c r="F39" s="17">
        <f t="shared" si="1"/>
        <v>19284.792841109476</v>
      </c>
    </row>
    <row r="40" spans="1:6">
      <c r="A40" s="16">
        <v>46419</v>
      </c>
      <c r="B40" s="14">
        <f>VLOOKUP(A40,'INCC - DI'!$A:$B,2,0)</f>
        <v>1270.6949999999999</v>
      </c>
      <c r="C40" s="14">
        <f t="shared" si="0"/>
        <v>1270.6949999999999</v>
      </c>
      <c r="D40" s="18">
        <v>136414.39999999999</v>
      </c>
      <c r="E40" s="94">
        <f t="shared" si="2"/>
        <v>154931.0983807148</v>
      </c>
      <c r="F40" s="17">
        <f t="shared" si="1"/>
        <v>18516.698380714806</v>
      </c>
    </row>
    <row r="41" spans="1:6">
      <c r="A41" s="16">
        <v>46447</v>
      </c>
      <c r="B41" s="14">
        <f>VLOOKUP(A41,'INCC - DI'!$A:$B,2,0)</f>
        <v>1270.6949999999999</v>
      </c>
      <c r="C41" s="14">
        <f t="shared" si="0"/>
        <v>1270.6949999999999</v>
      </c>
      <c r="D41" s="31">
        <v>172678.73</v>
      </c>
      <c r="E41" s="94">
        <f t="shared" si="2"/>
        <v>196117.89742055742</v>
      </c>
      <c r="F41" s="17">
        <f t="shared" si="1"/>
        <v>23439.167420557409</v>
      </c>
    </row>
    <row r="42" spans="1:6">
      <c r="A42" s="16">
        <v>46478</v>
      </c>
      <c r="B42" s="14">
        <f>VLOOKUP(A42,'INCC - DI'!$A:$B,2,0)</f>
        <v>1270.6949999999999</v>
      </c>
      <c r="C42" s="14">
        <f t="shared" si="0"/>
        <v>1270.6949999999999</v>
      </c>
      <c r="D42" s="31">
        <v>28086.91</v>
      </c>
      <c r="E42" s="94">
        <f t="shared" si="2"/>
        <v>31899.387575067456</v>
      </c>
      <c r="F42" s="17">
        <f t="shared" si="1"/>
        <v>3812.4775750674562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E3F4-0637-4A8E-826A-1A3398CDDC6D}">
  <dimension ref="A1:J39"/>
  <sheetViews>
    <sheetView workbookViewId="0">
      <pane ySplit="4" topLeftCell="A11" activePane="bottomLeft" state="frozen"/>
      <selection pane="bottomLeft" activeCell="E13" sqref="E13"/>
    </sheetView>
  </sheetViews>
  <sheetFormatPr defaultRowHeight="14.4"/>
  <cols>
    <col min="1" max="1" width="10.6640625" bestFit="1" customWidth="1"/>
    <col min="2" max="2" width="9.88671875" bestFit="1" customWidth="1"/>
    <col min="3" max="4" width="17.88671875" bestFit="1" customWidth="1"/>
    <col min="5" max="5" width="25.109375" customWidth="1"/>
    <col min="6" max="6" width="14.33203125" bestFit="1" customWidth="1"/>
  </cols>
  <sheetData>
    <row r="1" spans="1:10">
      <c r="A1" s="216" t="s">
        <v>4</v>
      </c>
      <c r="B1" s="216"/>
      <c r="C1" s="216"/>
      <c r="D1" s="216"/>
      <c r="E1" s="216"/>
      <c r="F1" s="216"/>
      <c r="H1" s="217" t="s">
        <v>33</v>
      </c>
      <c r="I1" s="217"/>
      <c r="J1" s="217"/>
    </row>
    <row r="2" spans="1:10">
      <c r="A2" s="19" t="s">
        <v>1</v>
      </c>
      <c r="B2" s="19" t="s">
        <v>0</v>
      </c>
      <c r="C2" s="19"/>
      <c r="D2" s="19" t="s">
        <v>2</v>
      </c>
      <c r="E2" s="19" t="s">
        <v>3</v>
      </c>
      <c r="F2" s="19" t="s">
        <v>10</v>
      </c>
      <c r="H2" s="217"/>
      <c r="I2" s="217"/>
      <c r="J2" s="217"/>
    </row>
    <row r="3" spans="1:10">
      <c r="A3" s="20">
        <v>44774</v>
      </c>
      <c r="B3" s="21">
        <f>VLOOKUP(A3,'INCC - M'!$A:$F,2,FALSE)</f>
        <v>1045.4690000000001</v>
      </c>
      <c r="C3" s="21"/>
      <c r="D3" s="22">
        <f>SUM(D6:D39)</f>
        <v>8946430.5799999982</v>
      </c>
      <c r="E3" s="22">
        <f>SUM(E6:E39)</f>
        <v>9991775.6261229031</v>
      </c>
      <c r="F3" s="22">
        <f>SUM(F6:F39)</f>
        <v>1045345.0461229056</v>
      </c>
      <c r="H3" s="217"/>
      <c r="I3" s="217"/>
      <c r="J3" s="217"/>
    </row>
    <row r="4" spans="1:10">
      <c r="A4" s="19" t="s">
        <v>5</v>
      </c>
      <c r="B4" s="19" t="s">
        <v>6</v>
      </c>
      <c r="C4" s="19" t="s">
        <v>7</v>
      </c>
      <c r="D4" s="19" t="s">
        <v>8</v>
      </c>
      <c r="E4" s="19" t="s">
        <v>9</v>
      </c>
      <c r="F4" s="19" t="s">
        <v>10</v>
      </c>
      <c r="H4" s="217"/>
      <c r="I4" s="217"/>
      <c r="J4" s="217"/>
    </row>
    <row r="5" spans="1:10">
      <c r="A5" s="16">
        <v>45017</v>
      </c>
      <c r="B5" s="14">
        <f>VLOOKUP(A5,'INCC - M'!$A:$F,2,FALSE)</f>
        <v>1061.0709999999999</v>
      </c>
      <c r="C5" s="15"/>
      <c r="D5" s="15"/>
      <c r="E5" s="15"/>
      <c r="F5" s="15"/>
    </row>
    <row r="6" spans="1:10">
      <c r="A6" s="16">
        <v>45047</v>
      </c>
      <c r="B6" s="14">
        <f>VLOOKUP(A6,'INCC - M'!$A:$F,2,FALSE)</f>
        <v>1065.289</v>
      </c>
      <c r="C6" s="14">
        <f>B5</f>
        <v>1061.0709999999999</v>
      </c>
      <c r="D6" s="18">
        <v>118987.52671399999</v>
      </c>
      <c r="E6" s="97">
        <f>D6*C6/$B$3</f>
        <v>120763.23062467722</v>
      </c>
      <c r="F6" s="17">
        <f>E6-D6</f>
        <v>1775.7039106772281</v>
      </c>
    </row>
    <row r="7" spans="1:10">
      <c r="A7" s="16">
        <v>45078</v>
      </c>
      <c r="B7" s="14">
        <f>VLOOKUP(A7,'INCC - M'!$A:$F,2,FALSE)</f>
        <v>1074.2919999999999</v>
      </c>
      <c r="C7" s="14">
        <f>B6</f>
        <v>1065.289</v>
      </c>
      <c r="D7" s="18">
        <v>94832.164147999996</v>
      </c>
      <c r="E7" s="97">
        <f t="shared" ref="E7:E39" si="0">D7*C7/$B$3</f>
        <v>96629.992197816246</v>
      </c>
      <c r="F7" s="17">
        <f t="shared" ref="F7:F39" si="1">E7-D7</f>
        <v>1797.8280498162494</v>
      </c>
    </row>
    <row r="8" spans="1:10">
      <c r="A8" s="16">
        <v>45108</v>
      </c>
      <c r="B8" s="14">
        <f>VLOOKUP(A8,'INCC - M'!$A:$F,2,FALSE)</f>
        <v>1074.895</v>
      </c>
      <c r="C8" s="14">
        <f t="shared" ref="C8:C39" si="2">B7</f>
        <v>1074.2919999999999</v>
      </c>
      <c r="D8" s="18">
        <v>78728.589103999999</v>
      </c>
      <c r="E8" s="97">
        <f t="shared" si="0"/>
        <v>80899.092604098594</v>
      </c>
      <c r="F8" s="17">
        <f t="shared" si="1"/>
        <v>2170.5035000985954</v>
      </c>
    </row>
    <row r="9" spans="1:10">
      <c r="A9" s="16">
        <v>45139</v>
      </c>
      <c r="B9" s="14">
        <f>VLOOKUP(A9,'INCC - M'!$A:$F,2,FALSE)</f>
        <v>1077.4970000000001</v>
      </c>
      <c r="C9" s="14">
        <f t="shared" si="2"/>
        <v>1074.895</v>
      </c>
      <c r="D9" s="18">
        <v>78728.589103999999</v>
      </c>
      <c r="E9" s="97">
        <f t="shared" si="0"/>
        <v>80944.501257276948</v>
      </c>
      <c r="F9" s="17">
        <f t="shared" si="1"/>
        <v>2215.9121532769495</v>
      </c>
    </row>
    <row r="10" spans="1:10">
      <c r="A10" s="16">
        <v>45170</v>
      </c>
      <c r="B10" s="14">
        <f>VLOOKUP(A10,'INCC - M'!$A:$F,2,FALSE)</f>
        <v>1080.0709999999999</v>
      </c>
      <c r="C10" s="14">
        <f t="shared" si="2"/>
        <v>1077.4970000000001</v>
      </c>
      <c r="D10" s="18">
        <v>78728.589103999999</v>
      </c>
      <c r="E10" s="97">
        <f t="shared" si="0"/>
        <v>81140.443737492635</v>
      </c>
      <c r="F10" s="17">
        <f t="shared" si="1"/>
        <v>2411.8546334926359</v>
      </c>
    </row>
    <row r="11" spans="1:10">
      <c r="A11" s="16">
        <v>45200</v>
      </c>
      <c r="B11" s="14">
        <f>VLOOKUP(A11,'INCC - M'!$A:$F,2,FALSE)</f>
        <v>1082.251</v>
      </c>
      <c r="C11" s="14">
        <f>B10</f>
        <v>1080.0709999999999</v>
      </c>
      <c r="D11" s="31">
        <v>78728.589103999999</v>
      </c>
      <c r="E11" s="94">
        <f t="shared" si="0"/>
        <v>81334.277689865863</v>
      </c>
      <c r="F11" s="17">
        <f t="shared" si="1"/>
        <v>2605.6885858658643</v>
      </c>
    </row>
    <row r="12" spans="1:10">
      <c r="A12" s="16">
        <v>45231</v>
      </c>
      <c r="B12" s="14">
        <f>VLOOKUP(A12,'INCC - M'!$A:$F,2,FALSE)</f>
        <v>1083.335</v>
      </c>
      <c r="C12" s="14">
        <f t="shared" si="2"/>
        <v>1082.251</v>
      </c>
      <c r="D12" s="31">
        <v>76939.302987999996</v>
      </c>
      <c r="E12" s="94">
        <f t="shared" si="0"/>
        <v>79646.204333237984</v>
      </c>
      <c r="F12" s="17">
        <f t="shared" si="1"/>
        <v>2706.9013452379877</v>
      </c>
    </row>
    <row r="13" spans="1:10">
      <c r="A13" s="16">
        <v>45261</v>
      </c>
      <c r="B13" s="14">
        <f>VLOOKUP(A13,'INCC - M'!$A:$F,2,FALSE)</f>
        <v>1086.1500000000001</v>
      </c>
      <c r="C13" s="14">
        <f t="shared" si="2"/>
        <v>1083.335</v>
      </c>
      <c r="D13" s="31">
        <v>179823.25465799999</v>
      </c>
      <c r="E13" s="94">
        <f t="shared" si="0"/>
        <v>186336.30034455773</v>
      </c>
      <c r="F13" s="17">
        <f t="shared" si="1"/>
        <v>6513.0456865577435</v>
      </c>
    </row>
    <row r="14" spans="1:10">
      <c r="A14" s="16">
        <v>45292</v>
      </c>
      <c r="B14" s="14">
        <f>VLOOKUP(A14,'INCC - M'!$A:$F,2,FALSE)</f>
        <v>1088.663</v>
      </c>
      <c r="C14" s="14">
        <f t="shared" si="2"/>
        <v>1086.1500000000001</v>
      </c>
      <c r="D14" s="31">
        <v>231712.55202199999</v>
      </c>
      <c r="E14" s="94">
        <f>D14*C14/$B$3</f>
        <v>240728.88663240641</v>
      </c>
      <c r="F14" s="17">
        <f t="shared" si="1"/>
        <v>9016.3346104064258</v>
      </c>
    </row>
    <row r="15" spans="1:10">
      <c r="A15" s="16">
        <v>45323</v>
      </c>
      <c r="B15" s="14">
        <f>VLOOKUP(A15,'INCC - M'!$A:$F,2,FALSE)</f>
        <v>1090.8710000000001</v>
      </c>
      <c r="C15" s="14">
        <f>B14</f>
        <v>1088.663</v>
      </c>
      <c r="D15" s="31">
        <v>212030.40474599999</v>
      </c>
      <c r="E15" s="94">
        <f t="shared" si="0"/>
        <v>220790.53183020689</v>
      </c>
      <c r="F15" s="17">
        <f t="shared" si="1"/>
        <v>8760.1270842069061</v>
      </c>
    </row>
    <row r="16" spans="1:10">
      <c r="A16" s="73">
        <v>45352</v>
      </c>
      <c r="B16" s="15">
        <f>VLOOKUP(A16,'INCC - M'!$A:$F,2,FALSE)</f>
        <v>1093.5029999999999</v>
      </c>
      <c r="C16" s="15">
        <f t="shared" si="2"/>
        <v>1090.8710000000001</v>
      </c>
      <c r="D16" s="29">
        <v>187875.04218000002</v>
      </c>
      <c r="E16" s="95">
        <f t="shared" si="0"/>
        <v>196033.96670579311</v>
      </c>
      <c r="F16" s="74">
        <f t="shared" si="1"/>
        <v>8158.9245257930888</v>
      </c>
    </row>
    <row r="17" spans="1:10">
      <c r="A17" s="16">
        <v>45383</v>
      </c>
      <c r="B17" s="14">
        <f>VLOOKUP(A17,'INCC - M'!$A:$F,2,FALSE)</f>
        <v>1097.991</v>
      </c>
      <c r="C17" s="14">
        <f t="shared" si="2"/>
        <v>1093.5029999999999</v>
      </c>
      <c r="D17" s="31">
        <v>199505.40193399999</v>
      </c>
      <c r="E17" s="94">
        <f t="shared" si="0"/>
        <v>208671.66365624877</v>
      </c>
      <c r="F17" s="17">
        <f t="shared" si="1"/>
        <v>9166.2617222487752</v>
      </c>
    </row>
    <row r="18" spans="1:10">
      <c r="A18" s="16">
        <v>45413</v>
      </c>
      <c r="B18" s="14">
        <f>VLOOKUP(A18,'INCC - M'!$A:$F,2,FALSE)</f>
        <v>1104.4570000000001</v>
      </c>
      <c r="C18" s="14">
        <f t="shared" si="2"/>
        <v>1097.991</v>
      </c>
      <c r="D18" s="31">
        <v>193242.900528</v>
      </c>
      <c r="E18" s="94">
        <f t="shared" si="0"/>
        <v>202950.98715852812</v>
      </c>
      <c r="F18" s="17">
        <f t="shared" si="1"/>
        <v>9708.0866305281234</v>
      </c>
    </row>
    <row r="19" spans="1:10">
      <c r="A19" s="23">
        <v>45444</v>
      </c>
      <c r="B19" s="24">
        <f>VLOOKUP(A19,'INCC - M'!$A:$F,2,FALSE)</f>
        <v>1114.748</v>
      </c>
      <c r="C19" s="24">
        <f t="shared" si="2"/>
        <v>1104.4570000000001</v>
      </c>
      <c r="D19" s="25">
        <v>195926.82970199999</v>
      </c>
      <c r="E19" s="96">
        <f t="shared" si="0"/>
        <v>206981.51600112658</v>
      </c>
      <c r="F19" s="26">
        <f t="shared" si="1"/>
        <v>11054.686299126595</v>
      </c>
    </row>
    <row r="20" spans="1:10">
      <c r="A20" s="16">
        <v>45474</v>
      </c>
      <c r="B20" s="14">
        <f>VLOOKUP(A20,'INCC - M'!$A:$F,2,FALSE)</f>
        <v>1122.452</v>
      </c>
      <c r="C20" s="14">
        <f t="shared" si="2"/>
        <v>1114.748</v>
      </c>
      <c r="D20" s="18">
        <v>193242.900528</v>
      </c>
      <c r="E20" s="97">
        <f t="shared" si="0"/>
        <v>206048.32556277321</v>
      </c>
      <c r="F20" s="17">
        <f t="shared" si="1"/>
        <v>12805.425034773216</v>
      </c>
      <c r="J20" s="130"/>
    </row>
    <row r="21" spans="1:10">
      <c r="A21" s="16">
        <v>45505</v>
      </c>
      <c r="B21" s="14">
        <f>VLOOKUP(A21,'INCC - M'!$A:$F,2,FALSE)</f>
        <v>1129.6389999999999</v>
      </c>
      <c r="C21" s="14">
        <f t="shared" si="2"/>
        <v>1122.452</v>
      </c>
      <c r="D21" s="18">
        <v>193242.900528</v>
      </c>
      <c r="E21" s="97">
        <f t="shared" si="0"/>
        <v>207472.32121034162</v>
      </c>
      <c r="F21" s="17">
        <f t="shared" si="1"/>
        <v>14229.420682341617</v>
      </c>
    </row>
    <row r="22" spans="1:10">
      <c r="A22" s="16">
        <v>45536</v>
      </c>
      <c r="B22" s="14">
        <f>VLOOKUP(A22,'INCC - M'!$A:$F,2,FALSE)</f>
        <v>1136.521</v>
      </c>
      <c r="C22" s="14">
        <f t="shared" si="2"/>
        <v>1129.6389999999999</v>
      </c>
      <c r="D22" s="18">
        <v>195926.82970199999</v>
      </c>
      <c r="E22" s="97">
        <f t="shared" si="0"/>
        <v>211700.7658550732</v>
      </c>
      <c r="F22" s="17">
        <f t="shared" si="1"/>
        <v>15773.936153073213</v>
      </c>
    </row>
    <row r="23" spans="1:10">
      <c r="A23" s="16">
        <v>45566</v>
      </c>
      <c r="B23" s="14">
        <f>VLOOKUP(A23,'INCC - M'!$A:$F,2,FALSE)</f>
        <v>1144.136</v>
      </c>
      <c r="C23" s="14">
        <f t="shared" si="2"/>
        <v>1136.521</v>
      </c>
      <c r="D23" s="18">
        <v>213819.69086200002</v>
      </c>
      <c r="E23" s="97">
        <f t="shared" si="0"/>
        <v>232441.67821156926</v>
      </c>
      <c r="F23" s="17">
        <f t="shared" si="1"/>
        <v>18621.987349569245</v>
      </c>
    </row>
    <row r="24" spans="1:10">
      <c r="A24" s="16">
        <v>45597</v>
      </c>
      <c r="B24" s="14">
        <f>VLOOKUP(A24,'INCC - M'!$A:$F,2,FALSE)</f>
        <v>1149.1579999999999</v>
      </c>
      <c r="C24" s="14">
        <f t="shared" si="2"/>
        <v>1144.136</v>
      </c>
      <c r="D24" s="18">
        <v>212925.04780400003</v>
      </c>
      <c r="E24" s="97">
        <f t="shared" si="0"/>
        <v>233020.02497852861</v>
      </c>
      <c r="F24" s="17">
        <f t="shared" si="1"/>
        <v>20094.977174528583</v>
      </c>
    </row>
    <row r="25" spans="1:10">
      <c r="A25" s="16">
        <v>45627</v>
      </c>
      <c r="B25" s="14">
        <f>VLOOKUP(A25,'INCC - M'!$A:$F,2,FALSE)</f>
        <v>1154.99</v>
      </c>
      <c r="C25" s="14">
        <f t="shared" si="2"/>
        <v>1149.1579999999999</v>
      </c>
      <c r="D25" s="18">
        <v>227239.336732</v>
      </c>
      <c r="E25" s="97">
        <f t="shared" si="0"/>
        <v>249776.8003836284</v>
      </c>
      <c r="F25" s="17">
        <f t="shared" si="1"/>
        <v>22537.463651628408</v>
      </c>
    </row>
    <row r="26" spans="1:10">
      <c r="A26" s="16">
        <v>45658</v>
      </c>
      <c r="B26" s="14">
        <f>VLOOKUP(A26,'INCC - M'!$A:$F,2,FALSE)</f>
        <v>1163.221</v>
      </c>
      <c r="C26" s="14">
        <f t="shared" si="2"/>
        <v>1154.99</v>
      </c>
      <c r="D26" s="18">
        <v>220976.835326</v>
      </c>
      <c r="E26" s="97">
        <f t="shared" si="0"/>
        <v>244125.87559571516</v>
      </c>
      <c r="F26" s="17">
        <f t="shared" si="1"/>
        <v>23149.040269715159</v>
      </c>
    </row>
    <row r="27" spans="1:10">
      <c r="A27" s="16">
        <v>45689</v>
      </c>
      <c r="B27" s="14">
        <f>VLOOKUP(A27,'INCC - M'!$A:$F,2,FALSE)</f>
        <v>1169.1559999999999</v>
      </c>
      <c r="C27" s="14">
        <f t="shared" si="2"/>
        <v>1163.221</v>
      </c>
      <c r="D27" s="18">
        <v>221871.47838399999</v>
      </c>
      <c r="E27" s="97">
        <f t="shared" si="0"/>
        <v>246861.03840220498</v>
      </c>
      <c r="F27" s="17">
        <f t="shared" si="1"/>
        <v>24989.560018204997</v>
      </c>
    </row>
    <row r="28" spans="1:10">
      <c r="A28" s="16">
        <v>45717</v>
      </c>
      <c r="B28" s="14">
        <f>VLOOKUP(A28,'INCC - M'!$A:$F,2,FALSE)</f>
        <v>1173.586</v>
      </c>
      <c r="C28" s="14">
        <f t="shared" si="2"/>
        <v>1169.1559999999999</v>
      </c>
      <c r="D28" s="18">
        <v>245132.197892</v>
      </c>
      <c r="E28" s="97">
        <f t="shared" si="0"/>
        <v>274133.21672724787</v>
      </c>
      <c r="F28" s="17">
        <f t="shared" si="1"/>
        <v>29001.018835247873</v>
      </c>
    </row>
    <row r="29" spans="1:10">
      <c r="A29" s="16">
        <v>45748</v>
      </c>
      <c r="B29" s="14">
        <f>VLOOKUP(A29,'INCC - M'!$A:$F,2,FALSE)</f>
        <v>1180.5640000000001</v>
      </c>
      <c r="C29" s="14">
        <f t="shared" si="2"/>
        <v>1173.586</v>
      </c>
      <c r="D29" s="18">
        <v>240658.982602</v>
      </c>
      <c r="E29" s="97">
        <f t="shared" si="0"/>
        <v>270150.53794608044</v>
      </c>
      <c r="F29" s="17">
        <f t="shared" si="1"/>
        <v>29491.555344080436</v>
      </c>
    </row>
    <row r="30" spans="1:10">
      <c r="A30" s="16">
        <v>45778</v>
      </c>
      <c r="B30" s="14">
        <f>VLOOKUP(A30,'INCC - M'!$A:$F,2,FALSE)</f>
        <v>1183.606</v>
      </c>
      <c r="C30" s="14">
        <f t="shared" si="2"/>
        <v>1180.5640000000001</v>
      </c>
      <c r="D30" s="18">
        <v>280917.92021199997</v>
      </c>
      <c r="E30" s="97">
        <f t="shared" si="0"/>
        <v>317217.99838843575</v>
      </c>
      <c r="F30" s="17">
        <f t="shared" si="1"/>
        <v>36300.078176435782</v>
      </c>
    </row>
    <row r="31" spans="1:10">
      <c r="A31" s="16">
        <v>45809</v>
      </c>
      <c r="B31" s="14">
        <f>VLOOKUP(A31,'INCC - M'!$A:$F,2,FALSE)</f>
        <v>1194.912</v>
      </c>
      <c r="C31" s="14">
        <f t="shared" si="2"/>
        <v>1183.606</v>
      </c>
      <c r="D31" s="18">
        <v>395432.23163600004</v>
      </c>
      <c r="E31" s="97">
        <f t="shared" si="0"/>
        <v>447680.38263952296</v>
      </c>
      <c r="F31" s="17">
        <f t="shared" si="1"/>
        <v>52248.151003522915</v>
      </c>
    </row>
    <row r="32" spans="1:10">
      <c r="A32" s="16">
        <v>45839</v>
      </c>
      <c r="B32" s="14">
        <f>VLOOKUP(A32,'INCC - M'!$A:$F,2,FALSE)</f>
        <v>1205.838</v>
      </c>
      <c r="C32" s="14">
        <f t="shared" si="2"/>
        <v>1194.912</v>
      </c>
      <c r="D32" s="18">
        <v>444637.59982599999</v>
      </c>
      <c r="E32" s="97">
        <f t="shared" si="0"/>
        <v>508195.65542668913</v>
      </c>
      <c r="F32" s="17">
        <f t="shared" si="1"/>
        <v>63558.055600689142</v>
      </c>
    </row>
    <row r="33" spans="1:6">
      <c r="A33" s="16">
        <v>45870</v>
      </c>
      <c r="B33" s="14">
        <f>VLOOKUP(A33,'INCC - M'!$A:$F,2,FALSE)</f>
        <v>1214.239</v>
      </c>
      <c r="C33" s="14">
        <f t="shared" si="2"/>
        <v>1205.838</v>
      </c>
      <c r="D33" s="18">
        <v>514419.75835000002</v>
      </c>
      <c r="E33" s="97">
        <f t="shared" si="0"/>
        <v>593328.8242590141</v>
      </c>
      <c r="F33" s="17">
        <f t="shared" si="1"/>
        <v>78909.065909014083</v>
      </c>
    </row>
    <row r="34" spans="1:6">
      <c r="A34" s="16">
        <v>45901</v>
      </c>
      <c r="B34" s="14">
        <f>VLOOKUP(A34,'INCC - M'!$A:$F,2,FALSE)</f>
        <v>1216.825</v>
      </c>
      <c r="C34" s="14">
        <f t="shared" si="2"/>
        <v>1214.239</v>
      </c>
      <c r="D34" s="18">
        <v>502789.39859599998</v>
      </c>
      <c r="E34" s="97">
        <f t="shared" si="0"/>
        <v>583954.66203379387</v>
      </c>
      <c r="F34" s="17">
        <f t="shared" si="1"/>
        <v>81165.263437793881</v>
      </c>
    </row>
    <row r="35" spans="1:6">
      <c r="A35" s="16">
        <v>45931</v>
      </c>
      <c r="B35" s="14">
        <f>VLOOKUP(A35,'INCC - M'!$A:$F,2,FALSE)</f>
        <v>1219.4069999999999</v>
      </c>
      <c r="C35" s="14">
        <f t="shared" si="2"/>
        <v>1216.825</v>
      </c>
      <c r="D35" s="18">
        <v>640564.42952799995</v>
      </c>
      <c r="E35" s="97">
        <f t="shared" si="0"/>
        <v>745555.16419942491</v>
      </c>
      <c r="F35" s="17">
        <f t="shared" si="1"/>
        <v>104990.73467142496</v>
      </c>
    </row>
    <row r="36" spans="1:6">
      <c r="A36" s="16">
        <v>45962</v>
      </c>
      <c r="B36" s="14">
        <f>VLOOKUP(A36,'INCC - M'!$A:$F,2,FALSE)</f>
        <v>1222.865</v>
      </c>
      <c r="C36" s="14">
        <f t="shared" si="2"/>
        <v>1219.4069999999999</v>
      </c>
      <c r="D36" s="18">
        <v>646826.93093400006</v>
      </c>
      <c r="E36" s="97">
        <f t="shared" si="0"/>
        <v>754441.58303061698</v>
      </c>
      <c r="F36" s="17">
        <f t="shared" si="1"/>
        <v>107614.65209661692</v>
      </c>
    </row>
    <row r="37" spans="1:6">
      <c r="A37" s="16">
        <v>45992</v>
      </c>
      <c r="B37" s="14">
        <f>VLOOKUP(A37,'INCC - M'!$A:$F,2,FALSE)</f>
        <v>1225.3979999999999</v>
      </c>
      <c r="C37" s="14">
        <f t="shared" si="2"/>
        <v>1222.865</v>
      </c>
      <c r="D37" s="18">
        <v>704084.08664600004</v>
      </c>
      <c r="E37" s="97">
        <f t="shared" si="0"/>
        <v>823553.62676115776</v>
      </c>
      <c r="F37" s="17">
        <f t="shared" si="1"/>
        <v>119469.54011515772</v>
      </c>
    </row>
    <row r="38" spans="1:6">
      <c r="A38" s="16">
        <v>46023</v>
      </c>
      <c r="B38" s="14">
        <f>VLOOKUP(A38,'INCC - M'!$A:$F,2,FALSE)</f>
        <v>1233.096</v>
      </c>
      <c r="C38" s="14">
        <f t="shared" si="2"/>
        <v>1225.3979999999999</v>
      </c>
      <c r="D38" s="18">
        <v>487580.46661</v>
      </c>
      <c r="E38" s="97">
        <f t="shared" si="0"/>
        <v>571494.83018909278</v>
      </c>
      <c r="F38" s="17">
        <f t="shared" si="1"/>
        <v>83914.36357909278</v>
      </c>
    </row>
    <row r="39" spans="1:6">
      <c r="A39" s="16">
        <v>46054</v>
      </c>
      <c r="B39" s="14">
        <f>VLOOKUP(A39,'INCC - M'!$A:$F,2,FALSE)</f>
        <v>1237.3119999999999</v>
      </c>
      <c r="C39" s="14">
        <f t="shared" si="2"/>
        <v>1233.096</v>
      </c>
      <c r="D39" s="18">
        <v>158351.82126600001</v>
      </c>
      <c r="E39" s="97">
        <f t="shared" si="0"/>
        <v>186770.71954866144</v>
      </c>
      <c r="F39" s="17">
        <f t="shared" si="1"/>
        <v>28418.898282661423</v>
      </c>
    </row>
  </sheetData>
  <mergeCells count="2">
    <mergeCell ref="A1:F1"/>
    <mergeCell ref="H1:J4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7F51-200E-41FA-9DB4-E2FC415673B4}">
  <dimension ref="A1:S41"/>
  <sheetViews>
    <sheetView workbookViewId="0">
      <pane ySplit="4" topLeftCell="A5" activePane="bottomLeft" state="frozen"/>
      <selection pane="bottomLeft" activeCell="K20" sqref="K20:K22"/>
    </sheetView>
  </sheetViews>
  <sheetFormatPr defaultRowHeight="14.4"/>
  <cols>
    <col min="1" max="1" width="10.6640625" bestFit="1" customWidth="1"/>
    <col min="2" max="2" width="9.88671875" bestFit="1" customWidth="1"/>
    <col min="3" max="4" width="17.88671875" bestFit="1" customWidth="1"/>
    <col min="5" max="5" width="25.88671875" bestFit="1" customWidth="1"/>
    <col min="6" max="6" width="14.33203125" bestFit="1" customWidth="1"/>
    <col min="7" max="7" width="9.88671875" customWidth="1"/>
    <col min="8" max="8" width="7.109375" bestFit="1" customWidth="1"/>
    <col min="9" max="9" width="15.88671875" bestFit="1" customWidth="1"/>
    <col min="11" max="11" width="25.88671875" bestFit="1" customWidth="1"/>
    <col min="12" max="12" width="11.5546875" bestFit="1" customWidth="1"/>
    <col min="13" max="13" width="15.88671875" bestFit="1" customWidth="1"/>
  </cols>
  <sheetData>
    <row r="1" spans="1:19">
      <c r="A1" s="216" t="s">
        <v>4</v>
      </c>
      <c r="B1" s="216"/>
      <c r="C1" s="216"/>
      <c r="D1" s="216"/>
      <c r="E1" s="216"/>
      <c r="F1" s="216"/>
      <c r="Q1" s="217" t="s">
        <v>33</v>
      </c>
      <c r="R1" s="217"/>
      <c r="S1" s="217"/>
    </row>
    <row r="2" spans="1:19">
      <c r="A2" s="19" t="s">
        <v>1</v>
      </c>
      <c r="B2" s="19" t="s">
        <v>0</v>
      </c>
      <c r="C2" s="19"/>
      <c r="D2" s="19" t="s">
        <v>2</v>
      </c>
      <c r="E2" s="19" t="s">
        <v>3</v>
      </c>
      <c r="F2" s="19" t="s">
        <v>10</v>
      </c>
      <c r="I2" s="69"/>
      <c r="Q2" s="217"/>
      <c r="R2" s="217"/>
      <c r="S2" s="217"/>
    </row>
    <row r="3" spans="1:19">
      <c r="A3" s="20">
        <v>44774</v>
      </c>
      <c r="B3" s="21">
        <f>VLOOKUP(A3,'INCC - M'!$A:$F,2,FALSE)</f>
        <v>1045.4690000000001</v>
      </c>
      <c r="C3" s="21"/>
      <c r="D3" s="22">
        <f>SUM(D6:D39)</f>
        <v>8946430.5799999982</v>
      </c>
      <c r="E3" s="22">
        <f>SUM(E6:E39)</f>
        <v>9991775.6261229031</v>
      </c>
      <c r="F3" s="22">
        <f>SUM(F6:F39)</f>
        <v>1045345.0461229056</v>
      </c>
      <c r="I3" s="19" t="s">
        <v>24</v>
      </c>
      <c r="Q3" s="217"/>
      <c r="R3" s="217"/>
      <c r="S3" s="217"/>
    </row>
    <row r="4" spans="1:19">
      <c r="A4" s="19" t="s">
        <v>5</v>
      </c>
      <c r="B4" s="19" t="s">
        <v>6</v>
      </c>
      <c r="C4" s="19" t="s">
        <v>7</v>
      </c>
      <c r="D4" s="19" t="s">
        <v>8</v>
      </c>
      <c r="E4" s="19" t="s">
        <v>9</v>
      </c>
      <c r="F4" s="19" t="s">
        <v>10</v>
      </c>
      <c r="I4" s="19" t="s">
        <v>102</v>
      </c>
      <c r="J4" s="19" t="s">
        <v>103</v>
      </c>
      <c r="K4" s="19" t="s">
        <v>9</v>
      </c>
      <c r="Q4" s="217"/>
      <c r="R4" s="217"/>
      <c r="S4" s="217"/>
    </row>
    <row r="5" spans="1:19">
      <c r="A5" s="16">
        <v>45017</v>
      </c>
      <c r="B5" s="14">
        <f>VLOOKUP(A5,'INCC - M'!$A:$F,2,FALSE)</f>
        <v>1061.0709999999999</v>
      </c>
      <c r="C5" s="15"/>
      <c r="D5" s="15"/>
      <c r="E5" s="15"/>
      <c r="F5" s="15"/>
    </row>
    <row r="6" spans="1:19">
      <c r="A6" s="16">
        <v>45047</v>
      </c>
      <c r="B6" s="14">
        <f>VLOOKUP(A6,'INCC - M'!$A:$F,2,FALSE)</f>
        <v>1065.289</v>
      </c>
      <c r="C6" s="14">
        <f>B5</f>
        <v>1061.0709999999999</v>
      </c>
      <c r="D6" s="18">
        <v>118987.52671399999</v>
      </c>
      <c r="E6" s="97">
        <f>D6*C6/$B$3</f>
        <v>120763.23062467722</v>
      </c>
      <c r="F6" s="17">
        <f>E6-D6</f>
        <v>1775.7039106772281</v>
      </c>
      <c r="H6" s="110">
        <v>45047</v>
      </c>
      <c r="I6" s="36">
        <v>8.908776876801151E-3</v>
      </c>
      <c r="K6" s="69">
        <f>I6*($D$3/$B$3*C6)</f>
        <v>80891.178688490894</v>
      </c>
      <c r="M6" s="67">
        <v>2532041.96</v>
      </c>
      <c r="N6" t="s">
        <v>110</v>
      </c>
    </row>
    <row r="7" spans="1:19">
      <c r="A7" s="16">
        <v>45078</v>
      </c>
      <c r="B7" s="14">
        <f>VLOOKUP(A7,'INCC - M'!$A:$F,2,FALSE)</f>
        <v>1074.2919999999999</v>
      </c>
      <c r="C7" s="14">
        <f>B6</f>
        <v>1065.289</v>
      </c>
      <c r="D7" s="18">
        <v>94832.164147999996</v>
      </c>
      <c r="E7" s="97">
        <f t="shared" ref="E7:E39" si="0">D7*C7/$B$3</f>
        <v>96629.992197816246</v>
      </c>
      <c r="F7" s="17">
        <f t="shared" ref="F7:F39" si="1">E7-D7</f>
        <v>1797.8280498162494</v>
      </c>
      <c r="H7" s="110">
        <v>45078</v>
      </c>
      <c r="I7" s="36">
        <v>9.3150901342892983E-3</v>
      </c>
      <c r="K7" s="69">
        <f t="shared" ref="K7:K22" si="2">I7*($D$3/$B$3*C7)</f>
        <v>84916.70632059715</v>
      </c>
      <c r="M7" s="69">
        <v>2098148.4500000002</v>
      </c>
      <c r="N7" t="s">
        <v>111</v>
      </c>
    </row>
    <row r="8" spans="1:19">
      <c r="A8" s="16">
        <v>45108</v>
      </c>
      <c r="B8" s="14">
        <f>VLOOKUP(A8,'INCC - M'!$A:$F,2,FALSE)</f>
        <v>1074.895</v>
      </c>
      <c r="C8" s="14">
        <f t="shared" ref="C8:C39" si="3">B7</f>
        <v>1074.2919999999999</v>
      </c>
      <c r="D8" s="18">
        <v>78728.589103999999</v>
      </c>
      <c r="E8" s="97">
        <f t="shared" si="0"/>
        <v>80899.092604098594</v>
      </c>
      <c r="F8" s="17">
        <f t="shared" si="1"/>
        <v>2170.5035000985954</v>
      </c>
      <c r="H8" s="110">
        <v>45108</v>
      </c>
      <c r="I8" s="36">
        <v>9.1427032320046016E-3</v>
      </c>
      <c r="K8" s="69">
        <f t="shared" si="2"/>
        <v>84049.590388378594</v>
      </c>
      <c r="M8" s="121">
        <f>M6-M7</f>
        <v>433893.50999999978</v>
      </c>
      <c r="N8" t="s">
        <v>112</v>
      </c>
    </row>
    <row r="9" spans="1:19">
      <c r="A9" s="16">
        <v>45139</v>
      </c>
      <c r="B9" s="14">
        <f>VLOOKUP(A9,'INCC - M'!$A:$F,2,FALSE)</f>
        <v>1077.4970000000001</v>
      </c>
      <c r="C9" s="14">
        <f t="shared" si="3"/>
        <v>1074.895</v>
      </c>
      <c r="D9" s="18">
        <v>78728.589103999999</v>
      </c>
      <c r="E9" s="97">
        <f t="shared" si="0"/>
        <v>80944.501257276948</v>
      </c>
      <c r="F9" s="17">
        <f t="shared" si="1"/>
        <v>2215.9121532769495</v>
      </c>
      <c r="H9" s="110">
        <v>45139</v>
      </c>
      <c r="I9" s="36">
        <v>1.2304596890399028E-2</v>
      </c>
      <c r="K9" s="69">
        <f t="shared" si="2"/>
        <v>113180.62028013522</v>
      </c>
      <c r="M9" t="s">
        <v>113</v>
      </c>
    </row>
    <row r="10" spans="1:19">
      <c r="A10" s="16">
        <v>45170</v>
      </c>
      <c r="B10" s="14">
        <f>VLOOKUP(A10,'INCC - M'!$A:$F,2,FALSE)</f>
        <v>1080.0709999999999</v>
      </c>
      <c r="C10" s="14">
        <f t="shared" si="3"/>
        <v>1077.4970000000001</v>
      </c>
      <c r="D10" s="18">
        <v>78728.589103999999</v>
      </c>
      <c r="E10" s="97">
        <f t="shared" si="0"/>
        <v>81140.443737492635</v>
      </c>
      <c r="F10" s="17">
        <f t="shared" si="1"/>
        <v>2411.8546334926359</v>
      </c>
      <c r="H10" s="110">
        <v>45170</v>
      </c>
      <c r="I10" s="36">
        <v>1.2658837175830918E-2</v>
      </c>
      <c r="K10" s="69">
        <f t="shared" si="2"/>
        <v>116720.87109631687</v>
      </c>
    </row>
    <row r="11" spans="1:19">
      <c r="A11" s="16">
        <v>45200</v>
      </c>
      <c r="B11" s="14">
        <f>VLOOKUP(A11,'INCC - M'!$A:$F,2,FALSE)</f>
        <v>1082.251</v>
      </c>
      <c r="C11" s="14">
        <f>B10</f>
        <v>1080.0709999999999</v>
      </c>
      <c r="D11" s="31">
        <v>78728.589103999999</v>
      </c>
      <c r="E11" s="94">
        <f t="shared" si="0"/>
        <v>81334.277689865863</v>
      </c>
      <c r="F11" s="17">
        <f t="shared" si="1"/>
        <v>2605.6885858658643</v>
      </c>
      <c r="H11" s="110">
        <v>45200</v>
      </c>
      <c r="I11" s="36">
        <v>1.4858479454555939E-2</v>
      </c>
      <c r="K11" s="69">
        <f t="shared" si="2"/>
        <v>137329.96522795671</v>
      </c>
    </row>
    <row r="12" spans="1:19">
      <c r="A12" s="16">
        <v>45231</v>
      </c>
      <c r="B12" s="14">
        <f>VLOOKUP(A12,'INCC - M'!$A:$F,2,FALSE)</f>
        <v>1083.335</v>
      </c>
      <c r="C12" s="14">
        <f t="shared" si="3"/>
        <v>1082.251</v>
      </c>
      <c r="D12" s="31">
        <v>76939.302987999996</v>
      </c>
      <c r="E12" s="94">
        <f t="shared" si="0"/>
        <v>79646.204333237984</v>
      </c>
      <c r="F12" s="17">
        <f t="shared" si="1"/>
        <v>2706.9013452379877</v>
      </c>
      <c r="H12" s="110">
        <v>45231</v>
      </c>
      <c r="I12" s="36">
        <v>1.1469742960953882E-2</v>
      </c>
      <c r="K12" s="69">
        <f t="shared" si="2"/>
        <v>106223.42924626173</v>
      </c>
    </row>
    <row r="13" spans="1:19">
      <c r="A13" s="16">
        <v>45261</v>
      </c>
      <c r="B13" s="14">
        <f>VLOOKUP(A13,'INCC - M'!$A:$F,2,FALSE)</f>
        <v>1086.1500000000001</v>
      </c>
      <c r="C13" s="14">
        <f t="shared" si="3"/>
        <v>1083.335</v>
      </c>
      <c r="D13" s="31">
        <v>179823.25465799999</v>
      </c>
      <c r="E13" s="94">
        <f t="shared" si="0"/>
        <v>186336.30034455773</v>
      </c>
      <c r="F13" s="17">
        <f t="shared" si="1"/>
        <v>6513.0456865577435</v>
      </c>
      <c r="H13" s="110">
        <v>45261</v>
      </c>
      <c r="I13" s="36">
        <v>1.1616776289313218E-2</v>
      </c>
      <c r="K13" s="69">
        <f t="shared" si="2"/>
        <v>107692.89132741315</v>
      </c>
    </row>
    <row r="14" spans="1:19">
      <c r="A14" s="16">
        <v>45292</v>
      </c>
      <c r="B14" s="14">
        <f>VLOOKUP(A14,'INCC - M'!$A:$F,2,FALSE)</f>
        <v>1088.663</v>
      </c>
      <c r="C14" s="14">
        <f t="shared" si="3"/>
        <v>1086.1500000000001</v>
      </c>
      <c r="D14" s="31">
        <v>231712.55202199999</v>
      </c>
      <c r="E14" s="94">
        <f>D14*C14/$B$3</f>
        <v>240728.88663240641</v>
      </c>
      <c r="F14" s="17">
        <f t="shared" si="1"/>
        <v>9016.3346104064258</v>
      </c>
      <c r="H14" s="110">
        <v>45292</v>
      </c>
      <c r="I14" s="36">
        <v>2.6287542599686586E-2</v>
      </c>
      <c r="K14" s="69">
        <f t="shared" si="2"/>
        <v>244330.92132527046</v>
      </c>
    </row>
    <row r="15" spans="1:19">
      <c r="A15" s="16">
        <v>45323</v>
      </c>
      <c r="B15" s="14">
        <f>VLOOKUP(A15,'INCC - M'!$A:$F,2,FALSE)</f>
        <v>1090.8710000000001</v>
      </c>
      <c r="C15" s="14">
        <f>B14</f>
        <v>1088.663</v>
      </c>
      <c r="D15" s="31">
        <v>212030.40474599999</v>
      </c>
      <c r="E15" s="94">
        <f t="shared" si="0"/>
        <v>220790.53183020689</v>
      </c>
      <c r="F15" s="17">
        <f t="shared" si="1"/>
        <v>8760.1270842069061</v>
      </c>
      <c r="H15" s="110">
        <v>45323</v>
      </c>
      <c r="I15" s="36">
        <v>2.4278093756159743E-2</v>
      </c>
      <c r="K15" s="69">
        <f t="shared" si="2"/>
        <v>226176.08574878206</v>
      </c>
    </row>
    <row r="16" spans="1:19">
      <c r="A16" s="73">
        <v>45352</v>
      </c>
      <c r="B16" s="15">
        <f>VLOOKUP(A16,'INCC - M'!$A:$F,2,FALSE)</f>
        <v>1093.5029999999999</v>
      </c>
      <c r="C16" s="15">
        <f t="shared" si="3"/>
        <v>1090.8710000000001</v>
      </c>
      <c r="D16" s="29">
        <v>187875.04218000002</v>
      </c>
      <c r="E16" s="115">
        <f t="shared" si="0"/>
        <v>196033.96670579311</v>
      </c>
      <c r="F16" s="74">
        <f t="shared" si="1"/>
        <v>8158.9245257930888</v>
      </c>
      <c r="H16" s="110">
        <v>45352</v>
      </c>
      <c r="I16" s="36">
        <v>2.2869583788795125E-2</v>
      </c>
      <c r="K16" s="69">
        <f t="shared" si="2"/>
        <v>213486.43938228607</v>
      </c>
    </row>
    <row r="17" spans="1:14">
      <c r="A17" s="16">
        <v>45383</v>
      </c>
      <c r="B17" s="14">
        <f>VLOOKUP(A17,'INCC - M'!$A:$F,2,FALSE)</f>
        <v>1097.991</v>
      </c>
      <c r="C17" s="14">
        <f t="shared" si="3"/>
        <v>1093.5029999999999</v>
      </c>
      <c r="D17" s="31">
        <v>199505.40193399999</v>
      </c>
      <c r="E17" s="115">
        <f t="shared" si="0"/>
        <v>208671.66365624877</v>
      </c>
      <c r="F17" s="17">
        <f t="shared" si="1"/>
        <v>9166.2617222487752</v>
      </c>
      <c r="H17" s="110">
        <v>45383</v>
      </c>
      <c r="I17" s="36">
        <v>3.5019255544291687E-2</v>
      </c>
      <c r="K17" s="69">
        <f t="shared" si="2"/>
        <v>327691.76297895337</v>
      </c>
    </row>
    <row r="18" spans="1:14">
      <c r="A18" s="16">
        <v>45413</v>
      </c>
      <c r="B18" s="14">
        <f>VLOOKUP(A18,'INCC - M'!$A:$F,2,FALSE)</f>
        <v>1104.4570000000001</v>
      </c>
      <c r="C18" s="14">
        <f t="shared" si="3"/>
        <v>1097.991</v>
      </c>
      <c r="D18" s="31">
        <v>193242.900528</v>
      </c>
      <c r="E18" s="115">
        <f t="shared" si="0"/>
        <v>202950.98715852812</v>
      </c>
      <c r="F18" s="17">
        <f t="shared" si="1"/>
        <v>9708.0866305281234</v>
      </c>
      <c r="H18" s="110">
        <v>45413</v>
      </c>
      <c r="I18" s="36">
        <v>4.4570825154019771E-2</v>
      </c>
      <c r="K18" s="69">
        <f t="shared" si="2"/>
        <v>418782.08164252166</v>
      </c>
    </row>
    <row r="19" spans="1:14">
      <c r="A19" s="16">
        <v>45444</v>
      </c>
      <c r="B19" s="14">
        <f>VLOOKUP(A19,'INCC - M'!$A:$F,2,FALSE)</f>
        <v>1114.748</v>
      </c>
      <c r="C19" s="14">
        <f t="shared" si="3"/>
        <v>1104.4570000000001</v>
      </c>
      <c r="D19" s="31">
        <v>195926.82970199999</v>
      </c>
      <c r="E19" s="116">
        <f t="shared" si="0"/>
        <v>206981.51600112658</v>
      </c>
      <c r="F19" s="17">
        <f t="shared" si="1"/>
        <v>11054.686299126595</v>
      </c>
      <c r="G19" s="13" t="s">
        <v>106</v>
      </c>
      <c r="H19" s="110">
        <v>45444</v>
      </c>
      <c r="I19" s="36">
        <v>2.8628015895706866E-2</v>
      </c>
      <c r="K19" s="69">
        <f t="shared" si="2"/>
        <v>270569.41233779711</v>
      </c>
      <c r="L19" s="120">
        <v>221278.37136071009</v>
      </c>
    </row>
    <row r="20" spans="1:14">
      <c r="A20" s="16">
        <v>45474</v>
      </c>
      <c r="B20" s="14">
        <f>VLOOKUP(A20,'INCC - M'!$A:$F,2,FALSE)</f>
        <v>1122.452</v>
      </c>
      <c r="C20" s="14">
        <f t="shared" si="3"/>
        <v>1114.748</v>
      </c>
      <c r="D20" s="18">
        <v>193242.900528</v>
      </c>
      <c r="E20" s="97">
        <f t="shared" si="0"/>
        <v>206048.32556277321</v>
      </c>
      <c r="F20" s="17">
        <f t="shared" si="1"/>
        <v>12805.425034773216</v>
      </c>
      <c r="H20" s="110">
        <v>45474</v>
      </c>
      <c r="I20" s="117">
        <v>3.8359449283505556E-2</v>
      </c>
      <c r="J20" s="36"/>
      <c r="K20" s="119">
        <f>I20*($D$3/$B$3*C20)</f>
        <v>365921.30992483516</v>
      </c>
      <c r="L20" s="87"/>
      <c r="N20">
        <f>K41/20</f>
        <v>0</v>
      </c>
    </row>
    <row r="21" spans="1:14">
      <c r="A21" s="16">
        <v>45505</v>
      </c>
      <c r="B21" s="14">
        <f>VLOOKUP(A21,'INCC - M'!$A:$F,2,FALSE)</f>
        <v>1129.6389999999999</v>
      </c>
      <c r="C21" s="14">
        <f t="shared" si="3"/>
        <v>1122.452</v>
      </c>
      <c r="D21" s="18">
        <v>193242.900528</v>
      </c>
      <c r="E21" s="97">
        <f t="shared" si="0"/>
        <v>207472.32121034162</v>
      </c>
      <c r="F21" s="17">
        <f t="shared" si="1"/>
        <v>14229.420682341617</v>
      </c>
      <c r="H21" s="110">
        <v>45505</v>
      </c>
      <c r="I21" s="117">
        <v>4.6803544561982408E-2</v>
      </c>
      <c r="J21" s="36">
        <v>5.8446531670380442E-2</v>
      </c>
      <c r="K21" s="119">
        <f t="shared" si="2"/>
        <v>449557.40884935879</v>
      </c>
      <c r="L21" s="87"/>
      <c r="M21" s="13" t="s">
        <v>107</v>
      </c>
    </row>
    <row r="22" spans="1:14">
      <c r="A22" s="16">
        <v>45536</v>
      </c>
      <c r="B22" s="14">
        <f>VLOOKUP(A22,'INCC - M'!$A:$F,2,FALSE)</f>
        <v>1136.521</v>
      </c>
      <c r="C22" s="14">
        <f t="shared" si="3"/>
        <v>1129.6389999999999</v>
      </c>
      <c r="D22" s="18">
        <v>195926.82970199999</v>
      </c>
      <c r="E22" s="97">
        <f t="shared" si="0"/>
        <v>211700.7658550732</v>
      </c>
      <c r="F22" s="17">
        <f t="shared" si="1"/>
        <v>15773.936153073213</v>
      </c>
      <c r="H22" s="110">
        <v>45536</v>
      </c>
      <c r="I22" s="117">
        <v>4.258548089973091E-2</v>
      </c>
      <c r="J22" s="36">
        <v>6.1169194467262399E-2</v>
      </c>
      <c r="K22" s="119">
        <f t="shared" si="2"/>
        <v>411661.13793514267</v>
      </c>
      <c r="L22" s="87"/>
    </row>
    <row r="23" spans="1:14">
      <c r="A23" s="16">
        <v>45566</v>
      </c>
      <c r="B23" s="14">
        <f>VLOOKUP(A23,'INCC - M'!$A:$F,2,FALSE)</f>
        <v>1144.136</v>
      </c>
      <c r="C23" s="14">
        <f t="shared" si="3"/>
        <v>1136.521</v>
      </c>
      <c r="D23" s="18">
        <v>213819.69086200002</v>
      </c>
      <c r="E23" s="97">
        <f t="shared" si="0"/>
        <v>232441.67821156926</v>
      </c>
      <c r="F23" s="17">
        <f t="shared" si="1"/>
        <v>18621.987349569245</v>
      </c>
      <c r="H23" s="110">
        <v>45566</v>
      </c>
      <c r="I23" s="129"/>
      <c r="J23" s="36">
        <v>6.590706981581225E-2</v>
      </c>
      <c r="K23" s="69">
        <f t="shared" ref="K23:K39" si="4">J23*($D$3/$B$3*C23)</f>
        <v>640985.35204997729</v>
      </c>
      <c r="L23" s="87"/>
    </row>
    <row r="24" spans="1:14">
      <c r="A24" s="16">
        <v>45597</v>
      </c>
      <c r="B24" s="14">
        <f>VLOOKUP(A24,'INCC - M'!$A:$F,2,FALSE)</f>
        <v>1149.1579999999999</v>
      </c>
      <c r="C24" s="14">
        <f t="shared" si="3"/>
        <v>1144.136</v>
      </c>
      <c r="D24" s="18">
        <v>212925.04780400003</v>
      </c>
      <c r="E24" s="97">
        <f t="shared" si="0"/>
        <v>233020.02497852861</v>
      </c>
      <c r="F24" s="17">
        <f t="shared" si="1"/>
        <v>20094.977174528583</v>
      </c>
      <c r="H24" s="110">
        <v>45597</v>
      </c>
      <c r="I24" s="129"/>
      <c r="J24" s="36">
        <v>5.2108245224538725E-2</v>
      </c>
      <c r="K24" s="69">
        <f t="shared" si="4"/>
        <v>510179.18503400439</v>
      </c>
      <c r="L24" s="87"/>
    </row>
    <row r="25" spans="1:14">
      <c r="A25" s="16">
        <v>45627</v>
      </c>
      <c r="B25" s="14">
        <f>VLOOKUP(A25,'INCC - M'!$A:$F,2,FALSE)</f>
        <v>1154.99</v>
      </c>
      <c r="C25" s="14">
        <f t="shared" si="3"/>
        <v>1149.1579999999999</v>
      </c>
      <c r="D25" s="18">
        <v>227239.336732</v>
      </c>
      <c r="E25" s="97">
        <f t="shared" si="0"/>
        <v>249776.8003836284</v>
      </c>
      <c r="F25" s="17">
        <f t="shared" si="1"/>
        <v>22537.463651628408</v>
      </c>
      <c r="H25" s="110">
        <v>45627</v>
      </c>
      <c r="I25" s="129"/>
      <c r="J25" s="36">
        <v>3.3569440373773907E-2</v>
      </c>
      <c r="K25" s="69">
        <f t="shared" si="4"/>
        <v>330112.89004843461</v>
      </c>
      <c r="L25" s="87"/>
    </row>
    <row r="26" spans="1:14">
      <c r="A26" s="16">
        <v>45658</v>
      </c>
      <c r="B26" s="14">
        <f>VLOOKUP(A26,'INCC - M'!$A:$F,2,FALSE)</f>
        <v>1163.221</v>
      </c>
      <c r="C26" s="14">
        <f t="shared" si="3"/>
        <v>1154.99</v>
      </c>
      <c r="D26" s="18">
        <v>220976.835326</v>
      </c>
      <c r="E26" s="97">
        <f t="shared" si="0"/>
        <v>244125.87559571516</v>
      </c>
      <c r="F26" s="17">
        <f t="shared" si="1"/>
        <v>23149.040269715159</v>
      </c>
      <c r="H26" s="110">
        <v>45658</v>
      </c>
      <c r="I26" s="129"/>
      <c r="J26" s="36">
        <v>5.7676801335340457E-2</v>
      </c>
      <c r="K26" s="69">
        <f t="shared" si="4"/>
        <v>570056.66508299997</v>
      </c>
      <c r="L26" s="87"/>
      <c r="M26" s="69">
        <f>SUM(E6:E18)+SUM(K19:K25)</f>
        <v>4855856.774951756</v>
      </c>
    </row>
    <row r="27" spans="1:14">
      <c r="A27" s="16">
        <v>45689</v>
      </c>
      <c r="B27" s="14">
        <f>VLOOKUP(A27,'INCC - M'!$A:$F,2,FALSE)</f>
        <v>1169.1559999999999</v>
      </c>
      <c r="C27" s="14">
        <f t="shared" si="3"/>
        <v>1163.221</v>
      </c>
      <c r="D27" s="18">
        <v>221871.47838399999</v>
      </c>
      <c r="E27" s="97">
        <f t="shared" si="0"/>
        <v>246861.03840220498</v>
      </c>
      <c r="F27" s="17">
        <f t="shared" si="1"/>
        <v>24989.560018204997</v>
      </c>
      <c r="H27" s="110">
        <v>45689</v>
      </c>
      <c r="I27" s="129"/>
      <c r="J27" s="36">
        <v>5.2632476179884299E-2</v>
      </c>
      <c r="K27" s="69">
        <f t="shared" si="4"/>
        <v>523907.5694937724</v>
      </c>
      <c r="L27" s="87"/>
    </row>
    <row r="28" spans="1:14">
      <c r="A28" s="16">
        <v>45717</v>
      </c>
      <c r="B28" s="14">
        <f>VLOOKUP(A28,'INCC - M'!$A:$F,2,FALSE)</f>
        <v>1173.586</v>
      </c>
      <c r="C28" s="14">
        <f t="shared" si="3"/>
        <v>1169.1559999999999</v>
      </c>
      <c r="D28" s="18">
        <v>245132.197892</v>
      </c>
      <c r="E28" s="97">
        <f t="shared" si="0"/>
        <v>274133.21672724787</v>
      </c>
      <c r="F28" s="17">
        <f t="shared" si="1"/>
        <v>29001.018835247873</v>
      </c>
      <c r="H28" s="110">
        <v>45717</v>
      </c>
      <c r="I28" s="129"/>
      <c r="J28" s="36">
        <v>4.0068676356197583E-2</v>
      </c>
      <c r="K28" s="69">
        <f t="shared" si="4"/>
        <v>400881.57443530887</v>
      </c>
      <c r="L28" s="87"/>
    </row>
    <row r="29" spans="1:14">
      <c r="A29" s="16">
        <v>45748</v>
      </c>
      <c r="B29" s="14">
        <f>VLOOKUP(A29,'INCC - M'!$A:$F,2,FALSE)</f>
        <v>1180.5640000000001</v>
      </c>
      <c r="C29" s="14">
        <f t="shared" si="3"/>
        <v>1173.586</v>
      </c>
      <c r="D29" s="18">
        <v>240658.982602</v>
      </c>
      <c r="E29" s="97">
        <f t="shared" si="0"/>
        <v>270150.53794608044</v>
      </c>
      <c r="F29" s="17">
        <f t="shared" si="1"/>
        <v>29491.555344080436</v>
      </c>
      <c r="H29" s="110">
        <v>45748</v>
      </c>
      <c r="I29" s="129"/>
      <c r="J29" s="36">
        <v>3.9442855156175287E-2</v>
      </c>
      <c r="K29" s="69">
        <f t="shared" si="4"/>
        <v>396115.5590546499</v>
      </c>
      <c r="L29" s="87"/>
      <c r="M29" s="36">
        <v>0.60040000000000004</v>
      </c>
    </row>
    <row r="30" spans="1:14">
      <c r="A30" s="16">
        <v>45778</v>
      </c>
      <c r="B30" s="14">
        <f>VLOOKUP(A30,'INCC - M'!$A:$F,2,FALSE)</f>
        <v>1183.606</v>
      </c>
      <c r="C30" s="14">
        <f t="shared" si="3"/>
        <v>1180.5640000000001</v>
      </c>
      <c r="D30" s="18">
        <v>280917.92021199997</v>
      </c>
      <c r="E30" s="97">
        <f t="shared" si="0"/>
        <v>317217.99838843575</v>
      </c>
      <c r="F30" s="17">
        <f t="shared" si="1"/>
        <v>36300.078176435782</v>
      </c>
      <c r="H30" s="110">
        <v>45778</v>
      </c>
      <c r="I30" s="129"/>
      <c r="J30" s="36">
        <v>5.5775676758151406E-2</v>
      </c>
      <c r="K30" s="69">
        <f t="shared" si="4"/>
        <v>563472.88343889127</v>
      </c>
      <c r="L30" s="87"/>
      <c r="M30" s="68">
        <f>M29*E3</f>
        <v>5999062.0859241914</v>
      </c>
    </row>
    <row r="31" spans="1:14">
      <c r="A31" s="16">
        <v>45809</v>
      </c>
      <c r="B31" s="14">
        <f>VLOOKUP(A31,'INCC - M'!$A:$F,2,FALSE)</f>
        <v>1194.912</v>
      </c>
      <c r="C31" s="14">
        <f t="shared" si="3"/>
        <v>1183.606</v>
      </c>
      <c r="D31" s="18">
        <v>395432.23163600004</v>
      </c>
      <c r="E31" s="97">
        <f t="shared" si="0"/>
        <v>447680.38263952296</v>
      </c>
      <c r="F31" s="17">
        <f t="shared" si="1"/>
        <v>52248.151003522915</v>
      </c>
      <c r="H31" s="110">
        <v>45809</v>
      </c>
      <c r="I31" s="129"/>
      <c r="J31" s="36">
        <v>5.1131271410193725E-2</v>
      </c>
      <c r="K31" s="69">
        <f t="shared" si="4"/>
        <v>517883.87216653436</v>
      </c>
      <c r="L31" s="87"/>
    </row>
    <row r="32" spans="1:14">
      <c r="A32" s="16">
        <v>45839</v>
      </c>
      <c r="B32" s="14">
        <f>VLOOKUP(A32,'INCC - M'!$A:$F,2,FALSE)</f>
        <v>1205.838</v>
      </c>
      <c r="C32" s="14">
        <f t="shared" si="3"/>
        <v>1194.912</v>
      </c>
      <c r="D32" s="18">
        <v>444637.59982599999</v>
      </c>
      <c r="E32" s="97">
        <f t="shared" si="0"/>
        <v>508195.65542668913</v>
      </c>
      <c r="F32" s="17">
        <f t="shared" si="1"/>
        <v>63558.055600689142</v>
      </c>
      <c r="H32" s="110">
        <v>45839</v>
      </c>
      <c r="I32" s="129"/>
      <c r="J32" s="36">
        <v>4.2964763283238838E-2</v>
      </c>
      <c r="K32" s="69">
        <f t="shared" si="4"/>
        <v>439326.07720277883</v>
      </c>
      <c r="L32" s="87"/>
      <c r="M32" s="68">
        <f>M30-M26</f>
        <v>1143205.3109724354</v>
      </c>
    </row>
    <row r="33" spans="1:12">
      <c r="A33" s="16">
        <v>45870</v>
      </c>
      <c r="B33" s="14">
        <f>VLOOKUP(A33,'INCC - M'!$A:$F,2,FALSE)</f>
        <v>1214.239</v>
      </c>
      <c r="C33" s="14">
        <f t="shared" si="3"/>
        <v>1205.838</v>
      </c>
      <c r="D33" s="18">
        <v>514419.75835000002</v>
      </c>
      <c r="E33" s="97">
        <f t="shared" si="0"/>
        <v>593328.8242590141</v>
      </c>
      <c r="F33" s="17">
        <f t="shared" si="1"/>
        <v>78909.065909014083</v>
      </c>
      <c r="H33" s="110">
        <v>45870</v>
      </c>
      <c r="I33" s="129"/>
      <c r="J33" s="36">
        <v>2.8552951610074599E-2</v>
      </c>
      <c r="K33" s="69">
        <f t="shared" si="4"/>
        <v>294631.11665965361</v>
      </c>
      <c r="L33" s="87"/>
    </row>
    <row r="34" spans="1:12">
      <c r="A34" s="16">
        <v>45901</v>
      </c>
      <c r="B34" s="14">
        <f>VLOOKUP(A34,'INCC - M'!$A:$F,2,FALSE)</f>
        <v>1216.825</v>
      </c>
      <c r="C34" s="14">
        <f t="shared" si="3"/>
        <v>1214.239</v>
      </c>
      <c r="D34" s="18">
        <v>502789.39859599998</v>
      </c>
      <c r="E34" s="97">
        <f t="shared" si="0"/>
        <v>583954.66203379387</v>
      </c>
      <c r="F34" s="17">
        <f t="shared" si="1"/>
        <v>81165.263437793881</v>
      </c>
      <c r="H34" s="110">
        <v>45901</v>
      </c>
      <c r="I34" s="129"/>
      <c r="J34" s="36">
        <v>1.0088483501319426E-2</v>
      </c>
      <c r="K34" s="69">
        <f t="shared" si="4"/>
        <v>104825.92479442153</v>
      </c>
      <c r="L34" s="87"/>
    </row>
    <row r="35" spans="1:12">
      <c r="A35" s="16">
        <v>45931</v>
      </c>
      <c r="B35" s="14">
        <f>VLOOKUP(A35,'INCC - M'!$A:$F,2,FALSE)</f>
        <v>1219.4069999999999</v>
      </c>
      <c r="C35" s="14">
        <f t="shared" si="3"/>
        <v>1216.825</v>
      </c>
      <c r="D35" s="18">
        <v>640564.42952799995</v>
      </c>
      <c r="E35" s="97">
        <f t="shared" si="0"/>
        <v>745555.16419942491</v>
      </c>
      <c r="F35" s="17">
        <f t="shared" si="1"/>
        <v>104990.73467142496</v>
      </c>
      <c r="H35" s="110">
        <v>45931</v>
      </c>
      <c r="I35" s="129"/>
      <c r="J35" s="36">
        <v>1.2991480381942189E-2</v>
      </c>
      <c r="K35" s="69">
        <f t="shared" si="4"/>
        <v>135277.44817531444</v>
      </c>
      <c r="L35" s="87"/>
    </row>
    <row r="36" spans="1:12">
      <c r="A36" s="16">
        <v>45962</v>
      </c>
      <c r="B36" s="14">
        <f>VLOOKUP(A36,'INCC - M'!$A:$F,2,FALSE)</f>
        <v>1222.865</v>
      </c>
      <c r="C36" s="14">
        <f t="shared" si="3"/>
        <v>1219.4069999999999</v>
      </c>
      <c r="D36" s="18">
        <v>646826.93093400006</v>
      </c>
      <c r="E36" s="97">
        <f t="shared" si="0"/>
        <v>754441.58303061698</v>
      </c>
      <c r="F36" s="17">
        <f t="shared" si="1"/>
        <v>107614.65209661692</v>
      </c>
      <c r="H36" s="110">
        <v>45962</v>
      </c>
      <c r="I36" s="129"/>
      <c r="J36" s="36">
        <v>7.5173975086392994E-3</v>
      </c>
      <c r="K36" s="69">
        <f t="shared" si="4"/>
        <v>78443.115860141741</v>
      </c>
      <c r="L36" s="87"/>
    </row>
    <row r="37" spans="1:12">
      <c r="A37" s="16">
        <v>45992</v>
      </c>
      <c r="B37" s="14">
        <f>VLOOKUP(A37,'INCC - M'!$A:$F,2,FALSE)</f>
        <v>1225.3979999999999</v>
      </c>
      <c r="C37" s="14">
        <f t="shared" si="3"/>
        <v>1222.865</v>
      </c>
      <c r="D37" s="18">
        <v>704084.08664600004</v>
      </c>
      <c r="E37" s="97">
        <f t="shared" si="0"/>
        <v>823553.62676115776</v>
      </c>
      <c r="F37" s="17">
        <f t="shared" si="1"/>
        <v>119469.54011515772</v>
      </c>
      <c r="H37" s="110">
        <v>45992</v>
      </c>
      <c r="I37" s="129"/>
      <c r="J37" s="36">
        <v>3.9422120013852726E-3</v>
      </c>
      <c r="K37" s="69">
        <f t="shared" si="4"/>
        <v>41253.15109532659</v>
      </c>
      <c r="L37" s="87"/>
    </row>
    <row r="38" spans="1:12">
      <c r="A38" s="16">
        <v>46023</v>
      </c>
      <c r="B38" s="14">
        <f>VLOOKUP(A38,'INCC - M'!$A:$F,2,FALSE)</f>
        <v>1233.096</v>
      </c>
      <c r="C38" s="14">
        <f t="shared" si="3"/>
        <v>1225.3979999999999</v>
      </c>
      <c r="D38" s="18">
        <v>487580.46661</v>
      </c>
      <c r="E38" s="97">
        <f t="shared" si="0"/>
        <v>571494.83018909278</v>
      </c>
      <c r="F38" s="17">
        <f t="shared" si="1"/>
        <v>83914.36357909278</v>
      </c>
      <c r="H38" s="110">
        <v>46023</v>
      </c>
      <c r="I38" s="129"/>
      <c r="J38" s="36">
        <v>3.7071158274119987E-3</v>
      </c>
      <c r="K38" s="69">
        <f t="shared" si="4"/>
        <v>38873.34917941501</v>
      </c>
      <c r="L38" s="87"/>
    </row>
    <row r="39" spans="1:12">
      <c r="A39" s="16">
        <v>46054</v>
      </c>
      <c r="B39" s="14">
        <f>VLOOKUP(A39,'INCC - M'!$A:$F,2,FALSE)</f>
        <v>1237.3119999999999</v>
      </c>
      <c r="C39" s="14">
        <f t="shared" si="3"/>
        <v>1233.096</v>
      </c>
      <c r="D39" s="18">
        <v>158351.82126600001</v>
      </c>
      <c r="E39" s="97">
        <f t="shared" si="0"/>
        <v>186770.71954866144</v>
      </c>
      <c r="F39" s="17">
        <f t="shared" si="1"/>
        <v>28418.898282661423</v>
      </c>
      <c r="H39" s="110">
        <v>46054</v>
      </c>
      <c r="I39" s="129"/>
      <c r="J39" s="36">
        <v>3.4369234794654532E-3</v>
      </c>
      <c r="K39" s="69">
        <f t="shared" si="4"/>
        <v>36266.478604149808</v>
      </c>
      <c r="L39" s="87"/>
    </row>
    <row r="40" spans="1:12">
      <c r="A40" s="16">
        <v>46082</v>
      </c>
      <c r="B40" s="14">
        <f>VLOOKUP(A40,'INCC - M'!$A:$F,2,FALSE)</f>
        <v>1241.721</v>
      </c>
      <c r="C40" s="14">
        <f t="shared" ref="C40" si="5">B39</f>
        <v>1237.3119999999999</v>
      </c>
      <c r="D40" s="18"/>
      <c r="E40" s="97"/>
      <c r="F40" s="17"/>
      <c r="J40" t="s">
        <v>104</v>
      </c>
    </row>
    <row r="41" spans="1:12">
      <c r="I41" s="87"/>
      <c r="J41" s="87"/>
      <c r="K41" s="87"/>
    </row>
  </sheetData>
  <mergeCells count="2">
    <mergeCell ref="A1:F1"/>
    <mergeCell ref="Q1:S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EC22-9995-4890-AE5D-BB9A33D330F5}">
  <dimension ref="A1:K20"/>
  <sheetViews>
    <sheetView workbookViewId="0">
      <selection activeCell="I5" sqref="I5:I15"/>
    </sheetView>
  </sheetViews>
  <sheetFormatPr defaultRowHeight="14.4"/>
  <cols>
    <col min="1" max="1" width="9.5546875" bestFit="1" customWidth="1"/>
    <col min="2" max="2" width="12.33203125" bestFit="1" customWidth="1"/>
    <col min="3" max="3" width="12.6640625" bestFit="1" customWidth="1"/>
    <col min="4" max="4" width="18.6640625" bestFit="1" customWidth="1"/>
    <col min="5" max="5" width="4" customWidth="1"/>
    <col min="6" max="6" width="16.33203125" bestFit="1" customWidth="1"/>
    <col min="7" max="7" width="18.5546875" bestFit="1" customWidth="1"/>
    <col min="8" max="8" width="13.33203125" bestFit="1" customWidth="1"/>
    <col min="9" max="9" width="14.33203125" bestFit="1" customWidth="1"/>
    <col min="10" max="10" width="13.33203125" bestFit="1" customWidth="1"/>
  </cols>
  <sheetData>
    <row r="1" spans="1:11">
      <c r="A1" s="216" t="s">
        <v>133</v>
      </c>
      <c r="B1" s="216"/>
      <c r="C1" s="216"/>
      <c r="D1" s="216"/>
      <c r="F1" t="s">
        <v>152</v>
      </c>
      <c r="G1" s="69">
        <f>G3-D3</f>
        <v>5.3695177484769374E-4</v>
      </c>
      <c r="H1" s="69">
        <f>G3-I3</f>
        <v>5.3695177484769374E-4</v>
      </c>
    </row>
    <row r="2" spans="1:11">
      <c r="A2" s="19" t="s">
        <v>1</v>
      </c>
      <c r="B2" s="19" t="s">
        <v>0</v>
      </c>
      <c r="C2" s="19" t="s">
        <v>23</v>
      </c>
      <c r="D2" s="19" t="s">
        <v>3</v>
      </c>
      <c r="E2" s="69"/>
      <c r="G2" s="19" t="s">
        <v>127</v>
      </c>
      <c r="I2" s="19" t="s">
        <v>72</v>
      </c>
    </row>
    <row r="3" spans="1:11">
      <c r="A3" s="20">
        <v>45078</v>
      </c>
      <c r="B3" s="140">
        <f>VLOOKUP(A3,'INCC - DI'!$E:$F,2,FALSE)</f>
        <v>1067.9190000000001</v>
      </c>
      <c r="C3" s="37">
        <v>100472.86610399999</v>
      </c>
      <c r="D3" s="22">
        <f>SUM(D5:D16)</f>
        <v>107528.65593448699</v>
      </c>
      <c r="E3" s="68"/>
      <c r="G3" s="22">
        <f>SUM(G5:G16)</f>
        <v>107528.65647143876</v>
      </c>
      <c r="I3" s="159">
        <f>SUM(I5:I15)</f>
        <v>107528.65593448699</v>
      </c>
      <c r="J3" s="69">
        <f>D3-I3</f>
        <v>0</v>
      </c>
    </row>
    <row r="4" spans="1:11">
      <c r="A4" s="19" t="s">
        <v>5</v>
      </c>
      <c r="B4" s="19" t="s">
        <v>128</v>
      </c>
      <c r="C4" s="19" t="s">
        <v>24</v>
      </c>
      <c r="D4" s="19" t="s">
        <v>3</v>
      </c>
      <c r="F4" s="19" t="s">
        <v>125</v>
      </c>
      <c r="G4" s="19" t="s">
        <v>124</v>
      </c>
      <c r="I4" s="19" t="s">
        <v>72</v>
      </c>
    </row>
    <row r="5" spans="1:11">
      <c r="A5" s="16">
        <v>45444</v>
      </c>
      <c r="B5" s="14">
        <f>VLOOKUP(A5,'INCC - DI'!$E:$F,2,FALSE)</f>
        <v>1110.8869999999999</v>
      </c>
      <c r="C5" s="42">
        <v>5.9295190227569773E-2</v>
      </c>
      <c r="D5" s="31">
        <f t="shared" ref="D5:D12" si="0">(C5*$C$3)*B5/$B$3</f>
        <v>6197.2615993826957</v>
      </c>
      <c r="F5" s="36">
        <v>5.9295190227569773E-2</v>
      </c>
      <c r="G5" s="69">
        <f>F5*($C$3/$B$3*B5)</f>
        <v>6197.2615993826957</v>
      </c>
      <c r="H5" s="114"/>
      <c r="I5" s="150">
        <v>6991.6728709922854</v>
      </c>
      <c r="J5" s="68"/>
    </row>
    <row r="6" spans="1:11">
      <c r="A6" s="16">
        <v>45474</v>
      </c>
      <c r="B6" s="14">
        <f>VLOOKUP(A6,'INCC - DI'!$E:$F,2,FALSE)</f>
        <v>1118.827</v>
      </c>
      <c r="C6" s="42">
        <v>0.13207427966958618</v>
      </c>
      <c r="D6" s="31">
        <f t="shared" si="0"/>
        <v>13902.460407732571</v>
      </c>
      <c r="F6" s="36">
        <v>0.13207427966958618</v>
      </c>
      <c r="G6" s="69">
        <f t="shared" ref="G6:G15" si="1">F6*($C$3/$B$3*B6)</f>
        <v>13902.460407732569</v>
      </c>
      <c r="H6" s="68"/>
      <c r="I6" s="150">
        <v>13902.460407732571</v>
      </c>
      <c r="J6" s="68"/>
    </row>
    <row r="7" spans="1:11">
      <c r="A7" s="16">
        <v>45505</v>
      </c>
      <c r="B7" s="14">
        <f>VLOOKUP(A7,'INCC - DI'!$E:$F,2,FALSE)</f>
        <v>1126.9159999999999</v>
      </c>
      <c r="C7" s="42">
        <v>0.12008665896662933</v>
      </c>
      <c r="D7" s="31">
        <f t="shared" si="0"/>
        <v>12732.00454517746</v>
      </c>
      <c r="F7" s="36">
        <v>0.12008665896662933</v>
      </c>
      <c r="G7" s="69">
        <f t="shared" si="1"/>
        <v>12732.004545177459</v>
      </c>
      <c r="H7" s="68"/>
      <c r="I7" s="150">
        <v>12732.00454517746</v>
      </c>
      <c r="J7" s="68"/>
    </row>
    <row r="8" spans="1:11">
      <c r="A8" s="16">
        <v>45536</v>
      </c>
      <c r="B8" s="14">
        <f>VLOOKUP(A8,'INCC - DI'!$E:$F,2,FALSE)</f>
        <v>1134.7750000000001</v>
      </c>
      <c r="C8" s="87">
        <v>7.312126275174223E-2</v>
      </c>
      <c r="D8" s="31">
        <f t="shared" si="0"/>
        <v>7806.6358191176505</v>
      </c>
      <c r="F8" s="36">
        <v>7.312126275174223E-2</v>
      </c>
      <c r="G8" s="69">
        <f t="shared" si="1"/>
        <v>7806.6358191176505</v>
      </c>
      <c r="H8" s="68"/>
      <c r="I8" s="150">
        <v>7806.6358191176505</v>
      </c>
      <c r="J8" s="68"/>
    </row>
    <row r="9" spans="1:11">
      <c r="A9" s="16">
        <v>45566</v>
      </c>
      <c r="B9" s="14">
        <f>VLOOKUP(A9,'INCC - DI'!$E:$F,2,FALSE)</f>
        <v>1141.3979999999999</v>
      </c>
      <c r="C9" s="42">
        <v>0.14096626199230655</v>
      </c>
      <c r="D9" s="31">
        <f>(C9*$C$3)*B9/$B$3</f>
        <v>15137.80019754808</v>
      </c>
      <c r="E9" s="13"/>
      <c r="F9" s="36">
        <v>0.14096626199230655</v>
      </c>
      <c r="G9" s="69">
        <f t="shared" si="1"/>
        <v>15137.800197548078</v>
      </c>
      <c r="H9" s="68"/>
      <c r="I9" s="150">
        <v>14343.39019754808</v>
      </c>
      <c r="J9" s="87"/>
    </row>
    <row r="10" spans="1:11">
      <c r="A10" s="16">
        <v>45597</v>
      </c>
      <c r="B10" s="34">
        <f>VLOOKUP(A10,'INCC - DI'!$E:$F,2,FALSE)</f>
        <v>1149.17</v>
      </c>
      <c r="C10" s="42">
        <v>6.9431696785101749E-2</v>
      </c>
      <c r="D10" s="31">
        <f t="shared" si="0"/>
        <v>7506.7600907238357</v>
      </c>
      <c r="F10" s="36">
        <v>6.9431696785101749E-2</v>
      </c>
      <c r="G10" s="69">
        <f t="shared" si="1"/>
        <v>7506.7600907238357</v>
      </c>
      <c r="H10" s="75"/>
      <c r="I10" s="150">
        <v>7506.76</v>
      </c>
      <c r="J10" s="152"/>
    </row>
    <row r="11" spans="1:11">
      <c r="A11" s="16">
        <v>45627</v>
      </c>
      <c r="B11" s="14">
        <f>VLOOKUP(A11,'INCC - DI'!$E:$F,2,FALSE)</f>
        <v>1153.7249999999999</v>
      </c>
      <c r="C11" s="42">
        <v>4.3300322994388053E-2</v>
      </c>
      <c r="D11" s="31">
        <f t="shared" si="0"/>
        <v>4700.0655745302656</v>
      </c>
      <c r="F11" s="36">
        <v>4.3300322994388053E-2</v>
      </c>
      <c r="G11" s="69">
        <f t="shared" si="1"/>
        <v>4700.0655745302656</v>
      </c>
      <c r="H11" s="75"/>
      <c r="I11" s="150">
        <v>4700.0600000000004</v>
      </c>
      <c r="J11" s="87"/>
      <c r="K11" s="87"/>
    </row>
    <row r="12" spans="1:11">
      <c r="A12" s="16">
        <v>45658</v>
      </c>
      <c r="B12" s="14">
        <f>VLOOKUP(A12,'INCC - DI'!$E:$F,2,FALSE)</f>
        <v>1159.5360000000001</v>
      </c>
      <c r="C12" s="42">
        <v>0.27272116220717313</v>
      </c>
      <c r="D12" s="31">
        <f t="shared" si="0"/>
        <v>29751.821069569658</v>
      </c>
      <c r="F12" s="36">
        <v>0.27893179423347658</v>
      </c>
      <c r="G12" s="69">
        <f t="shared" si="1"/>
        <v>30429.354163371718</v>
      </c>
      <c r="H12" s="75"/>
      <c r="I12" s="150">
        <v>29751.825463214176</v>
      </c>
      <c r="J12" s="69"/>
    </row>
    <row r="13" spans="1:11">
      <c r="A13" s="16">
        <v>45689</v>
      </c>
      <c r="B13" s="14">
        <f>VLOOKUP(A13,'INCC - DI'!$E:$F,2,FALSE)</f>
        <v>1169.116</v>
      </c>
      <c r="C13" s="42">
        <v>4.2681049999999998E-2</v>
      </c>
      <c r="D13" s="31">
        <f t="shared" ref="D13:D14" si="2">(C13*$C$3)*B13/$B$3</f>
        <v>4694.6495356464429</v>
      </c>
      <c r="F13" s="36">
        <v>6.0937032320669243E-2</v>
      </c>
      <c r="G13" s="69">
        <f t="shared" si="1"/>
        <v>6702.6938298823989</v>
      </c>
      <c r="H13" s="75"/>
      <c r="I13" s="150">
        <v>4694.6495356464429</v>
      </c>
    </row>
    <row r="14" spans="1:11">
      <c r="A14" s="16">
        <v>45717</v>
      </c>
      <c r="B14" s="14">
        <f>VLOOKUP(A14,'INCC - DI'!$E:$F,2,FALSE)</f>
        <v>1173.7750000000001</v>
      </c>
      <c r="C14" s="42">
        <v>3.0214648437928433E-2</v>
      </c>
      <c r="D14" s="31">
        <f t="shared" si="2"/>
        <v>3336.6670950583152</v>
      </c>
      <c r="F14" s="36">
        <v>2.1690767909912253E-2</v>
      </c>
      <c r="G14" s="69">
        <f t="shared" si="1"/>
        <v>2395.3570633209451</v>
      </c>
      <c r="H14" s="75"/>
      <c r="I14" s="150">
        <v>3336.6670950583211</v>
      </c>
    </row>
    <row r="15" spans="1:11">
      <c r="A15" s="23">
        <v>45748</v>
      </c>
      <c r="B15" s="24">
        <f>VLOOKUP(A15,'INCC - DI'!$E:$F,2,FALSE)</f>
        <v>1178.386</v>
      </c>
      <c r="C15" s="161">
        <v>3.3647930342711788E-3</v>
      </c>
      <c r="D15" s="25">
        <v>1762.53</v>
      </c>
      <c r="F15" s="36">
        <v>1.6473214861790618E-4</v>
      </c>
      <c r="G15" s="69">
        <f t="shared" si="1"/>
        <v>18.263180651133446</v>
      </c>
      <c r="H15" s="75"/>
      <c r="I15" s="150">
        <v>1762.53</v>
      </c>
    </row>
    <row r="16" spans="1:11">
      <c r="F16" s="36"/>
      <c r="G16" s="69"/>
      <c r="H16" s="75"/>
      <c r="I16" s="13" t="s">
        <v>153</v>
      </c>
    </row>
    <row r="18" spans="7:7">
      <c r="G18" s="167"/>
    </row>
    <row r="19" spans="7:7">
      <c r="G19" s="87"/>
    </row>
    <row r="20" spans="7:7">
      <c r="G20" s="87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D8F9-E370-4FC1-B57C-5CDAF9187E13}">
  <dimension ref="A1:U40"/>
  <sheetViews>
    <sheetView workbookViewId="0">
      <pane ySplit="4" topLeftCell="A11" activePane="bottomLeft" state="frozen"/>
      <selection pane="bottomLeft" activeCell="E7" sqref="E7"/>
    </sheetView>
  </sheetViews>
  <sheetFormatPr defaultRowHeight="14.4"/>
  <cols>
    <col min="1" max="1" width="10.6640625" bestFit="1" customWidth="1"/>
    <col min="2" max="2" width="9.88671875" bestFit="1" customWidth="1"/>
    <col min="3" max="4" width="17.88671875" bestFit="1" customWidth="1"/>
    <col min="5" max="5" width="25.88671875" bestFit="1" customWidth="1"/>
    <col min="6" max="6" width="15.88671875" bestFit="1" customWidth="1"/>
    <col min="7" max="7" width="13.33203125" bestFit="1" customWidth="1"/>
    <col min="8" max="8" width="11.5546875" bestFit="1" customWidth="1"/>
    <col min="9" max="10" width="14.44140625" bestFit="1" customWidth="1"/>
    <col min="11" max="19" width="12.6640625" bestFit="1" customWidth="1"/>
    <col min="20" max="21" width="11.6640625" bestFit="1" customWidth="1"/>
  </cols>
  <sheetData>
    <row r="1" spans="1:10">
      <c r="A1" s="216" t="s">
        <v>15</v>
      </c>
      <c r="B1" s="216"/>
      <c r="C1" s="216"/>
      <c r="D1" s="216"/>
      <c r="E1" s="216"/>
      <c r="F1" s="216"/>
      <c r="H1" s="217" t="s">
        <v>33</v>
      </c>
      <c r="I1" s="217"/>
      <c r="J1" s="217"/>
    </row>
    <row r="2" spans="1:10" ht="15" customHeight="1">
      <c r="A2" s="19" t="s">
        <v>1</v>
      </c>
      <c r="B2" s="19" t="s">
        <v>0</v>
      </c>
      <c r="C2" s="19"/>
      <c r="D2" s="19" t="s">
        <v>2</v>
      </c>
      <c r="E2" s="19" t="s">
        <v>3</v>
      </c>
      <c r="F2" s="19" t="s">
        <v>10</v>
      </c>
      <c r="H2" s="217"/>
      <c r="I2" s="217"/>
      <c r="J2" s="217"/>
    </row>
    <row r="3" spans="1:10">
      <c r="A3" s="20">
        <v>44805</v>
      </c>
      <c r="B3" s="21">
        <f>VLOOKUP(A3,'INCC - M'!$A:$F,2,FALSE)</f>
        <v>1046.5070000000001</v>
      </c>
      <c r="C3" s="21"/>
      <c r="D3" s="22">
        <f>SUM(D5:D37)</f>
        <v>7331510.4242532598</v>
      </c>
      <c r="E3" s="22">
        <f>SUM(E5:E37)</f>
        <v>7641719.2615886917</v>
      </c>
      <c r="F3" s="22">
        <f>SUM(F5:F35)</f>
        <v>298732.55547031807</v>
      </c>
      <c r="H3" s="217"/>
      <c r="I3" s="217"/>
      <c r="J3" s="217"/>
    </row>
    <row r="4" spans="1:10">
      <c r="A4" s="19" t="s">
        <v>5</v>
      </c>
      <c r="B4" s="19" t="s">
        <v>6</v>
      </c>
      <c r="C4" s="19" t="s">
        <v>7</v>
      </c>
      <c r="D4" s="19" t="s">
        <v>8</v>
      </c>
      <c r="E4" s="19" t="s">
        <v>9</v>
      </c>
      <c r="F4" s="19" t="s">
        <v>10</v>
      </c>
      <c r="H4" s="217"/>
      <c r="I4" s="217"/>
      <c r="J4" s="217"/>
    </row>
    <row r="5" spans="1:10">
      <c r="A5" s="27">
        <v>44805</v>
      </c>
      <c r="B5" s="14">
        <f>VLOOKUP(A5,'INCC - M'!$A:$F,2,FALSE)</f>
        <v>1046.5070000000001</v>
      </c>
      <c r="C5" s="15" t="s">
        <v>12</v>
      </c>
      <c r="D5" s="28">
        <v>65261.141000000003</v>
      </c>
      <c r="E5" s="97">
        <f>D5</f>
        <v>65261.141000000003</v>
      </c>
      <c r="F5" s="29">
        <v>0</v>
      </c>
      <c r="G5" s="36"/>
    </row>
    <row r="6" spans="1:10">
      <c r="A6" s="27">
        <v>44835</v>
      </c>
      <c r="B6" s="14">
        <f>VLOOKUP(A6,'INCC - M'!$A:$F,2,FALSE)</f>
        <v>1046.9559999999999</v>
      </c>
      <c r="C6" s="15" t="s">
        <v>12</v>
      </c>
      <c r="D6" s="28">
        <v>76993.481</v>
      </c>
      <c r="E6" s="97">
        <f t="shared" ref="E6:E11" si="0">D6</f>
        <v>76993.481</v>
      </c>
      <c r="F6" s="18">
        <f>E6-D6</f>
        <v>0</v>
      </c>
      <c r="G6" s="36"/>
    </row>
    <row r="7" spans="1:10">
      <c r="A7" s="27">
        <v>44866</v>
      </c>
      <c r="B7" s="14">
        <f>VLOOKUP(A7,'INCC - M'!$A:$F,2,FALSE)</f>
        <v>1048.4290000000001</v>
      </c>
      <c r="C7" s="15" t="s">
        <v>12</v>
      </c>
      <c r="D7" s="28">
        <v>89459.092000000004</v>
      </c>
      <c r="E7" s="97">
        <f t="shared" si="0"/>
        <v>89459.092000000004</v>
      </c>
      <c r="F7" s="18">
        <f t="shared" ref="F7:F35" si="1">E7-D7</f>
        <v>0</v>
      </c>
      <c r="G7" s="36"/>
    </row>
    <row r="8" spans="1:10">
      <c r="A8" s="27">
        <v>44896</v>
      </c>
      <c r="B8" s="14">
        <f>VLOOKUP(A8,'INCC - M'!$A:$F,2,FALSE)</f>
        <v>1051.249</v>
      </c>
      <c r="C8" s="15">
        <f>B8</f>
        <v>1051.249</v>
      </c>
      <c r="D8" s="28">
        <v>147746.59</v>
      </c>
      <c r="E8" s="97">
        <f>D8</f>
        <v>147746.59</v>
      </c>
      <c r="F8" s="18">
        <f t="shared" si="1"/>
        <v>0</v>
      </c>
      <c r="G8" s="36"/>
    </row>
    <row r="9" spans="1:10" ht="15" customHeight="1">
      <c r="A9" s="27">
        <v>44927</v>
      </c>
      <c r="B9" s="14">
        <f>VLOOKUP(A9,'INCC - M'!$A:$F,2,FALSE)</f>
        <v>1054.5609999999999</v>
      </c>
      <c r="C9" s="15">
        <f>B9</f>
        <v>1054.5609999999999</v>
      </c>
      <c r="D9" s="28">
        <v>129512.84</v>
      </c>
      <c r="E9" s="97">
        <f>D9</f>
        <v>129512.84</v>
      </c>
      <c r="F9" s="18">
        <f t="shared" si="1"/>
        <v>0</v>
      </c>
      <c r="G9" s="36"/>
    </row>
    <row r="10" spans="1:10">
      <c r="A10" s="27">
        <v>44958</v>
      </c>
      <c r="B10" s="14">
        <f>VLOOKUP(A10,'INCC - M'!$A:$F,2,FALSE)</f>
        <v>1056.7750000000001</v>
      </c>
      <c r="C10" s="15">
        <f>B10</f>
        <v>1056.7750000000001</v>
      </c>
      <c r="D10" s="30">
        <v>148727.01999999999</v>
      </c>
      <c r="E10" s="97">
        <f>D10</f>
        <v>148727.01999999999</v>
      </c>
      <c r="F10" s="31">
        <f t="shared" si="1"/>
        <v>0</v>
      </c>
      <c r="G10" s="36"/>
    </row>
    <row r="11" spans="1:10">
      <c r="A11" s="27">
        <v>44986</v>
      </c>
      <c r="B11" s="34">
        <f>VLOOKUP(A11,'INCC - M'!$A:$F,2,FALSE)</f>
        <v>1058.6500000000001</v>
      </c>
      <c r="C11" s="35">
        <f>B11</f>
        <v>1058.6500000000001</v>
      </c>
      <c r="D11" s="30">
        <v>161939.65</v>
      </c>
      <c r="E11" s="97">
        <f t="shared" si="0"/>
        <v>161939.65</v>
      </c>
      <c r="F11" s="31">
        <f t="shared" si="1"/>
        <v>0</v>
      </c>
      <c r="G11" s="36"/>
    </row>
    <row r="12" spans="1:10">
      <c r="A12" s="27">
        <v>45017</v>
      </c>
      <c r="B12" s="14">
        <f>VLOOKUP(A12,'INCC - M'!$A:$F,2,FALSE)</f>
        <v>1061.0709999999999</v>
      </c>
      <c r="C12" s="35">
        <f>B12</f>
        <v>1061.0709999999999</v>
      </c>
      <c r="D12" s="28">
        <v>223185.60973583115</v>
      </c>
      <c r="E12" s="95">
        <v>227086.801637945</v>
      </c>
      <c r="F12" s="18">
        <f t="shared" si="1"/>
        <v>3901.1919021138456</v>
      </c>
      <c r="G12" s="36"/>
    </row>
    <row r="13" spans="1:10">
      <c r="A13" s="27">
        <v>45047</v>
      </c>
      <c r="B13" s="14">
        <f>VLOOKUP(A13,'INCC - M'!$A:$F,2,FALSE)</f>
        <v>1065.289</v>
      </c>
      <c r="C13" s="15">
        <f>B12</f>
        <v>1061.0709999999999</v>
      </c>
      <c r="D13" s="28">
        <v>257916.9790871164</v>
      </c>
      <c r="E13" s="97">
        <f>D13*C13/$C$8</f>
        <v>260326.74173002364</v>
      </c>
      <c r="F13" s="18">
        <f t="shared" si="1"/>
        <v>2409.7626429072407</v>
      </c>
      <c r="G13" s="36"/>
    </row>
    <row r="14" spans="1:10">
      <c r="A14" s="27">
        <v>45078</v>
      </c>
      <c r="B14" s="14">
        <f>VLOOKUP(A14,'INCC - M'!$A:$F,2,FALSE)</f>
        <v>1074.2919999999999</v>
      </c>
      <c r="C14" s="15">
        <f t="shared" ref="C14:C37" si="2">B13</f>
        <v>1065.289</v>
      </c>
      <c r="D14" s="28">
        <v>296628.61066605983</v>
      </c>
      <c r="E14" s="97">
        <f t="shared" ref="E14:E35" si="3">D14*C14/$C$8</f>
        <v>300590.24648569099</v>
      </c>
      <c r="F14" s="18">
        <f t="shared" si="1"/>
        <v>3961.635819631163</v>
      </c>
      <c r="G14" s="36"/>
    </row>
    <row r="15" spans="1:10">
      <c r="A15" s="27">
        <v>45108</v>
      </c>
      <c r="B15" s="14">
        <f>VLOOKUP(A15,'INCC - M'!$A:$F,2,FALSE)</f>
        <v>1074.895</v>
      </c>
      <c r="C15" s="15">
        <f t="shared" si="2"/>
        <v>1074.2919999999999</v>
      </c>
      <c r="D15" s="28">
        <v>312081.02263981133</v>
      </c>
      <c r="E15" s="97">
        <f t="shared" si="3"/>
        <v>318921.72641664167</v>
      </c>
      <c r="F15" s="18">
        <f t="shared" si="1"/>
        <v>6840.7037768303417</v>
      </c>
      <c r="G15" s="36"/>
    </row>
    <row r="16" spans="1:10">
      <c r="A16" s="27">
        <v>45139</v>
      </c>
      <c r="B16" s="14">
        <f>VLOOKUP(A16,'INCC - M'!$A:$F,2,FALSE)</f>
        <v>1077.4970000000001</v>
      </c>
      <c r="C16" s="15">
        <f t="shared" si="2"/>
        <v>1074.895</v>
      </c>
      <c r="D16" s="28">
        <v>343287.25888166309</v>
      </c>
      <c r="E16" s="97">
        <f t="shared" si="3"/>
        <v>351008.90287230257</v>
      </c>
      <c r="F16" s="18">
        <f t="shared" si="1"/>
        <v>7721.6439906394808</v>
      </c>
      <c r="G16" s="36"/>
    </row>
    <row r="17" spans="1:17">
      <c r="A17" s="27">
        <v>45170</v>
      </c>
      <c r="B17" s="14">
        <f>VLOOKUP(A17,'INCC - M'!$A:$F,2,FALSE)</f>
        <v>1080.0709999999999</v>
      </c>
      <c r="C17" s="15">
        <f t="shared" si="2"/>
        <v>1077.4970000000001</v>
      </c>
      <c r="D17" s="28">
        <v>366781.74312216497</v>
      </c>
      <c r="E17" s="97">
        <f t="shared" si="3"/>
        <v>375939.69446715608</v>
      </c>
      <c r="F17" s="18">
        <f t="shared" si="1"/>
        <v>9157.9513449911028</v>
      </c>
      <c r="G17" s="36"/>
    </row>
    <row r="18" spans="1:17">
      <c r="A18" s="27">
        <v>45200</v>
      </c>
      <c r="B18" s="14">
        <f>VLOOKUP(A18,'INCC - M'!$A:$F,2,FALSE)</f>
        <v>1082.251</v>
      </c>
      <c r="C18" s="14">
        <f t="shared" si="2"/>
        <v>1080.0709999999999</v>
      </c>
      <c r="D18" s="30">
        <v>372798.22664559499</v>
      </c>
      <c r="E18" s="94">
        <f t="shared" ref="E18:E24" si="4">D18*C18/$C$8</f>
        <v>383019.20235009439</v>
      </c>
      <c r="F18" s="31">
        <f t="shared" si="1"/>
        <v>10220.975704499404</v>
      </c>
      <c r="G18" s="36"/>
    </row>
    <row r="19" spans="1:17">
      <c r="A19" s="27">
        <v>45231</v>
      </c>
      <c r="B19" s="14">
        <f>VLOOKUP(A19,'INCC - M'!$A:$F,2,FALSE)</f>
        <v>1083.335</v>
      </c>
      <c r="C19" s="14">
        <f>B18</f>
        <v>1082.251</v>
      </c>
      <c r="D19" s="30">
        <v>411937.07012415456</v>
      </c>
      <c r="E19" s="94">
        <f t="shared" si="4"/>
        <v>424085.35568541457</v>
      </c>
      <c r="F19" s="31">
        <f t="shared" si="1"/>
        <v>12148.285561260011</v>
      </c>
      <c r="G19" s="36"/>
    </row>
    <row r="20" spans="1:17">
      <c r="A20" s="27">
        <v>45261</v>
      </c>
      <c r="B20" s="14">
        <f>VLOOKUP(A20,'INCC - M'!$A:$F,2,FALSE)</f>
        <v>1086.1500000000001</v>
      </c>
      <c r="C20" s="14">
        <f>B19</f>
        <v>1083.335</v>
      </c>
      <c r="D20" s="30">
        <v>319127.77719144791</v>
      </c>
      <c r="E20" s="94">
        <f t="shared" si="4"/>
        <v>328868.12782099884</v>
      </c>
      <c r="F20" s="31">
        <f t="shared" si="1"/>
        <v>9740.3506295509287</v>
      </c>
      <c r="G20" s="36"/>
    </row>
    <row r="21" spans="1:17">
      <c r="A21" s="27">
        <v>45292</v>
      </c>
      <c r="B21" s="14">
        <f>VLOOKUP(A21,'INCC - M'!$A:$F,2,FALSE)</f>
        <v>1088.663</v>
      </c>
      <c r="C21" s="14">
        <f t="shared" si="2"/>
        <v>1086.1500000000001</v>
      </c>
      <c r="D21" s="30">
        <v>329319.16157688777</v>
      </c>
      <c r="E21" s="94">
        <f t="shared" si="4"/>
        <v>340252.41150929674</v>
      </c>
      <c r="F21" s="31">
        <f t="shared" si="1"/>
        <v>10933.249932408973</v>
      </c>
      <c r="G21" s="36"/>
    </row>
    <row r="22" spans="1:17">
      <c r="A22" s="27">
        <v>45323</v>
      </c>
      <c r="B22" s="14">
        <f>VLOOKUP(A22,'INCC - M'!$A:$F,2,FALSE)</f>
        <v>1090.8710000000001</v>
      </c>
      <c r="C22" s="14">
        <f>B21</f>
        <v>1088.663</v>
      </c>
      <c r="D22" s="30">
        <v>247621.21180339801</v>
      </c>
      <c r="E22" s="94">
        <f t="shared" si="4"/>
        <v>256434.06205905802</v>
      </c>
      <c r="F22" s="31">
        <f t="shared" si="1"/>
        <v>8812.8502556600142</v>
      </c>
      <c r="G22" s="36"/>
    </row>
    <row r="23" spans="1:17">
      <c r="A23" s="71">
        <v>45352</v>
      </c>
      <c r="B23" s="15">
        <f>VLOOKUP(A23,'INCC - M'!$A:$F,2,FALSE)</f>
        <v>1093.5029999999999</v>
      </c>
      <c r="C23" s="15">
        <f t="shared" si="2"/>
        <v>1090.8710000000001</v>
      </c>
      <c r="D23" s="72">
        <v>250855.2542084007</v>
      </c>
      <c r="E23" s="95">
        <f>D23*C23/$C$8</f>
        <v>260310.090200868</v>
      </c>
      <c r="F23" s="29">
        <f t="shared" si="1"/>
        <v>9454.8359924672986</v>
      </c>
      <c r="G23" s="36"/>
    </row>
    <row r="24" spans="1:17">
      <c r="A24" s="27">
        <v>45383</v>
      </c>
      <c r="B24" s="14">
        <f>VLOOKUP(A24,'INCC - M'!$A:$F,2,FALSE)</f>
        <v>1097.991</v>
      </c>
      <c r="C24" s="14">
        <f t="shared" si="2"/>
        <v>1093.5029999999999</v>
      </c>
      <c r="D24" s="72">
        <v>267410.12154762237</v>
      </c>
      <c r="E24" s="94">
        <f t="shared" si="4"/>
        <v>278158.42882389395</v>
      </c>
      <c r="F24" s="31">
        <f t="shared" si="1"/>
        <v>10748.307276271575</v>
      </c>
      <c r="G24" s="75"/>
    </row>
    <row r="25" spans="1:17">
      <c r="A25" s="27">
        <v>45413</v>
      </c>
      <c r="B25" s="14">
        <f>VLOOKUP(A25,'INCC - M'!$A:$F,2,FALSE)</f>
        <v>1104.4570000000001</v>
      </c>
      <c r="C25" s="14">
        <f t="shared" si="2"/>
        <v>1097.991</v>
      </c>
      <c r="D25" s="30">
        <v>190388.12671829486</v>
      </c>
      <c r="E25" s="94">
        <f>D25*C25/$C$8</f>
        <v>198853.41117427679</v>
      </c>
      <c r="F25" s="31">
        <f t="shared" si="1"/>
        <v>8465.2844559819205</v>
      </c>
      <c r="G25" s="75"/>
      <c r="H25" s="76"/>
    </row>
    <row r="26" spans="1:17">
      <c r="A26" s="32">
        <v>45444</v>
      </c>
      <c r="B26" s="24">
        <f>VLOOKUP(A26,'INCC - M'!$A:$F,2,FALSE)</f>
        <v>1114.748</v>
      </c>
      <c r="C26" s="24">
        <f>B25</f>
        <v>1104.4570000000001</v>
      </c>
      <c r="D26" s="33">
        <v>169808.69468307818</v>
      </c>
      <c r="E26" s="96">
        <f t="shared" si="3"/>
        <v>178403.40538120701</v>
      </c>
      <c r="F26" s="25">
        <f t="shared" si="1"/>
        <v>8594.7106981288234</v>
      </c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</row>
    <row r="27" spans="1:17">
      <c r="A27" s="27">
        <v>45474</v>
      </c>
      <c r="B27" s="14">
        <f>VLOOKUP(A27,'INCC - M'!$A:$F,2,FALSE)</f>
        <v>1122.452</v>
      </c>
      <c r="C27" s="15">
        <f t="shared" si="2"/>
        <v>1114.748</v>
      </c>
      <c r="D27" s="72">
        <v>224047.11135465943</v>
      </c>
      <c r="E27" s="97">
        <f t="shared" si="3"/>
        <v>237580.3156896072</v>
      </c>
      <c r="F27" s="18">
        <f t="shared" si="1"/>
        <v>13533.204334947775</v>
      </c>
      <c r="G27" s="75"/>
      <c r="H27" s="76"/>
    </row>
    <row r="28" spans="1:17">
      <c r="A28" s="27">
        <v>45505</v>
      </c>
      <c r="B28" s="14">
        <f>VLOOKUP(A28,'INCC - M'!$A:$F,2,FALSE)</f>
        <v>1129.6389999999999</v>
      </c>
      <c r="C28" s="15">
        <f t="shared" si="2"/>
        <v>1122.452</v>
      </c>
      <c r="D28" s="72">
        <v>256507.95557092282</v>
      </c>
      <c r="E28" s="97">
        <f t="shared" si="3"/>
        <v>273881.70428366016</v>
      </c>
      <c r="F28" s="18">
        <f t="shared" si="1"/>
        <v>17373.748712737346</v>
      </c>
      <c r="G28" s="75"/>
      <c r="H28" s="76"/>
      <c r="J28" s="67"/>
    </row>
    <row r="29" spans="1:17">
      <c r="A29" s="27">
        <v>45536</v>
      </c>
      <c r="B29" s="14">
        <f>VLOOKUP(A29,'INCC - M'!$A:$F,2,FALSE)</f>
        <v>1136.521</v>
      </c>
      <c r="C29" s="15">
        <f t="shared" si="2"/>
        <v>1129.6389999999999</v>
      </c>
      <c r="D29" s="72">
        <v>241350.51618362853</v>
      </c>
      <c r="E29" s="97">
        <f t="shared" si="3"/>
        <v>259347.64813203906</v>
      </c>
      <c r="F29" s="31">
        <f t="shared" si="1"/>
        <v>17997.131948410533</v>
      </c>
      <c r="G29" s="75"/>
      <c r="H29" s="76"/>
      <c r="I29" s="68"/>
      <c r="J29" s="68"/>
    </row>
    <row r="30" spans="1:17">
      <c r="A30" s="27">
        <v>45566</v>
      </c>
      <c r="B30" s="14">
        <f>VLOOKUP(A30,'INCC - M'!$A:$F,2,FALSE)</f>
        <v>1144.136</v>
      </c>
      <c r="C30" s="15">
        <f t="shared" si="2"/>
        <v>1136.521</v>
      </c>
      <c r="D30" s="72">
        <v>249851.59082992279</v>
      </c>
      <c r="E30" s="97">
        <f t="shared" si="3"/>
        <v>270118.28773355758</v>
      </c>
      <c r="F30" s="18">
        <f t="shared" si="1"/>
        <v>20266.696903634787</v>
      </c>
      <c r="G30" s="75"/>
      <c r="H30" s="76"/>
      <c r="I30" s="36"/>
    </row>
    <row r="31" spans="1:17">
      <c r="A31" s="27">
        <v>45597</v>
      </c>
      <c r="B31" s="14">
        <f>VLOOKUP(A31,'INCC - M'!$A:$F,2,FALSE)</f>
        <v>1149.1579999999999</v>
      </c>
      <c r="C31" s="15">
        <f t="shared" si="2"/>
        <v>1144.136</v>
      </c>
      <c r="D31" s="72">
        <v>259759.90071645114</v>
      </c>
      <c r="E31" s="97">
        <f>D31*C31/$C$8</f>
        <v>282711.94908734038</v>
      </c>
      <c r="F31" s="18">
        <f t="shared" si="1"/>
        <v>22952.048370889243</v>
      </c>
      <c r="G31" s="75"/>
      <c r="H31" s="76"/>
    </row>
    <row r="32" spans="1:17">
      <c r="A32" s="27">
        <v>45627</v>
      </c>
      <c r="B32" s="14">
        <f>VLOOKUP(A32,'INCC - M'!$A:$F,2,FALSE)</f>
        <v>1154.99</v>
      </c>
      <c r="C32" s="15">
        <f t="shared" si="2"/>
        <v>1149.1579999999999</v>
      </c>
      <c r="D32" s="72">
        <v>264381.13121420774</v>
      </c>
      <c r="E32" s="97">
        <f t="shared" si="3"/>
        <v>289004.50034564268</v>
      </c>
      <c r="F32" s="18">
        <f t="shared" si="1"/>
        <v>24623.369131434942</v>
      </c>
      <c r="G32" s="75"/>
      <c r="H32" s="76"/>
      <c r="I32" s="68"/>
    </row>
    <row r="33" spans="1:21">
      <c r="A33" s="27">
        <v>45658</v>
      </c>
      <c r="B33" s="14">
        <f>VLOOKUP(A33,'INCC - M'!$A:$F,2,FALSE)</f>
        <v>1163.221</v>
      </c>
      <c r="C33" s="15">
        <f t="shared" si="2"/>
        <v>1154.99</v>
      </c>
      <c r="D33" s="72">
        <v>213673.75465270071</v>
      </c>
      <c r="E33" s="97">
        <f t="shared" si="3"/>
        <v>234759.84270741069</v>
      </c>
      <c r="F33" s="18">
        <f t="shared" si="1"/>
        <v>21086.08805470998</v>
      </c>
      <c r="G33" s="75"/>
      <c r="I33" s="68"/>
    </row>
    <row r="34" spans="1:21">
      <c r="A34" s="27">
        <v>45689</v>
      </c>
      <c r="B34" s="14">
        <f>VLOOKUP(A34,'INCC - M'!$A:$F,2,FALSE)</f>
        <v>1169.1559999999999</v>
      </c>
      <c r="C34" s="15">
        <f t="shared" si="2"/>
        <v>1163.221</v>
      </c>
      <c r="D34" s="72">
        <v>176375.67321924114</v>
      </c>
      <c r="E34" s="97">
        <f t="shared" si="3"/>
        <v>195162.02819480342</v>
      </c>
      <c r="F34" s="18">
        <f t="shared" si="1"/>
        <v>18786.354975562281</v>
      </c>
      <c r="G34" s="75"/>
    </row>
    <row r="35" spans="1:21">
      <c r="A35" s="27">
        <v>45717</v>
      </c>
      <c r="B35" s="14">
        <f>VLOOKUP(A35,'INCC - M'!$A:$F,2,FALSE)</f>
        <v>1173.586</v>
      </c>
      <c r="C35" s="15">
        <f t="shared" si="2"/>
        <v>1169.1559999999999</v>
      </c>
      <c r="D35" s="72">
        <v>169421.79362995201</v>
      </c>
      <c r="E35" s="97">
        <f t="shared" si="3"/>
        <v>188423.96668460104</v>
      </c>
      <c r="F35" s="18">
        <f t="shared" si="1"/>
        <v>19002.173054649029</v>
      </c>
      <c r="G35" s="75"/>
      <c r="I35" s="68"/>
    </row>
    <row r="36" spans="1:21">
      <c r="A36" s="27">
        <v>45748</v>
      </c>
      <c r="B36" s="14">
        <f>VLOOKUP(A36,'INCC - M'!$A:$F,2,FALSE)</f>
        <v>1180.5640000000001</v>
      </c>
      <c r="C36" s="15">
        <f t="shared" si="2"/>
        <v>1173.586</v>
      </c>
      <c r="D36" s="72">
        <v>75228.333738672736</v>
      </c>
      <c r="E36" s="97">
        <f t="shared" ref="E36:E37" si="5">D36*C36/$C$8</f>
        <v>83982.880629645297</v>
      </c>
      <c r="F36" s="18">
        <f t="shared" ref="F36:F37" si="6">E36-D36</f>
        <v>8754.5468909725605</v>
      </c>
      <c r="I36" s="68"/>
    </row>
    <row r="37" spans="1:21">
      <c r="A37" s="27">
        <v>45778</v>
      </c>
      <c r="B37" s="14">
        <f>VLOOKUP(A37,'INCC - M'!$A:$F,2,FALSE)</f>
        <v>1183.606</v>
      </c>
      <c r="C37" s="15">
        <f t="shared" si="2"/>
        <v>1180.5640000000001</v>
      </c>
      <c r="D37" s="72">
        <v>22125.980511374339</v>
      </c>
      <c r="E37" s="97">
        <f t="shared" si="5"/>
        <v>24847.715485513076</v>
      </c>
      <c r="F37" s="18">
        <f t="shared" si="6"/>
        <v>2721.734974138737</v>
      </c>
    </row>
    <row r="38" spans="1:21">
      <c r="D38" s="69"/>
      <c r="E38" s="69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</row>
    <row r="39" spans="1:21">
      <c r="D39" s="68"/>
      <c r="E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</row>
    <row r="40" spans="1:21">
      <c r="D40" s="36"/>
      <c r="E40" s="36"/>
    </row>
  </sheetData>
  <mergeCells count="2">
    <mergeCell ref="A1:F1"/>
    <mergeCell ref="H1:J4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237B-1998-4894-BB16-4410E348A929}">
  <dimension ref="A1:U46"/>
  <sheetViews>
    <sheetView workbookViewId="0">
      <pane ySplit="4" topLeftCell="A32" activePane="bottomLeft" state="frozen"/>
      <selection pane="bottomLeft" activeCell="E5" sqref="E5:E25"/>
    </sheetView>
  </sheetViews>
  <sheetFormatPr defaultRowHeight="14.4"/>
  <cols>
    <col min="1" max="1" width="10.6640625" bestFit="1" customWidth="1"/>
    <col min="2" max="2" width="9.88671875" bestFit="1" customWidth="1"/>
    <col min="3" max="4" width="17.88671875" bestFit="1" customWidth="1"/>
    <col min="5" max="5" width="25.88671875" bestFit="1" customWidth="1"/>
    <col min="6" max="6" width="15.88671875" bestFit="1" customWidth="1"/>
    <col min="7" max="7" width="18.44140625" customWidth="1"/>
    <col min="8" max="8" width="11.5546875" bestFit="1" customWidth="1"/>
    <col min="9" max="9" width="14.44140625" bestFit="1" customWidth="1"/>
    <col min="10" max="10" width="25.88671875" bestFit="1" customWidth="1"/>
    <col min="11" max="11" width="14.33203125" bestFit="1" customWidth="1"/>
    <col min="12" max="12" width="26.5546875" bestFit="1" customWidth="1"/>
    <col min="13" max="13" width="12.6640625" bestFit="1" customWidth="1"/>
    <col min="14" max="14" width="14.33203125" bestFit="1" customWidth="1"/>
    <col min="15" max="15" width="12.6640625" bestFit="1" customWidth="1"/>
    <col min="16" max="16" width="15.5546875" customWidth="1"/>
    <col min="17" max="19" width="12.6640625" bestFit="1" customWidth="1"/>
    <col min="20" max="21" width="11.6640625" bestFit="1" customWidth="1"/>
  </cols>
  <sheetData>
    <row r="1" spans="1:20">
      <c r="A1" s="216" t="s">
        <v>15</v>
      </c>
      <c r="B1" s="216"/>
      <c r="C1" s="216"/>
      <c r="D1" s="216"/>
      <c r="E1" s="216"/>
      <c r="F1" s="216"/>
      <c r="R1" s="217" t="s">
        <v>33</v>
      </c>
      <c r="S1" s="217"/>
      <c r="T1" s="217"/>
    </row>
    <row r="2" spans="1:20" ht="15" customHeight="1">
      <c r="A2" s="19" t="s">
        <v>1</v>
      </c>
      <c r="B2" s="19" t="s">
        <v>0</v>
      </c>
      <c r="C2" s="19"/>
      <c r="D2" s="19" t="s">
        <v>2</v>
      </c>
      <c r="E2" s="19" t="s">
        <v>3</v>
      </c>
      <c r="F2" s="19" t="s">
        <v>10</v>
      </c>
      <c r="H2" s="127" t="s">
        <v>115</v>
      </c>
      <c r="P2" s="68">
        <v>5123495.0199999996</v>
      </c>
      <c r="R2" s="217"/>
      <c r="S2" s="217"/>
      <c r="T2" s="217"/>
    </row>
    <row r="3" spans="1:20">
      <c r="A3" s="20">
        <v>44562</v>
      </c>
      <c r="B3" s="21">
        <f>VLOOKUP(A3,'INCC - M'!$A:$F,2,FALSE)</f>
        <v>967.00300000000004</v>
      </c>
      <c r="C3" s="21"/>
      <c r="D3" s="22">
        <f>SUM(D5:D37)</f>
        <v>7331510.4242532598</v>
      </c>
      <c r="E3" s="22">
        <f>SUM(E5:E37)</f>
        <v>7641719.2615886908</v>
      </c>
      <c r="F3" s="22">
        <f>SUM(F5:F37)</f>
        <v>310208.83733542898</v>
      </c>
      <c r="G3" s="68">
        <v>5123495.0199999996</v>
      </c>
      <c r="H3" s="19" t="s">
        <v>24</v>
      </c>
      <c r="P3" s="68">
        <v>5582324.3300000001</v>
      </c>
      <c r="R3" s="217"/>
      <c r="S3" s="217"/>
      <c r="T3" s="217"/>
    </row>
    <row r="4" spans="1:20" ht="28.8">
      <c r="A4" s="19" t="s">
        <v>5</v>
      </c>
      <c r="B4" s="19" t="s">
        <v>6</v>
      </c>
      <c r="C4" s="19" t="s">
        <v>7</v>
      </c>
      <c r="D4" s="19" t="s">
        <v>8</v>
      </c>
      <c r="E4" s="19" t="s">
        <v>9</v>
      </c>
      <c r="F4" s="19" t="s">
        <v>10</v>
      </c>
      <c r="G4" s="69">
        <f>E3-G3</f>
        <v>2518224.2415886912</v>
      </c>
      <c r="H4" s="19" t="s">
        <v>102</v>
      </c>
      <c r="I4" s="19" t="s">
        <v>103</v>
      </c>
      <c r="J4" s="19" t="s">
        <v>9</v>
      </c>
      <c r="L4" s="134" t="s">
        <v>121</v>
      </c>
      <c r="N4" s="134" t="s">
        <v>122</v>
      </c>
      <c r="P4" s="68">
        <f>P3-P2</f>
        <v>458829.31000000052</v>
      </c>
      <c r="R4" s="217"/>
      <c r="S4" s="217"/>
      <c r="T4" s="217"/>
    </row>
    <row r="5" spans="1:20">
      <c r="A5" s="27">
        <v>44805</v>
      </c>
      <c r="B5" s="14">
        <f>VLOOKUP(A5,'INCC - M'!$A:$F,2,FALSE)</f>
        <v>1046.5070000000001</v>
      </c>
      <c r="C5" s="15" t="s">
        <v>12</v>
      </c>
      <c r="D5" s="28">
        <v>65261.141000000003</v>
      </c>
      <c r="E5" s="97">
        <f t="shared" ref="E5:E11" si="0">D5</f>
        <v>65261.141000000003</v>
      </c>
      <c r="F5" s="29">
        <v>0</v>
      </c>
      <c r="G5" s="36"/>
      <c r="H5" s="36">
        <v>8.872256371308878E-3</v>
      </c>
      <c r="J5" s="69">
        <f>H5*$E$3</f>
        <v>67799.292406384033</v>
      </c>
      <c r="L5" s="69">
        <f>H5*($D$3/$B$3*B5)</f>
        <v>70395.006805117184</v>
      </c>
      <c r="N5" s="69">
        <f>D5/$B$3*B5</f>
        <v>70626.710449178543</v>
      </c>
    </row>
    <row r="6" spans="1:20">
      <c r="A6" s="27">
        <v>44835</v>
      </c>
      <c r="B6" s="14">
        <f>VLOOKUP(A6,'INCC - M'!$A:$F,2,FALSE)</f>
        <v>1046.9559999999999</v>
      </c>
      <c r="C6" s="15" t="s">
        <v>12</v>
      </c>
      <c r="D6" s="28">
        <v>76993.481</v>
      </c>
      <c r="E6" s="97">
        <f t="shared" si="0"/>
        <v>76993.481</v>
      </c>
      <c r="F6" s="18">
        <f>E6-D6</f>
        <v>0</v>
      </c>
      <c r="G6" s="36"/>
      <c r="H6" s="36">
        <v>1.0507912819643228E-2</v>
      </c>
      <c r="J6" s="69">
        <f t="shared" ref="J6:J24" si="1">H6*$E$3</f>
        <v>80298.519792962383</v>
      </c>
      <c r="L6" s="69">
        <f t="shared" ref="L6:L28" si="2">H6*($D$3/$B$3*B6)</f>
        <v>83408.541302942365</v>
      </c>
      <c r="N6" s="69">
        <f t="shared" ref="N6:N37" si="3">D6/$B$3*B6</f>
        <v>83359.396913800665</v>
      </c>
    </row>
    <row r="7" spans="1:20">
      <c r="A7" s="27">
        <v>44866</v>
      </c>
      <c r="B7" s="14">
        <f>VLOOKUP(A7,'INCC - M'!$A:$F,2,FALSE)</f>
        <v>1048.4290000000001</v>
      </c>
      <c r="C7" s="15" t="s">
        <v>12</v>
      </c>
      <c r="D7" s="28">
        <v>89459.092000000004</v>
      </c>
      <c r="E7" s="97">
        <f t="shared" si="0"/>
        <v>89459.092000000004</v>
      </c>
      <c r="F7" s="18">
        <f t="shared" ref="F7:F37" si="4">E7-D7</f>
        <v>0</v>
      </c>
      <c r="G7" s="36"/>
      <c r="H7" s="36">
        <v>1.2182025899823049E-2</v>
      </c>
      <c r="J7" s="69">
        <f t="shared" si="1"/>
        <v>93091.621963850092</v>
      </c>
      <c r="L7" s="69">
        <f t="shared" si="2"/>
        <v>96833.176519389366</v>
      </c>
      <c r="N7" s="69">
        <f t="shared" si="3"/>
        <v>96991.949731767119</v>
      </c>
    </row>
    <row r="8" spans="1:20">
      <c r="A8" s="27">
        <v>44896</v>
      </c>
      <c r="B8" s="14">
        <f>VLOOKUP(A8,'INCC - M'!$A:$F,2,FALSE)</f>
        <v>1051.249</v>
      </c>
      <c r="C8" s="15">
        <f>B8</f>
        <v>1051.249</v>
      </c>
      <c r="D8" s="28">
        <v>147746.59</v>
      </c>
      <c r="E8" s="97">
        <f t="shared" si="0"/>
        <v>147746.59</v>
      </c>
      <c r="F8" s="18">
        <f t="shared" si="4"/>
        <v>0</v>
      </c>
      <c r="G8" s="36"/>
      <c r="H8" s="36">
        <v>7.3798258256833173E-3</v>
      </c>
      <c r="J8" s="69">
        <f t="shared" si="1"/>
        <v>56394.557159293872</v>
      </c>
      <c r="L8" s="69">
        <f t="shared" si="2"/>
        <v>58818.960179929061</v>
      </c>
      <c r="N8" s="69">
        <f t="shared" si="3"/>
        <v>160618.37966470633</v>
      </c>
    </row>
    <row r="9" spans="1:20" ht="15" customHeight="1">
      <c r="A9" s="27">
        <v>44927</v>
      </c>
      <c r="B9" s="14">
        <f>VLOOKUP(A9,'INCC - M'!$A:$F,2,FALSE)</f>
        <v>1054.5609999999999</v>
      </c>
      <c r="C9" s="15">
        <f>B9</f>
        <v>1054.5609999999999</v>
      </c>
      <c r="D9" s="28">
        <v>129512.84</v>
      </c>
      <c r="E9" s="97">
        <f>D9</f>
        <v>129512.84</v>
      </c>
      <c r="F9" s="18">
        <f t="shared" si="4"/>
        <v>0</v>
      </c>
      <c r="G9" s="36"/>
      <c r="H9" s="36">
        <v>8.5197164815587947E-3</v>
      </c>
      <c r="J9" s="69">
        <f t="shared" si="1"/>
        <v>65105.281540402473</v>
      </c>
      <c r="L9" s="69">
        <f t="shared" si="2"/>
        <v>68118.093395498407</v>
      </c>
      <c r="N9" s="69">
        <f t="shared" si="3"/>
        <v>141239.67564034442</v>
      </c>
    </row>
    <row r="10" spans="1:20">
      <c r="A10" s="27">
        <v>44958</v>
      </c>
      <c r="B10" s="14">
        <f>VLOOKUP(A10,'INCC - M'!$A:$F,2,FALSE)</f>
        <v>1056.7750000000001</v>
      </c>
      <c r="C10" s="15">
        <f>B10</f>
        <v>1056.7750000000001</v>
      </c>
      <c r="D10" s="30">
        <v>148727.01999999999</v>
      </c>
      <c r="E10" s="97">
        <f t="shared" si="0"/>
        <v>148727.01999999999</v>
      </c>
      <c r="F10" s="31">
        <f t="shared" si="4"/>
        <v>0</v>
      </c>
      <c r="G10" s="36"/>
      <c r="H10" s="36">
        <v>8.0329957928622249E-3</v>
      </c>
      <c r="J10" s="69">
        <f t="shared" si="1"/>
        <v>61385.898678576181</v>
      </c>
      <c r="L10" s="69">
        <f t="shared" si="2"/>
        <v>64361.433016737843</v>
      </c>
      <c r="N10" s="69">
        <f t="shared" si="3"/>
        <v>162534.13542719101</v>
      </c>
    </row>
    <row r="11" spans="1:20">
      <c r="A11" s="27">
        <v>44986</v>
      </c>
      <c r="B11" s="34">
        <f>VLOOKUP(A11,'INCC - M'!$A:$F,2,FALSE)</f>
        <v>1058.6500000000001</v>
      </c>
      <c r="C11" s="35">
        <f>B11</f>
        <v>1058.6500000000001</v>
      </c>
      <c r="D11" s="30">
        <v>161939.65</v>
      </c>
      <c r="E11" s="97">
        <f t="shared" si="0"/>
        <v>161939.65</v>
      </c>
      <c r="F11" s="31">
        <f t="shared" si="4"/>
        <v>0</v>
      </c>
      <c r="G11" s="36"/>
      <c r="H11" s="36">
        <v>1.2312465588223725E-2</v>
      </c>
      <c r="J11" s="69">
        <f t="shared" si="1"/>
        <v>94088.405443177166</v>
      </c>
      <c r="L11" s="69">
        <f t="shared" si="2"/>
        <v>98824.145206974397</v>
      </c>
      <c r="N11" s="69">
        <f t="shared" si="3"/>
        <v>177287.36154127753</v>
      </c>
    </row>
    <row r="12" spans="1:20">
      <c r="A12" s="27">
        <v>45017</v>
      </c>
      <c r="B12" s="14">
        <f>VLOOKUP(A12,'INCC - M'!$A:$F,2,FALSE)</f>
        <v>1061.0709999999999</v>
      </c>
      <c r="C12" s="35">
        <f>B12</f>
        <v>1061.0709999999999</v>
      </c>
      <c r="D12" s="28">
        <v>223185.60973583115</v>
      </c>
      <c r="E12" s="95">
        <v>227086.80163794462</v>
      </c>
      <c r="F12" s="18">
        <f t="shared" si="4"/>
        <v>3901.1919021134672</v>
      </c>
      <c r="G12" s="36"/>
      <c r="H12" s="36">
        <v>1.5471497524581336E-2</v>
      </c>
      <c r="J12" s="69">
        <f t="shared" si="1"/>
        <v>118228.84063921495</v>
      </c>
      <c r="L12" s="69">
        <f t="shared" si="2"/>
        <v>124463.62114605169</v>
      </c>
      <c r="N12" s="69">
        <f t="shared" si="3"/>
        <v>244896.63228346556</v>
      </c>
    </row>
    <row r="13" spans="1:20">
      <c r="A13" s="27">
        <v>45047</v>
      </c>
      <c r="B13" s="14">
        <f>VLOOKUP(A13,'INCC - M'!$A:$F,2,FALSE)</f>
        <v>1065.289</v>
      </c>
      <c r="C13" s="15">
        <f>B12</f>
        <v>1061.0709999999999</v>
      </c>
      <c r="D13" s="28">
        <v>257916.9790871164</v>
      </c>
      <c r="E13" s="97">
        <f>D13*C13/$C$8</f>
        <v>260326.74173002364</v>
      </c>
      <c r="F13" s="18">
        <f t="shared" si="4"/>
        <v>2409.7626429072407</v>
      </c>
      <c r="G13" s="36"/>
      <c r="H13" s="36">
        <v>1.0770974074580263E-2</v>
      </c>
      <c r="J13" s="69">
        <f t="shared" si="1"/>
        <v>82308.760051792415</v>
      </c>
      <c r="L13" s="69">
        <f t="shared" si="2"/>
        <v>86993.751191183183</v>
      </c>
      <c r="N13" s="69">
        <f t="shared" si="3"/>
        <v>284131.61152006261</v>
      </c>
    </row>
    <row r="14" spans="1:20">
      <c r="A14" s="27">
        <v>45078</v>
      </c>
      <c r="B14" s="14">
        <f>VLOOKUP(A14,'INCC - M'!$A:$F,2,FALSE)</f>
        <v>1074.2919999999999</v>
      </c>
      <c r="C14" s="15">
        <f t="shared" ref="C14:C37" si="5">B13</f>
        <v>1065.289</v>
      </c>
      <c r="D14" s="28">
        <v>296628.61066605983</v>
      </c>
      <c r="E14" s="97">
        <f t="shared" ref="E14:E37" si="6">D14*C14/$C$8</f>
        <v>300590.24648569099</v>
      </c>
      <c r="F14" s="18">
        <f t="shared" si="4"/>
        <v>3961.635819631163</v>
      </c>
      <c r="G14" s="36"/>
      <c r="H14" s="36">
        <v>9.9065106325599457E-3</v>
      </c>
      <c r="J14" s="69">
        <f t="shared" si="1"/>
        <v>75702.773115966498</v>
      </c>
      <c r="L14" s="69">
        <f t="shared" si="2"/>
        <v>80687.950917128474</v>
      </c>
      <c r="N14" s="69">
        <f t="shared" si="3"/>
        <v>329539.56028022943</v>
      </c>
    </row>
    <row r="15" spans="1:20">
      <c r="A15" s="27">
        <v>45108</v>
      </c>
      <c r="B15" s="14">
        <f>VLOOKUP(A15,'INCC - M'!$A:$F,2,FALSE)</f>
        <v>1074.895</v>
      </c>
      <c r="C15" s="15">
        <f t="shared" si="5"/>
        <v>1074.2919999999999</v>
      </c>
      <c r="D15" s="28">
        <v>312081.02263981133</v>
      </c>
      <c r="E15" s="97">
        <f t="shared" si="6"/>
        <v>318921.72641664167</v>
      </c>
      <c r="F15" s="18">
        <f t="shared" si="4"/>
        <v>6840.7037768303417</v>
      </c>
      <c r="G15" s="36"/>
      <c r="H15" s="36">
        <v>8.4854621228339124E-3</v>
      </c>
      <c r="J15" s="69">
        <f t="shared" si="1"/>
        <v>64843.519347541172</v>
      </c>
      <c r="L15" s="69">
        <f t="shared" si="2"/>
        <v>69152.387197458942</v>
      </c>
      <c r="N15" s="69">
        <f t="shared" si="3"/>
        <v>346901.02391659591</v>
      </c>
    </row>
    <row r="16" spans="1:20">
      <c r="A16" s="27">
        <v>45139</v>
      </c>
      <c r="B16" s="14">
        <f>VLOOKUP(A16,'INCC - M'!$A:$F,2,FALSE)</f>
        <v>1077.4970000000001</v>
      </c>
      <c r="C16" s="15">
        <f t="shared" si="5"/>
        <v>1074.895</v>
      </c>
      <c r="D16" s="28">
        <v>343287.25888166309</v>
      </c>
      <c r="E16" s="97">
        <f t="shared" si="6"/>
        <v>351008.90287230257</v>
      </c>
      <c r="F16" s="18">
        <f t="shared" si="4"/>
        <v>7721.6439906394808</v>
      </c>
      <c r="G16" s="36"/>
      <c r="H16" s="36">
        <v>2.1512493621877606E-2</v>
      </c>
      <c r="J16" s="69">
        <f t="shared" si="1"/>
        <v>164392.43687510595</v>
      </c>
      <c r="L16" s="69">
        <f t="shared" si="2"/>
        <v>175740.74341486089</v>
      </c>
      <c r="N16" s="69">
        <f t="shared" si="3"/>
        <v>382512.7652998133</v>
      </c>
    </row>
    <row r="17" spans="1:17">
      <c r="A17" s="27">
        <v>45170</v>
      </c>
      <c r="B17" s="14">
        <f>VLOOKUP(A17,'INCC - M'!$A:$F,2,FALSE)</f>
        <v>1080.0709999999999</v>
      </c>
      <c r="C17" s="15">
        <f t="shared" si="5"/>
        <v>1077.4970000000001</v>
      </c>
      <c r="D17" s="28">
        <v>366781.74312216497</v>
      </c>
      <c r="E17" s="97">
        <f t="shared" si="6"/>
        <v>375939.69446715608</v>
      </c>
      <c r="F17" s="18">
        <f t="shared" si="4"/>
        <v>9157.9513449911028</v>
      </c>
      <c r="G17" s="36"/>
      <c r="H17" s="36">
        <v>2.4633892704962964E-2</v>
      </c>
      <c r="J17" s="69">
        <f t="shared" si="1"/>
        <v>188245.29237142461</v>
      </c>
      <c r="L17" s="69">
        <f t="shared" si="2"/>
        <v>201720.94120432323</v>
      </c>
      <c r="N17" s="69">
        <f t="shared" si="3"/>
        <v>409668.14381723717</v>
      </c>
    </row>
    <row r="18" spans="1:17">
      <c r="A18" s="27">
        <v>45200</v>
      </c>
      <c r="B18" s="14">
        <f>VLOOKUP(A18,'INCC - M'!$A:$F,2,FALSE)</f>
        <v>1082.251</v>
      </c>
      <c r="C18" s="14">
        <f t="shared" si="5"/>
        <v>1080.0709999999999</v>
      </c>
      <c r="D18" s="30">
        <v>372798.22664559499</v>
      </c>
      <c r="E18" s="94">
        <f t="shared" si="6"/>
        <v>383019.20235009439</v>
      </c>
      <c r="F18" s="31">
        <f t="shared" si="4"/>
        <v>10220.975704499404</v>
      </c>
      <c r="G18" s="36"/>
      <c r="H18" s="36">
        <v>1.3053822832573109E-2</v>
      </c>
      <c r="J18" s="69">
        <f t="shared" si="1"/>
        <v>99753.649377040172</v>
      </c>
      <c r="L18" s="69">
        <f t="shared" si="2"/>
        <v>107110.32692490343</v>
      </c>
      <c r="N18" s="69">
        <f t="shared" si="3"/>
        <v>417228.54384673241</v>
      </c>
    </row>
    <row r="19" spans="1:17">
      <c r="A19" s="27">
        <v>45231</v>
      </c>
      <c r="B19" s="14">
        <f>VLOOKUP(A19,'INCC - M'!$A:$F,2,FALSE)</f>
        <v>1083.335</v>
      </c>
      <c r="C19" s="14">
        <f>B18</f>
        <v>1082.251</v>
      </c>
      <c r="D19" s="30">
        <v>411937.07012415456</v>
      </c>
      <c r="E19" s="94">
        <f t="shared" si="6"/>
        <v>424085.35568541457</v>
      </c>
      <c r="F19" s="31">
        <f t="shared" si="4"/>
        <v>12148.285561260011</v>
      </c>
      <c r="G19" s="36"/>
      <c r="H19" s="36">
        <v>2.9865195063433117E-2</v>
      </c>
      <c r="J19" s="69">
        <f t="shared" si="1"/>
        <v>228221.43636734033</v>
      </c>
      <c r="L19" s="69">
        <f t="shared" si="2"/>
        <v>245297.86319421089</v>
      </c>
      <c r="N19" s="69">
        <f t="shared" si="3"/>
        <v>461493.75530680979</v>
      </c>
    </row>
    <row r="20" spans="1:17">
      <c r="A20" s="27">
        <v>45261</v>
      </c>
      <c r="B20" s="14">
        <f>VLOOKUP(A20,'INCC - M'!$A:$F,2,FALSE)</f>
        <v>1086.1500000000001</v>
      </c>
      <c r="C20" s="14">
        <f>B19</f>
        <v>1083.335</v>
      </c>
      <c r="D20" s="30">
        <v>319127.77719144791</v>
      </c>
      <c r="E20" s="94">
        <f t="shared" si="6"/>
        <v>328868.12782099884</v>
      </c>
      <c r="F20" s="31">
        <f t="shared" si="4"/>
        <v>9740.3506295509287</v>
      </c>
      <c r="G20" s="36"/>
      <c r="H20" s="36">
        <v>1.292188678691714E-2</v>
      </c>
      <c r="J20" s="69">
        <f t="shared" si="1"/>
        <v>98745.431155653103</v>
      </c>
      <c r="L20" s="69">
        <f t="shared" si="2"/>
        <v>106409.7378414291</v>
      </c>
      <c r="N20" s="69">
        <f t="shared" si="3"/>
        <v>358448.35558575427</v>
      </c>
    </row>
    <row r="21" spans="1:17">
      <c r="A21" s="27">
        <v>45292</v>
      </c>
      <c r="B21" s="14">
        <f>VLOOKUP(A21,'INCC - M'!$A:$F,2,FALSE)</f>
        <v>1088.663</v>
      </c>
      <c r="C21" s="14">
        <f t="shared" si="5"/>
        <v>1086.1500000000001</v>
      </c>
      <c r="D21" s="30">
        <v>329319.16157688777</v>
      </c>
      <c r="E21" s="94">
        <f>D21*C21/$C$8</f>
        <v>340252.41150929674</v>
      </c>
      <c r="F21" s="31">
        <f t="shared" si="4"/>
        <v>10933.249932408973</v>
      </c>
      <c r="G21" s="36"/>
      <c r="H21" s="36">
        <v>2.1730405436908212E-2</v>
      </c>
      <c r="J21" s="69">
        <f t="shared" si="1"/>
        <v>166057.65778935311</v>
      </c>
      <c r="L21" s="69">
        <f t="shared" si="2"/>
        <v>179360.55009409541</v>
      </c>
      <c r="N21" s="69">
        <f t="shared" si="3"/>
        <v>370751.26592138736</v>
      </c>
    </row>
    <row r="22" spans="1:17">
      <c r="A22" s="27">
        <v>45323</v>
      </c>
      <c r="B22" s="14">
        <f>VLOOKUP(A22,'INCC - M'!$A:$F,2,FALSE)</f>
        <v>1090.8710000000001</v>
      </c>
      <c r="C22" s="14">
        <f>B21</f>
        <v>1088.663</v>
      </c>
      <c r="D22" s="30">
        <v>247621.21180339801</v>
      </c>
      <c r="E22" s="94">
        <f t="shared" si="6"/>
        <v>256434.06205905802</v>
      </c>
      <c r="F22" s="31">
        <f t="shared" si="4"/>
        <v>8812.8502556600142</v>
      </c>
      <c r="G22" s="36"/>
      <c r="H22" s="36">
        <v>1.3752883679164031E-2</v>
      </c>
      <c r="J22" s="69">
        <f t="shared" si="1"/>
        <v>105095.67611345652</v>
      </c>
      <c r="L22" s="69">
        <f t="shared" si="2"/>
        <v>113745.12734567895</v>
      </c>
      <c r="N22" s="69">
        <f t="shared" si="3"/>
        <v>279340.18709475006</v>
      </c>
    </row>
    <row r="23" spans="1:17">
      <c r="A23" s="71">
        <v>45352</v>
      </c>
      <c r="B23" s="15">
        <f>VLOOKUP(A23,'INCC - M'!$A:$F,2,FALSE)</f>
        <v>1093.5029999999999</v>
      </c>
      <c r="C23" s="15">
        <f t="shared" si="5"/>
        <v>1090.8710000000001</v>
      </c>
      <c r="D23" s="72">
        <v>250855.2542084007</v>
      </c>
      <c r="E23" s="95">
        <f>D23*C23/$C$8</f>
        <v>260310.090200868</v>
      </c>
      <c r="F23" s="29">
        <f t="shared" si="4"/>
        <v>9454.8359924672986</v>
      </c>
      <c r="G23" s="36"/>
      <c r="H23" s="36">
        <v>2.1040653149776968E-2</v>
      </c>
      <c r="J23" s="69">
        <f t="shared" si="1"/>
        <v>160786.76445105742</v>
      </c>
      <c r="L23" s="69">
        <f t="shared" si="2"/>
        <v>174439.49913154865</v>
      </c>
      <c r="N23" s="69">
        <f t="shared" si="3"/>
        <v>283671.27407324355</v>
      </c>
    </row>
    <row r="24" spans="1:17">
      <c r="A24" s="27">
        <v>45383</v>
      </c>
      <c r="B24" s="14">
        <f>VLOOKUP(A24,'INCC - M'!$A:$F,2,FALSE)</f>
        <v>1097.991</v>
      </c>
      <c r="C24" s="14">
        <f t="shared" si="5"/>
        <v>1093.5029999999999</v>
      </c>
      <c r="D24" s="72">
        <v>267410.12154762237</v>
      </c>
      <c r="E24" s="94">
        <f t="shared" si="6"/>
        <v>278158.42882389395</v>
      </c>
      <c r="F24" s="31">
        <f t="shared" si="4"/>
        <v>10748.307276271575</v>
      </c>
      <c r="G24" s="75"/>
      <c r="H24" s="36">
        <v>2.8439779283098311E-2</v>
      </c>
      <c r="J24" s="69">
        <f t="shared" si="1"/>
        <v>217328.80914298337</v>
      </c>
      <c r="L24" s="69">
        <f t="shared" si="2"/>
        <v>236750.35389739988</v>
      </c>
      <c r="N24" s="69">
        <f t="shared" si="3"/>
        <v>303632.88094059215</v>
      </c>
    </row>
    <row r="25" spans="1:17">
      <c r="A25" s="27">
        <v>45413</v>
      </c>
      <c r="B25" s="14">
        <f>VLOOKUP(A25,'INCC - M'!$A:$F,2,FALSE)</f>
        <v>1104.4570000000001</v>
      </c>
      <c r="C25" s="14">
        <f t="shared" si="5"/>
        <v>1097.991</v>
      </c>
      <c r="D25" s="30">
        <v>190388.12671829486</v>
      </c>
      <c r="E25" s="94">
        <f>D25*C25/$C$8</f>
        <v>198853.41117427679</v>
      </c>
      <c r="F25" s="31">
        <f t="shared" si="4"/>
        <v>8465.2844559819205</v>
      </c>
      <c r="G25" s="75"/>
      <c r="H25" s="36">
        <v>2.9307636107770339E-2</v>
      </c>
      <c r="J25" s="69">
        <f>H25*$E$3</f>
        <v>223960.72735638081</v>
      </c>
      <c r="L25" s="69">
        <f t="shared" si="2"/>
        <v>245411.68517452758</v>
      </c>
      <c r="N25" s="69">
        <f t="shared" si="3"/>
        <v>217450.72070190869</v>
      </c>
    </row>
    <row r="26" spans="1:17">
      <c r="A26" s="27">
        <v>45444</v>
      </c>
      <c r="B26" s="14">
        <f>VLOOKUP(A26,'INCC - M'!$A:$F,2,FALSE)</f>
        <v>1114.748</v>
      </c>
      <c r="C26" s="14">
        <f>B25</f>
        <v>1104.4570000000001</v>
      </c>
      <c r="D26" s="30">
        <v>169808.69468307818</v>
      </c>
      <c r="E26" s="112">
        <f t="shared" si="6"/>
        <v>178403.40538120701</v>
      </c>
      <c r="F26" s="31">
        <f t="shared" si="4"/>
        <v>8594.7106981288234</v>
      </c>
      <c r="G26" s="113" t="s">
        <v>105</v>
      </c>
      <c r="H26" s="36">
        <v>3.338399347840007E-2</v>
      </c>
      <c r="I26" s="36">
        <v>3.7166297291444161E-2</v>
      </c>
      <c r="J26" s="69">
        <f>I26*$E$3</f>
        <v>284014.40989396046</v>
      </c>
      <c r="K26" s="75"/>
      <c r="L26" s="69">
        <f t="shared" si="2"/>
        <v>282150.36971727468</v>
      </c>
      <c r="M26" s="75"/>
      <c r="N26" s="69">
        <f t="shared" si="3"/>
        <v>195753.17013553425</v>
      </c>
      <c r="O26" s="75"/>
      <c r="P26" s="75"/>
      <c r="Q26" s="75"/>
    </row>
    <row r="27" spans="1:17">
      <c r="A27" s="27">
        <v>45474</v>
      </c>
      <c r="B27" s="14">
        <f>VLOOKUP(A27,'INCC - M'!$A:$F,2,FALSE)</f>
        <v>1122.452</v>
      </c>
      <c r="C27" s="15">
        <f t="shared" si="5"/>
        <v>1114.748</v>
      </c>
      <c r="D27" s="72">
        <v>224047.11135465943</v>
      </c>
      <c r="E27" s="112">
        <f t="shared" si="6"/>
        <v>237580.3156896072</v>
      </c>
      <c r="F27" s="18">
        <f t="shared" si="4"/>
        <v>13533.204334947775</v>
      </c>
      <c r="G27" s="218" t="s">
        <v>108</v>
      </c>
      <c r="H27" s="36">
        <v>4.1641719537788627E-2</v>
      </c>
      <c r="I27" s="36">
        <v>5.2295197589346927E-2</v>
      </c>
      <c r="J27" s="69">
        <f>I27*$E$3</f>
        <v>399625.21870709886</v>
      </c>
      <c r="L27" s="69">
        <f t="shared" si="2"/>
        <v>354374.17721629515</v>
      </c>
      <c r="N27" s="69">
        <f t="shared" si="3"/>
        <v>260063.44161730644</v>
      </c>
    </row>
    <row r="28" spans="1:17">
      <c r="A28" s="27">
        <v>45505</v>
      </c>
      <c r="B28" s="14">
        <f>VLOOKUP(A28,'INCC - M'!$A:$F,2,FALSE)</f>
        <v>1129.6389999999999</v>
      </c>
      <c r="C28" s="15">
        <f t="shared" si="5"/>
        <v>1122.452</v>
      </c>
      <c r="D28" s="72">
        <v>256507.95557092282</v>
      </c>
      <c r="E28" s="112">
        <f t="shared" si="6"/>
        <v>273881.70428366016</v>
      </c>
      <c r="F28" s="18">
        <f t="shared" si="4"/>
        <v>17373.748712737346</v>
      </c>
      <c r="G28" s="218"/>
      <c r="H28" s="36">
        <v>4.1077048252572558E-2</v>
      </c>
      <c r="I28" s="36">
        <v>4.8905920232239782E-2</v>
      </c>
      <c r="J28" s="69">
        <f>H28*$E$3</f>
        <v>313899.27084089181</v>
      </c>
      <c r="L28" s="69">
        <f t="shared" si="2"/>
        <v>351807.05212265527</v>
      </c>
      <c r="N28" s="69">
        <f t="shared" si="3"/>
        <v>299648.90535311849</v>
      </c>
    </row>
    <row r="29" spans="1:17">
      <c r="A29" s="27">
        <v>45536</v>
      </c>
      <c r="B29" s="14">
        <f>VLOOKUP(A29,'INCC - M'!$A:$F,2,FALSE)</f>
        <v>1136.521</v>
      </c>
      <c r="C29" s="15">
        <f t="shared" si="5"/>
        <v>1129.6389999999999</v>
      </c>
      <c r="D29" s="72">
        <v>241350.51618362853</v>
      </c>
      <c r="E29" s="112">
        <f t="shared" si="6"/>
        <v>259347.64813203906</v>
      </c>
      <c r="F29" s="31">
        <f t="shared" si="4"/>
        <v>17997.131948410533</v>
      </c>
      <c r="G29" s="218"/>
      <c r="H29" s="76"/>
      <c r="I29" s="36">
        <v>3.8817537088185063E-2</v>
      </c>
      <c r="J29" s="69">
        <f>I29*$E$3</f>
        <v>296632.72085421719</v>
      </c>
      <c r="N29" s="69">
        <f t="shared" si="3"/>
        <v>283659.85421299998</v>
      </c>
    </row>
    <row r="30" spans="1:17">
      <c r="A30" s="27">
        <v>45566</v>
      </c>
      <c r="B30" s="14">
        <f>VLOOKUP(A30,'INCC - M'!$A:$F,2,FALSE)</f>
        <v>1144.136</v>
      </c>
      <c r="C30" s="15">
        <f t="shared" si="5"/>
        <v>1136.521</v>
      </c>
      <c r="D30" s="72">
        <v>249851.59082992279</v>
      </c>
      <c r="E30" s="112">
        <f t="shared" si="6"/>
        <v>270118.28773355758</v>
      </c>
      <c r="F30" s="18">
        <f t="shared" si="4"/>
        <v>20266.696903634787</v>
      </c>
      <c r="G30" s="218"/>
      <c r="H30" s="76"/>
      <c r="I30" s="36">
        <v>4.1396476029156727E-2</v>
      </c>
      <c r="J30" s="69">
        <f t="shared" ref="J30:J43" si="7">I30*$E$3</f>
        <v>316340.24823390151</v>
      </c>
      <c r="L30" s="68"/>
      <c r="N30" s="69">
        <f t="shared" si="3"/>
        <v>295618.73099233868</v>
      </c>
    </row>
    <row r="31" spans="1:17">
      <c r="A31" s="27">
        <v>45597</v>
      </c>
      <c r="B31" s="14">
        <f>VLOOKUP(A31,'INCC - M'!$A:$F,2,FALSE)</f>
        <v>1149.1579999999999</v>
      </c>
      <c r="C31" s="15">
        <f t="shared" si="5"/>
        <v>1144.136</v>
      </c>
      <c r="D31" s="72">
        <v>259759.90071645114</v>
      </c>
      <c r="E31" s="112">
        <f t="shared" si="6"/>
        <v>282711.94908734038</v>
      </c>
      <c r="F31" s="18">
        <f t="shared" si="4"/>
        <v>22952.048370889243</v>
      </c>
      <c r="G31" s="218"/>
      <c r="H31" s="76"/>
      <c r="I31" s="36">
        <v>4.484706298661835E-2</v>
      </c>
      <c r="J31" s="69">
        <f t="shared" si="7"/>
        <v>342708.66505052266</v>
      </c>
      <c r="L31" s="68"/>
      <c r="N31" s="69">
        <f t="shared" si="3"/>
        <v>308691.04644713155</v>
      </c>
    </row>
    <row r="32" spans="1:17">
      <c r="A32" s="27">
        <v>45627</v>
      </c>
      <c r="B32" s="14">
        <f>VLOOKUP(A32,'INCC - M'!$A:$F,2,FALSE)</f>
        <v>1154.99</v>
      </c>
      <c r="C32" s="15">
        <f t="shared" si="5"/>
        <v>1149.1579999999999</v>
      </c>
      <c r="D32" s="72">
        <v>264381.13121420774</v>
      </c>
      <c r="E32" s="112">
        <f t="shared" si="6"/>
        <v>289004.50034564268</v>
      </c>
      <c r="F32" s="18">
        <f t="shared" si="4"/>
        <v>24623.369131434942</v>
      </c>
      <c r="G32" s="218"/>
      <c r="H32" s="76"/>
      <c r="I32" s="36">
        <v>5.6331292212823181E-2</v>
      </c>
      <c r="J32" s="69">
        <f t="shared" si="7"/>
        <v>430467.92073291191</v>
      </c>
      <c r="N32" s="69">
        <f t="shared" si="3"/>
        <v>315777.26515956805</v>
      </c>
    </row>
    <row r="33" spans="1:21">
      <c r="A33" s="27">
        <v>45658</v>
      </c>
      <c r="B33" s="14">
        <f>VLOOKUP(A33,'INCC - M'!$A:$F,2,FALSE)</f>
        <v>1163.221</v>
      </c>
      <c r="C33" s="15">
        <f t="shared" si="5"/>
        <v>1154.99</v>
      </c>
      <c r="D33" s="72">
        <v>213673.75465270071</v>
      </c>
      <c r="E33" s="97">
        <f t="shared" si="6"/>
        <v>234759.84270741069</v>
      </c>
      <c r="F33" s="18">
        <f t="shared" si="4"/>
        <v>21086.08805470998</v>
      </c>
      <c r="G33" s="75"/>
      <c r="I33" s="36">
        <v>5.6519556189768803E-2</v>
      </c>
      <c r="J33" s="69">
        <f t="shared" si="7"/>
        <v>431906.58119180059</v>
      </c>
      <c r="K33" s="69"/>
      <c r="N33" s="69">
        <f t="shared" si="3"/>
        <v>257031.052189982</v>
      </c>
    </row>
    <row r="34" spans="1:21">
      <c r="A34" s="27">
        <v>45689</v>
      </c>
      <c r="B34" s="14">
        <f>VLOOKUP(A34,'INCC - M'!$A:$F,2,FALSE)</f>
        <v>1169.1559999999999</v>
      </c>
      <c r="C34" s="15">
        <f t="shared" si="5"/>
        <v>1163.221</v>
      </c>
      <c r="D34" s="72">
        <v>176375.67321924114</v>
      </c>
      <c r="E34" s="97">
        <f t="shared" si="6"/>
        <v>195162.02819480342</v>
      </c>
      <c r="F34" s="18">
        <f t="shared" si="4"/>
        <v>18786.354975562281</v>
      </c>
      <c r="G34" s="75"/>
      <c r="I34" s="36">
        <v>4.2605775300294982E-2</v>
      </c>
      <c r="J34" s="69">
        <f t="shared" si="7"/>
        <v>325581.37376718386</v>
      </c>
      <c r="K34" s="69"/>
      <c r="N34" s="69">
        <f t="shared" si="3"/>
        <v>213247.19426756183</v>
      </c>
    </row>
    <row r="35" spans="1:21">
      <c r="A35" s="27">
        <v>45717</v>
      </c>
      <c r="B35" s="14">
        <f>VLOOKUP(A35,'INCC - M'!$A:$F,2,FALSE)</f>
        <v>1173.586</v>
      </c>
      <c r="C35" s="15">
        <f t="shared" si="5"/>
        <v>1169.1559999999999</v>
      </c>
      <c r="D35" s="72">
        <v>169421.79362995201</v>
      </c>
      <c r="E35" s="97">
        <f t="shared" si="6"/>
        <v>188423.96668460104</v>
      </c>
      <c r="F35" s="18">
        <f t="shared" si="4"/>
        <v>19002.173054649029</v>
      </c>
      <c r="G35" s="75"/>
      <c r="I35" s="36">
        <v>4.0769747751006717E-2</v>
      </c>
      <c r="J35" s="69">
        <f t="shared" si="7"/>
        <v>311550.96667898021</v>
      </c>
      <c r="N35" s="69">
        <f t="shared" si="3"/>
        <v>205615.74793356468</v>
      </c>
    </row>
    <row r="36" spans="1:21">
      <c r="A36" s="27">
        <v>45748</v>
      </c>
      <c r="B36" s="14">
        <f>VLOOKUP(A36,'INCC - M'!$A:$F,2,FALSE)</f>
        <v>1180.5640000000001</v>
      </c>
      <c r="C36" s="15">
        <f t="shared" si="5"/>
        <v>1173.586</v>
      </c>
      <c r="D36" s="72">
        <v>75228.333738672736</v>
      </c>
      <c r="E36" s="97">
        <f t="shared" si="6"/>
        <v>83982.880629645297</v>
      </c>
      <c r="F36" s="18">
        <f t="shared" si="4"/>
        <v>8754.5468909725605</v>
      </c>
      <c r="I36" s="36">
        <v>3.7946793388967857E-2</v>
      </c>
      <c r="J36" s="69">
        <f t="shared" si="7"/>
        <v>289978.74195600208</v>
      </c>
      <c r="N36" s="69">
        <f t="shared" si="3"/>
        <v>91842.385795972135</v>
      </c>
    </row>
    <row r="37" spans="1:21">
      <c r="A37" s="27">
        <v>45778</v>
      </c>
      <c r="B37" s="14">
        <f>VLOOKUP(A37,'INCC - M'!$A:$F,2,FALSE)</f>
        <v>1183.606</v>
      </c>
      <c r="C37" s="15">
        <f t="shared" si="5"/>
        <v>1180.5640000000001</v>
      </c>
      <c r="D37" s="72">
        <v>22125.980511374339</v>
      </c>
      <c r="E37" s="97">
        <f t="shared" si="6"/>
        <v>24847.715485513076</v>
      </c>
      <c r="F37" s="18">
        <f t="shared" si="4"/>
        <v>2721.734974138737</v>
      </c>
      <c r="I37" s="36">
        <v>4.7020131170966137E-2</v>
      </c>
      <c r="J37" s="69">
        <f t="shared" si="7"/>
        <v>359314.64205159876</v>
      </c>
      <c r="N37" s="69">
        <f t="shared" si="3"/>
        <v>27082.070364978943</v>
      </c>
    </row>
    <row r="38" spans="1:21">
      <c r="A38" s="27">
        <v>45809</v>
      </c>
      <c r="B38" s="14">
        <f>VLOOKUP(A38,'INCC - M'!$A:$F,2,FALSE)</f>
        <v>1194.912</v>
      </c>
      <c r="C38" s="15">
        <f t="shared" ref="C38:C43" si="8">B37</f>
        <v>1183.606</v>
      </c>
      <c r="D38" s="69"/>
      <c r="E38" s="69"/>
      <c r="I38" s="111">
        <v>4.5399230966891239E-2</v>
      </c>
      <c r="J38" s="69">
        <f t="shared" si="7"/>
        <v>346928.17774100654</v>
      </c>
      <c r="K38" s="88"/>
      <c r="L38" s="88"/>
      <c r="M38" s="88"/>
      <c r="N38" s="69"/>
      <c r="O38" s="88"/>
      <c r="P38" s="88"/>
      <c r="Q38" s="88"/>
      <c r="R38" s="88"/>
      <c r="S38" s="88"/>
      <c r="T38" s="88"/>
      <c r="U38" s="88"/>
    </row>
    <row r="39" spans="1:21">
      <c r="A39" s="27">
        <v>45839</v>
      </c>
      <c r="B39" s="14">
        <f>VLOOKUP(A39,'INCC - M'!$A:$F,2,FALSE)</f>
        <v>1205.838</v>
      </c>
      <c r="C39" s="15">
        <f t="shared" si="8"/>
        <v>1194.912</v>
      </c>
      <c r="D39" s="68"/>
      <c r="E39" s="68"/>
      <c r="I39" s="36">
        <v>4.4747319401337887E-2</v>
      </c>
      <c r="J39" s="69">
        <f t="shared" si="7"/>
        <v>341946.45257366507</v>
      </c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</row>
    <row r="40" spans="1:21">
      <c r="A40" s="27">
        <v>45870</v>
      </c>
      <c r="B40" s="14">
        <f>VLOOKUP(A40,'INCC - M'!$A:$F,2,FALSE)</f>
        <v>1214.239</v>
      </c>
      <c r="C40" s="15">
        <f t="shared" si="8"/>
        <v>1205.838</v>
      </c>
      <c r="D40" s="36"/>
      <c r="E40" s="36"/>
      <c r="I40" s="36">
        <v>1.7240610174733599E-2</v>
      </c>
      <c r="J40" s="69">
        <f t="shared" si="7"/>
        <v>131747.90285380371</v>
      </c>
    </row>
    <row r="41" spans="1:21">
      <c r="A41" s="27">
        <v>45901</v>
      </c>
      <c r="B41" s="14">
        <f>VLOOKUP(A41,'INCC - M'!$A:$F,2,FALSE)</f>
        <v>1216.825</v>
      </c>
      <c r="C41" s="15">
        <f t="shared" si="8"/>
        <v>1214.239</v>
      </c>
      <c r="I41" s="36">
        <v>8.5979438575016689E-3</v>
      </c>
      <c r="J41" s="69">
        <f t="shared" si="7"/>
        <v>65703.073185928675</v>
      </c>
    </row>
    <row r="42" spans="1:21">
      <c r="A42" s="27">
        <v>45931</v>
      </c>
      <c r="B42" s="14">
        <f>VLOOKUP(A42,'INCC - M'!$A:$F,2,FALSE)</f>
        <v>1219.4069999999999</v>
      </c>
      <c r="C42" s="15">
        <f t="shared" si="8"/>
        <v>1216.825</v>
      </c>
      <c r="I42" s="36">
        <v>4.6667339986292081E-3</v>
      </c>
      <c r="J42" s="69">
        <f t="shared" si="7"/>
        <v>35661.87108603563</v>
      </c>
    </row>
    <row r="43" spans="1:21">
      <c r="A43" s="27">
        <v>45962</v>
      </c>
      <c r="B43" s="14">
        <f>VLOOKUP(A43,'INCC - M'!$A:$F,2,FALSE)</f>
        <v>1222.865</v>
      </c>
      <c r="C43" s="15">
        <f t="shared" si="8"/>
        <v>1219.4069999999999</v>
      </c>
      <c r="I43" s="36">
        <v>3.2688574101242224E-3</v>
      </c>
      <c r="J43" s="69">
        <f t="shared" si="7"/>
        <v>24979.690634333194</v>
      </c>
    </row>
    <row r="45" spans="1:21">
      <c r="J45" s="68"/>
      <c r="K45" s="68"/>
    </row>
    <row r="46" spans="1:21">
      <c r="K46" s="68"/>
    </row>
  </sheetData>
  <mergeCells count="3">
    <mergeCell ref="A1:F1"/>
    <mergeCell ref="R1:T4"/>
    <mergeCell ref="G27:G3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66C2-7DF0-4829-9758-C6E02EACFEF3}">
  <sheetPr>
    <tabColor theme="9" tint="0.39997558519241921"/>
  </sheetPr>
  <dimension ref="A1:M30"/>
  <sheetViews>
    <sheetView workbookViewId="0">
      <selection activeCell="E19" sqref="E19"/>
    </sheetView>
  </sheetViews>
  <sheetFormatPr defaultRowHeight="14.4"/>
  <cols>
    <col min="1" max="1" width="9.5546875" bestFit="1" customWidth="1"/>
    <col min="2" max="2" width="12.33203125" bestFit="1" customWidth="1"/>
    <col min="3" max="3" width="15.5546875" bestFit="1" customWidth="1"/>
    <col min="4" max="4" width="18.6640625" bestFit="1" customWidth="1"/>
    <col min="5" max="5" width="20" customWidth="1"/>
    <col min="6" max="6" width="16.33203125" bestFit="1" customWidth="1"/>
    <col min="7" max="7" width="18.5546875" bestFit="1" customWidth="1"/>
    <col min="8" max="9" width="15.88671875" bestFit="1" customWidth="1"/>
    <col min="10" max="10" width="17" bestFit="1" customWidth="1"/>
    <col min="11" max="11" width="19.88671875" bestFit="1" customWidth="1"/>
    <col min="12" max="12" width="10.5546875" bestFit="1" customWidth="1"/>
    <col min="13" max="13" width="107.44140625" bestFit="1" customWidth="1"/>
  </cols>
  <sheetData>
    <row r="1" spans="1:13">
      <c r="A1" s="216" t="s">
        <v>165</v>
      </c>
      <c r="B1" s="216"/>
      <c r="C1" s="216"/>
      <c r="D1" s="216"/>
      <c r="F1" t="s">
        <v>152</v>
      </c>
      <c r="G1" s="69">
        <f>G3-D3</f>
        <v>630937.27199832606</v>
      </c>
      <c r="H1" s="69">
        <f>G3-I3</f>
        <v>630937.27199832606</v>
      </c>
    </row>
    <row r="2" spans="1:13">
      <c r="A2" s="19" t="s">
        <v>1</v>
      </c>
      <c r="B2" s="19" t="s">
        <v>0</v>
      </c>
      <c r="C2" s="19" t="s">
        <v>23</v>
      </c>
      <c r="D2" s="19" t="s">
        <v>3</v>
      </c>
      <c r="G2" s="19" t="s">
        <v>127</v>
      </c>
      <c r="I2" s="19" t="s">
        <v>72</v>
      </c>
    </row>
    <row r="3" spans="1:13">
      <c r="A3" s="20">
        <v>45474</v>
      </c>
      <c r="B3" s="140">
        <v>1126.9159999999999</v>
      </c>
      <c r="C3" s="22">
        <f>1073123.83+K22</f>
        <v>1049636.98</v>
      </c>
      <c r="D3" s="22">
        <f>SUM(D5:D25)</f>
        <v>533383.2155606607</v>
      </c>
      <c r="E3" s="68"/>
      <c r="G3" s="22">
        <f>SUM(G5:G25)</f>
        <v>1164320.4875589868</v>
      </c>
      <c r="I3" s="159">
        <f>SUM(I5:I25)</f>
        <v>533383.2155606607</v>
      </c>
      <c r="J3" s="69">
        <f>D3-I3</f>
        <v>0</v>
      </c>
      <c r="K3" s="19" t="s">
        <v>137</v>
      </c>
      <c r="L3" s="19" t="s">
        <v>192</v>
      </c>
      <c r="M3" s="19" t="s">
        <v>31</v>
      </c>
    </row>
    <row r="4" spans="1:13">
      <c r="A4" s="19" t="s">
        <v>5</v>
      </c>
      <c r="B4" s="19" t="s">
        <v>128</v>
      </c>
      <c r="C4" s="19" t="s">
        <v>24</v>
      </c>
      <c r="D4" s="19" t="s">
        <v>3</v>
      </c>
      <c r="E4" s="154"/>
      <c r="F4" s="19" t="s">
        <v>125</v>
      </c>
      <c r="G4" s="19" t="s">
        <v>124</v>
      </c>
      <c r="I4" s="19" t="s">
        <v>72</v>
      </c>
      <c r="K4" s="139">
        <v>-23842.3</v>
      </c>
      <c r="L4" s="206">
        <v>46107</v>
      </c>
      <c r="M4" s="139" t="s">
        <v>195</v>
      </c>
    </row>
    <row r="5" spans="1:13">
      <c r="A5" s="16">
        <v>45839</v>
      </c>
      <c r="B5" s="34">
        <f>VLOOKUP(A5,'INCC - DI'!$E:$F,2,FALSE)</f>
        <v>1199.509</v>
      </c>
      <c r="C5" s="42">
        <v>2.2100372294669535E-2</v>
      </c>
      <c r="D5" s="30">
        <f>(C5*$C$3)*B5/$B$3</f>
        <v>24691.682193703247</v>
      </c>
      <c r="E5" s="154"/>
      <c r="F5" s="36">
        <v>2.2100372294669539E-2</v>
      </c>
      <c r="G5" s="69">
        <f>F5*($C$3/$B$3*B5)</f>
        <v>24691.682193703251</v>
      </c>
      <c r="H5" s="75"/>
      <c r="I5" s="150">
        <v>25212.524959232152</v>
      </c>
      <c r="K5" s="139">
        <v>355.45</v>
      </c>
      <c r="L5" s="206">
        <v>46098</v>
      </c>
      <c r="M5" s="139" t="s">
        <v>196</v>
      </c>
    </row>
    <row r="6" spans="1:13">
      <c r="A6" s="16">
        <f>EDATE(A5,1)</f>
        <v>45870</v>
      </c>
      <c r="B6" s="34">
        <f>VLOOKUP(A6,'INCC - DI'!$E:$F,2,FALSE)</f>
        <v>1210.471</v>
      </c>
      <c r="C6" s="42">
        <v>5.8375727992434616E-2</v>
      </c>
      <c r="D6" s="30">
        <f t="shared" ref="D6:D25" si="0">(C6*$C$3)*B6/$B$3</f>
        <v>65816.42319901826</v>
      </c>
      <c r="F6" s="36">
        <v>5.8375727992434637E-2</v>
      </c>
      <c r="G6" s="69">
        <f t="shared" ref="G6:G26" si="1">F6*($C$3/$B$3*B6)</f>
        <v>65816.423199018289</v>
      </c>
      <c r="H6" s="75"/>
      <c r="I6" s="150">
        <v>67204.745290938736</v>
      </c>
      <c r="J6" s="135"/>
      <c r="K6" s="139"/>
      <c r="L6" s="206"/>
      <c r="M6" s="139"/>
    </row>
    <row r="7" spans="1:13">
      <c r="A7" s="16">
        <f t="shared" ref="A7:A26" si="2">EDATE(A6,1)</f>
        <v>45901</v>
      </c>
      <c r="B7" s="34">
        <f>VLOOKUP(A7,'INCC - DI'!$E:$F,2,FALSE)</f>
        <v>1216.7059999999999</v>
      </c>
      <c r="C7" s="42">
        <v>7.0445936061543937E-2</v>
      </c>
      <c r="D7" s="30">
        <f t="shared" si="0"/>
        <v>79834.235708831184</v>
      </c>
      <c r="F7" s="36">
        <v>7.0445936061543951E-2</v>
      </c>
      <c r="G7" s="69">
        <f t="shared" si="1"/>
        <v>79834.235708831198</v>
      </c>
      <c r="H7" s="75"/>
      <c r="I7" s="150">
        <v>81518.247506175598</v>
      </c>
      <c r="J7" s="160"/>
      <c r="K7" s="139"/>
      <c r="L7" s="206"/>
      <c r="M7" s="139"/>
    </row>
    <row r="8" spans="1:13">
      <c r="A8" s="16">
        <f t="shared" si="2"/>
        <v>45931</v>
      </c>
      <c r="B8" s="34">
        <f>VLOOKUP(A8,'INCC - DI'!$E:$F,2,FALSE)</f>
        <v>1218.7470000000001</v>
      </c>
      <c r="C8" s="42">
        <v>4.6982353570244995E-2</v>
      </c>
      <c r="D8" s="30">
        <f t="shared" si="0"/>
        <v>53332.98685005954</v>
      </c>
      <c r="F8" s="36">
        <v>4.6982353570245015E-2</v>
      </c>
      <c r="G8" s="69">
        <f t="shared" si="1"/>
        <v>53332.986850059562</v>
      </c>
      <c r="H8" s="75"/>
      <c r="I8" s="150">
        <v>54457.985144909791</v>
      </c>
      <c r="J8" s="76"/>
      <c r="K8" s="139"/>
      <c r="L8" s="206"/>
      <c r="M8" s="139"/>
    </row>
    <row r="9" spans="1:13">
      <c r="A9" s="16">
        <f t="shared" si="2"/>
        <v>45962</v>
      </c>
      <c r="B9" s="34">
        <f>VLOOKUP(A9,'INCC - DI'!$E:$F,2,FALSE)</f>
        <v>1222.356</v>
      </c>
      <c r="C9" s="42">
        <v>3.9429820081106903E-2</v>
      </c>
      <c r="D9" s="30">
        <f t="shared" si="0"/>
        <v>44892.116570588893</v>
      </c>
      <c r="F9" s="36">
        <v>3.942982256258605E-2</v>
      </c>
      <c r="G9" s="69">
        <f t="shared" si="1"/>
        <v>44892.119395832604</v>
      </c>
      <c r="H9" s="75"/>
      <c r="I9" s="150">
        <v>45839.064371133427</v>
      </c>
      <c r="K9" s="139"/>
      <c r="L9" s="206"/>
      <c r="M9" s="139"/>
    </row>
    <row r="10" spans="1:13" ht="16.2">
      <c r="A10" s="16">
        <f t="shared" si="2"/>
        <v>45992</v>
      </c>
      <c r="B10" s="34">
        <f>VLOOKUP(A10,'INCC - DI'!$E:$F,2,FALSE)</f>
        <v>1225.633</v>
      </c>
      <c r="C10" s="42">
        <v>2.6394827757159789E-2</v>
      </c>
      <c r="D10" s="30">
        <f t="shared" si="0"/>
        <v>30131.923491101465</v>
      </c>
      <c r="E10" s="180"/>
      <c r="F10" s="36">
        <v>2.6394825275680669E-2</v>
      </c>
      <c r="G10" s="69">
        <f t="shared" si="1"/>
        <v>30131.920658283623</v>
      </c>
      <c r="H10" s="75"/>
      <c r="I10" s="150">
        <v>30767.521918081562</v>
      </c>
      <c r="K10" s="139"/>
      <c r="L10" s="206"/>
      <c r="M10" s="139"/>
    </row>
    <row r="11" spans="1:13">
      <c r="A11" s="16">
        <f t="shared" si="2"/>
        <v>46023</v>
      </c>
      <c r="B11" s="34">
        <f>VLOOKUP(A11,'INCC - DI'!$E:$F,2,FALSE)</f>
        <v>1228.1610000000001</v>
      </c>
      <c r="C11" s="42">
        <v>5.0539382242840214E-2</v>
      </c>
      <c r="D11" s="30">
        <f t="shared" si="0"/>
        <v>57813.972216400463</v>
      </c>
      <c r="E11" s="87"/>
      <c r="F11" s="36">
        <v>5.053938700954487E-2</v>
      </c>
      <c r="G11" s="69">
        <f t="shared" si="1"/>
        <v>57813.977669220003</v>
      </c>
      <c r="H11" s="75"/>
      <c r="I11" s="150">
        <v>59033.491767121071</v>
      </c>
      <c r="K11" s="139"/>
      <c r="L11" s="206"/>
      <c r="M11" s="139"/>
    </row>
    <row r="12" spans="1:13">
      <c r="A12" s="16">
        <f t="shared" si="2"/>
        <v>46054</v>
      </c>
      <c r="B12" s="34">
        <f>VLOOKUP(A12,'INCC - DI'!$E:$F,2,FALSE)</f>
        <v>1237.0360000000001</v>
      </c>
      <c r="C12" s="42">
        <v>3.6593170000000008E-2</v>
      </c>
      <c r="D12" s="30">
        <f t="shared" si="0"/>
        <v>42162.849072217301</v>
      </c>
      <c r="F12" s="36">
        <v>3.6593169135425027E-2</v>
      </c>
      <c r="G12" s="69">
        <f t="shared" si="1"/>
        <v>42162.848076049311</v>
      </c>
      <c r="H12" s="75"/>
      <c r="I12" s="150">
        <v>43563.452441023081</v>
      </c>
      <c r="K12" s="139"/>
      <c r="L12" s="206"/>
      <c r="M12" s="139"/>
    </row>
    <row r="13" spans="1:13">
      <c r="A13" s="16">
        <f t="shared" si="2"/>
        <v>46082</v>
      </c>
      <c r="B13" s="34">
        <f>VLOOKUP(A13,'INCC - DI'!$E:$F,2,FALSE)</f>
        <v>1240.481</v>
      </c>
      <c r="C13" s="42">
        <v>4.3808499999999972E-2</v>
      </c>
      <c r="D13" s="30">
        <f t="shared" si="0"/>
        <v>50616.962280185217</v>
      </c>
      <c r="F13" s="36">
        <v>4.38084915909202E-2</v>
      </c>
      <c r="G13" s="69">
        <f t="shared" si="1"/>
        <v>50616.952564215171</v>
      </c>
      <c r="H13" s="75"/>
      <c r="I13" s="150">
        <v>41696.11818349018</v>
      </c>
      <c r="K13" s="139"/>
      <c r="L13" s="206"/>
      <c r="M13" s="139"/>
    </row>
    <row r="14" spans="1:13">
      <c r="A14" s="16">
        <f t="shared" si="2"/>
        <v>46113</v>
      </c>
      <c r="B14" s="34">
        <f>VLOOKUP(A14,'INCC - DI'!$E:$F,2,FALSE)</f>
        <v>1247.181</v>
      </c>
      <c r="C14" s="42">
        <v>2.0674775418276094E-2</v>
      </c>
      <c r="D14" s="30">
        <f t="shared" si="0"/>
        <v>24016.950594697319</v>
      </c>
      <c r="F14" s="36">
        <v>2.0674775418276097E-2</v>
      </c>
      <c r="G14" s="69">
        <f t="shared" si="1"/>
        <v>24016.950594697322</v>
      </c>
      <c r="H14" s="75"/>
      <c r="I14" s="150">
        <v>24016.950594697322</v>
      </c>
      <c r="K14" s="139"/>
      <c r="L14" s="206"/>
      <c r="M14" s="139"/>
    </row>
    <row r="15" spans="1:13">
      <c r="A15" s="16">
        <f t="shared" si="2"/>
        <v>46143</v>
      </c>
      <c r="B15" s="34">
        <f>VLOOKUP(A15,'INCC - DI'!$E:$F,2,FALSE)</f>
        <v>1259.652</v>
      </c>
      <c r="C15" s="42">
        <v>1.9178864581723909E-2</v>
      </c>
      <c r="D15" s="30">
        <f t="shared" si="0"/>
        <v>22501.996417654173</v>
      </c>
      <c r="F15" s="36">
        <v>1.9178871810576318E-2</v>
      </c>
      <c r="G15" s="69">
        <f t="shared" si="1"/>
        <v>22502.004899053598</v>
      </c>
      <c r="H15" s="75"/>
      <c r="I15" s="150">
        <v>22279.218700217491</v>
      </c>
      <c r="K15" s="139"/>
      <c r="L15" s="206"/>
      <c r="M15" s="139"/>
    </row>
    <row r="16" spans="1:13">
      <c r="A16" s="23">
        <f t="shared" si="2"/>
        <v>46174</v>
      </c>
      <c r="B16" s="174">
        <f>VLOOKUP(A16,'INCC - DI'!$E:$F,2,FALSE)</f>
        <v>1270.6949999999999</v>
      </c>
      <c r="C16" s="161">
        <v>3.1744260000000024E-2</v>
      </c>
      <c r="D16" s="33">
        <f t="shared" si="0"/>
        <v>37571.116966203641</v>
      </c>
      <c r="F16" s="36">
        <v>1.8850103632574527E-2</v>
      </c>
      <c r="G16" s="69">
        <f t="shared" si="1"/>
        <v>22310.157754646581</v>
      </c>
      <c r="H16" s="75"/>
      <c r="I16" s="150">
        <v>37793.894683640276</v>
      </c>
      <c r="K16" s="139"/>
      <c r="L16" s="206"/>
      <c r="M16" s="139"/>
    </row>
    <row r="17" spans="1:13">
      <c r="A17" s="16">
        <f t="shared" si="2"/>
        <v>46204</v>
      </c>
      <c r="B17" s="34">
        <f>VLOOKUP(A17,'INCC - DI'!$E:$F,2,FALSE)</f>
        <v>1270.6949999999999</v>
      </c>
      <c r="C17" s="155"/>
      <c r="D17" s="31">
        <f t="shared" si="0"/>
        <v>0</v>
      </c>
      <c r="F17" s="36">
        <v>4.3051371842111864E-2</v>
      </c>
      <c r="G17" s="69">
        <f t="shared" si="1"/>
        <v>50953.71972871662</v>
      </c>
      <c r="H17" s="75">
        <f>(F17*$G$1/(SUM($F$17:$F$26)))</f>
        <v>49691.786272111094</v>
      </c>
      <c r="K17" s="139"/>
      <c r="L17" s="206"/>
      <c r="M17" s="139"/>
    </row>
    <row r="18" spans="1:13">
      <c r="A18" s="16">
        <f t="shared" si="2"/>
        <v>46235</v>
      </c>
      <c r="B18" s="34">
        <f>VLOOKUP(A18,'INCC - DI'!$E:$F,2,FALSE)</f>
        <v>1270.6949999999999</v>
      </c>
      <c r="C18" s="155"/>
      <c r="D18" s="31">
        <f t="shared" si="0"/>
        <v>0</v>
      </c>
      <c r="F18" s="36">
        <v>4.6649778120776017E-2</v>
      </c>
      <c r="G18" s="69">
        <f t="shared" si="1"/>
        <v>55212.635929239557</v>
      </c>
      <c r="H18" s="75">
        <f t="shared" ref="H18:H26" si="3">(F18*$G$1/(SUM($F$17:$F$26)))</f>
        <v>53845.225014443873</v>
      </c>
      <c r="K18" s="139"/>
      <c r="L18" s="206"/>
      <c r="M18" s="139"/>
    </row>
    <row r="19" spans="1:13">
      <c r="A19" s="16">
        <f t="shared" si="2"/>
        <v>46266</v>
      </c>
      <c r="B19" s="34">
        <f>VLOOKUP(A19,'INCC - DI'!$E:$F,2,FALSE)</f>
        <v>1270.6949999999999</v>
      </c>
      <c r="C19" s="155"/>
      <c r="D19" s="31">
        <f t="shared" si="0"/>
        <v>0</v>
      </c>
      <c r="F19" s="36">
        <v>9.1938794615808866E-2</v>
      </c>
      <c r="G19" s="69">
        <f t="shared" si="1"/>
        <v>108814.73394693487</v>
      </c>
      <c r="H19" s="75">
        <f t="shared" si="3"/>
        <v>106119.79913019613</v>
      </c>
      <c r="K19" s="139"/>
      <c r="L19" s="206"/>
      <c r="M19" s="139"/>
    </row>
    <row r="20" spans="1:13">
      <c r="A20" s="16">
        <f t="shared" si="2"/>
        <v>46296</v>
      </c>
      <c r="B20" s="34">
        <f>VLOOKUP(A20,'INCC - DI'!$E:$F,2,FALSE)</f>
        <v>1270.6949999999999</v>
      </c>
      <c r="C20" s="155"/>
      <c r="D20" s="31">
        <f t="shared" si="0"/>
        <v>0</v>
      </c>
      <c r="F20" s="36">
        <v>6.5840294580828601E-2</v>
      </c>
      <c r="G20" s="69">
        <f t="shared" si="1"/>
        <v>77925.691409584397</v>
      </c>
      <c r="H20" s="75">
        <f t="shared" si="3"/>
        <v>75995.762885377932</v>
      </c>
      <c r="K20" s="139"/>
      <c r="L20" s="206"/>
      <c r="M20" s="139"/>
    </row>
    <row r="21" spans="1:13">
      <c r="A21" s="16">
        <f t="shared" si="2"/>
        <v>46327</v>
      </c>
      <c r="B21" s="34">
        <f>VLOOKUP(A21,'INCC - DI'!$E:$F,2,FALSE)</f>
        <v>1270.6949999999999</v>
      </c>
      <c r="C21" s="155"/>
      <c r="D21" s="31">
        <f t="shared" si="0"/>
        <v>0</v>
      </c>
      <c r="F21" s="36">
        <v>0.13256907924635344</v>
      </c>
      <c r="G21" s="69">
        <f t="shared" si="1"/>
        <v>156902.96080194222</v>
      </c>
      <c r="H21" s="75">
        <f t="shared" si="3"/>
        <v>153017.06009183478</v>
      </c>
      <c r="K21" s="139"/>
      <c r="L21" s="206"/>
      <c r="M21" s="139"/>
    </row>
    <row r="22" spans="1:13">
      <c r="A22" s="16">
        <f t="shared" si="2"/>
        <v>46357</v>
      </c>
      <c r="B22" s="34">
        <f>VLOOKUP(A22,'INCC - DI'!$E:$F,2,FALSE)</f>
        <v>1270.6949999999999</v>
      </c>
      <c r="C22" s="155"/>
      <c r="D22" s="31">
        <f t="shared" si="0"/>
        <v>0</v>
      </c>
      <c r="F22" s="36">
        <v>8.3134746761948305E-2</v>
      </c>
      <c r="G22" s="69">
        <f t="shared" si="1"/>
        <v>98394.648183604761</v>
      </c>
      <c r="H22" s="75">
        <f t="shared" si="3"/>
        <v>95957.779999007005</v>
      </c>
      <c r="K22" s="175">
        <f>SUM(K4:K21)</f>
        <v>-23486.85</v>
      </c>
      <c r="L22" s="206"/>
      <c r="M22" s="139"/>
    </row>
    <row r="23" spans="1:13">
      <c r="A23" s="16">
        <f t="shared" si="2"/>
        <v>46388</v>
      </c>
      <c r="B23" s="34">
        <f>VLOOKUP(A23,'INCC - DI'!$E:$F,2,FALSE)</f>
        <v>1270.6949999999999</v>
      </c>
      <c r="C23" s="155"/>
      <c r="D23" s="31">
        <f t="shared" si="0"/>
        <v>0</v>
      </c>
      <c r="F23" s="36">
        <v>8.1339351254859069E-2</v>
      </c>
      <c r="G23" s="69">
        <f t="shared" si="1"/>
        <v>96269.696630239021</v>
      </c>
      <c r="H23" s="75">
        <f t="shared" si="3"/>
        <v>93885.455564390097</v>
      </c>
    </row>
    <row r="24" spans="1:13">
      <c r="A24" s="16">
        <f t="shared" si="2"/>
        <v>46419</v>
      </c>
      <c r="B24" s="34">
        <f>VLOOKUP(A24,'INCC - DI'!$E:$F,2,FALSE)</f>
        <v>1270.6949999999999</v>
      </c>
      <c r="C24" s="155"/>
      <c r="D24" s="31">
        <f t="shared" si="0"/>
        <v>0</v>
      </c>
      <c r="F24" s="36">
        <v>6.7755649465979268E-4</v>
      </c>
      <c r="G24" s="69">
        <f t="shared" si="1"/>
        <v>801.92621633246415</v>
      </c>
      <c r="H24" s="75">
        <f t="shared" si="3"/>
        <v>782.06549708552996</v>
      </c>
    </row>
    <row r="25" spans="1:13">
      <c r="A25" s="16">
        <f t="shared" si="2"/>
        <v>46447</v>
      </c>
      <c r="B25" s="34">
        <f>VLOOKUP(A25,'INCC - DI'!$E:$F,2,FALSE)</f>
        <v>1270.6949999999999</v>
      </c>
      <c r="C25" s="155"/>
      <c r="D25" s="31">
        <f t="shared" si="0"/>
        <v>0</v>
      </c>
      <c r="F25" s="36">
        <v>7.7918996885876146E-4</v>
      </c>
      <c r="G25" s="69">
        <f t="shared" si="1"/>
        <v>922.21514878233359</v>
      </c>
      <c r="H25" s="75">
        <f t="shared" si="3"/>
        <v>899.37532164835932</v>
      </c>
    </row>
    <row r="26" spans="1:13">
      <c r="A26" s="16">
        <f t="shared" si="2"/>
        <v>46478</v>
      </c>
      <c r="B26" s="34">
        <f>VLOOKUP(A26,'INCC - DI'!$E:$F,2,FALSE)</f>
        <v>1270.6949999999999</v>
      </c>
      <c r="C26" s="155"/>
      <c r="D26" s="31">
        <f t="shared" ref="D26" si="4">(C26*$C$3)*B26/$B$3</f>
        <v>0</v>
      </c>
      <c r="F26" s="36">
        <v>6.4367866992680301E-4</v>
      </c>
      <c r="G26" s="69">
        <f t="shared" si="1"/>
        <v>761.82990551584089</v>
      </c>
      <c r="H26" s="75">
        <f t="shared" si="3"/>
        <v>742.96222223125346</v>
      </c>
    </row>
    <row r="28" spans="1:13">
      <c r="C28" s="87">
        <f>SUM(C5:C27)</f>
        <v>0.46626799000000002</v>
      </c>
    </row>
    <row r="29" spans="1:13">
      <c r="C29" s="197">
        <v>0.46626799000000002</v>
      </c>
    </row>
    <row r="30" spans="1:13">
      <c r="C30" s="87">
        <f>C29-C28</f>
        <v>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D35B-1953-4EEB-B8A9-3F99BA27E3B8}">
  <sheetPr>
    <tabColor theme="9" tint="0.39997558519241921"/>
  </sheetPr>
  <dimension ref="A1:D14"/>
  <sheetViews>
    <sheetView workbookViewId="0">
      <pane ySplit="4" topLeftCell="A5" activePane="bottomLeft" state="frozen"/>
      <selection activeCell="C15" sqref="C15:K19"/>
      <selection pane="bottomLeft" activeCell="D11" sqref="D11"/>
    </sheetView>
  </sheetViews>
  <sheetFormatPr defaultRowHeight="14.4"/>
  <cols>
    <col min="1" max="1" width="10.6640625" bestFit="1" customWidth="1"/>
    <col min="2" max="2" width="17.88671875" bestFit="1" customWidth="1"/>
    <col min="3" max="3" width="18.6640625" bestFit="1" customWidth="1"/>
    <col min="4" max="4" width="14.44140625" customWidth="1"/>
  </cols>
  <sheetData>
    <row r="1" spans="1:4">
      <c r="A1" s="216" t="s">
        <v>166</v>
      </c>
      <c r="B1" s="216"/>
      <c r="C1" s="216"/>
      <c r="D1" s="216"/>
    </row>
    <row r="2" spans="1:4">
      <c r="A2" s="19"/>
      <c r="B2" s="19" t="s">
        <v>18</v>
      </c>
      <c r="C2" s="19" t="s">
        <v>72</v>
      </c>
      <c r="D2" s="19" t="s">
        <v>167</v>
      </c>
    </row>
    <row r="3" spans="1:4">
      <c r="A3" s="19"/>
      <c r="B3" s="22">
        <f>SUM(B5:B7)</f>
        <v>2575410.23</v>
      </c>
      <c r="C3" s="22">
        <f>SUM(C5:C7)</f>
        <v>206032.81839999999</v>
      </c>
      <c r="D3" s="22">
        <v>174517.25</v>
      </c>
    </row>
    <row r="4" spans="1:4">
      <c r="A4" s="19" t="s">
        <v>5</v>
      </c>
      <c r="B4" s="19" t="s">
        <v>18</v>
      </c>
      <c r="C4" s="19" t="s">
        <v>72</v>
      </c>
      <c r="D4" s="19" t="s">
        <v>167</v>
      </c>
    </row>
    <row r="5" spans="1:4">
      <c r="A5" s="16">
        <v>45839</v>
      </c>
      <c r="B5" s="17">
        <v>2023811.09</v>
      </c>
      <c r="C5" s="99">
        <f>B5*0.08</f>
        <v>161904.8872</v>
      </c>
      <c r="D5" s="31">
        <f>D3-C5</f>
        <v>12612.362800000003</v>
      </c>
    </row>
    <row r="6" spans="1:4">
      <c r="A6" s="23">
        <v>45870</v>
      </c>
      <c r="B6" s="25">
        <v>551599.1399999999</v>
      </c>
      <c r="C6" s="96">
        <f t="shared" ref="C6:C7" si="0">B6*0.08</f>
        <v>44127.931199999992</v>
      </c>
      <c r="D6" s="25">
        <f t="shared" ref="D6:D7" si="1">C6*0.1</f>
        <v>4412.7931199999994</v>
      </c>
    </row>
    <row r="7" spans="1:4">
      <c r="A7" s="16">
        <v>45901</v>
      </c>
      <c r="B7" s="17"/>
      <c r="C7" s="99">
        <f t="shared" si="0"/>
        <v>0</v>
      </c>
      <c r="D7" s="31">
        <f t="shared" si="1"/>
        <v>0</v>
      </c>
    </row>
    <row r="14" spans="1:4">
      <c r="C14" s="69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BE3C-866F-41BB-AEB0-33F9646E0908}">
  <sheetPr>
    <tabColor theme="9" tint="0.39997558519241921"/>
  </sheetPr>
  <dimension ref="A1:K52"/>
  <sheetViews>
    <sheetView workbookViewId="0">
      <selection activeCell="H9" sqref="H9:H49"/>
    </sheetView>
  </sheetViews>
  <sheetFormatPr defaultRowHeight="14.4"/>
  <cols>
    <col min="1" max="1" width="9.5546875" bestFit="1" customWidth="1"/>
    <col min="2" max="2" width="12.33203125" bestFit="1" customWidth="1"/>
    <col min="3" max="3" width="14.44140625" bestFit="1" customWidth="1"/>
    <col min="4" max="4" width="18.6640625" bestFit="1" customWidth="1"/>
    <col min="5" max="5" width="20" customWidth="1"/>
    <col min="6" max="6" width="16.33203125" bestFit="1" customWidth="1"/>
    <col min="7" max="7" width="18.5546875" bestFit="1" customWidth="1"/>
    <col min="8" max="9" width="15.88671875" bestFit="1" customWidth="1"/>
    <col min="10" max="10" width="17" bestFit="1" customWidth="1"/>
  </cols>
  <sheetData>
    <row r="1" spans="1:11">
      <c r="A1" s="216" t="s">
        <v>190</v>
      </c>
      <c r="B1" s="216"/>
      <c r="C1" s="216"/>
      <c r="D1" s="216"/>
      <c r="F1" t="s">
        <v>152</v>
      </c>
      <c r="G1" s="69">
        <f>G3-D3</f>
        <v>8019623.5412721569</v>
      </c>
      <c r="H1" s="69">
        <f>G3-I3</f>
        <v>8019623.5412721569</v>
      </c>
    </row>
    <row r="2" spans="1:11">
      <c r="A2" s="19" t="s">
        <v>1</v>
      </c>
      <c r="B2" s="19" t="s">
        <v>0</v>
      </c>
      <c r="C2" s="19" t="s">
        <v>23</v>
      </c>
      <c r="D2" s="19" t="s">
        <v>3</v>
      </c>
      <c r="G2" s="19" t="s">
        <v>127</v>
      </c>
      <c r="I2" s="19" t="s">
        <v>72</v>
      </c>
    </row>
    <row r="3" spans="1:11">
      <c r="A3" s="20">
        <v>45748</v>
      </c>
      <c r="B3" s="140">
        <v>1184.462</v>
      </c>
      <c r="C3" s="37">
        <v>8089512.0383679997</v>
      </c>
      <c r="D3" s="22">
        <f>SUM(D5:D48)</f>
        <v>644802.97104952775</v>
      </c>
      <c r="E3" s="68"/>
      <c r="G3" s="22">
        <f>SUM(G5:G48)</f>
        <v>8664426.5123216845</v>
      </c>
      <c r="I3" s="159">
        <f>SUM(I5:I48)</f>
        <v>644802.97104952775</v>
      </c>
      <c r="J3" s="69">
        <f>D3-I3</f>
        <v>0</v>
      </c>
    </row>
    <row r="4" spans="1:11">
      <c r="A4" s="19" t="s">
        <v>5</v>
      </c>
      <c r="B4" s="19" t="s">
        <v>128</v>
      </c>
      <c r="C4" s="19" t="s">
        <v>24</v>
      </c>
      <c r="D4" s="19" t="s">
        <v>3</v>
      </c>
      <c r="E4" s="154"/>
      <c r="F4" s="19" t="s">
        <v>125</v>
      </c>
      <c r="G4" s="19" t="s">
        <v>124</v>
      </c>
      <c r="I4" s="19" t="s">
        <v>72</v>
      </c>
    </row>
    <row r="5" spans="1:11">
      <c r="A5" s="16">
        <v>46082</v>
      </c>
      <c r="B5" s="34">
        <f>VLOOKUP(A5,'INCC - DI'!$E:$F,2,FALSE)</f>
        <v>1240.481</v>
      </c>
      <c r="C5" s="155">
        <v>1.541031E-2</v>
      </c>
      <c r="D5" s="30">
        <f>(C5*$C$3)*B5/$B$3</f>
        <v>130557.75855251723</v>
      </c>
      <c r="E5" s="154"/>
      <c r="F5" s="36">
        <v>1.4365596524594813E-2</v>
      </c>
      <c r="G5" s="69">
        <f>F5*($C$3/$B$3*B5)</f>
        <v>121706.83669056174</v>
      </c>
      <c r="H5" s="75"/>
      <c r="I5" s="150">
        <v>130557.75855251723</v>
      </c>
    </row>
    <row r="6" spans="1:11">
      <c r="A6" s="16">
        <f>EDATE(A5,1)</f>
        <v>46113</v>
      </c>
      <c r="B6" s="34">
        <f>VLOOKUP(A6,'INCC - DI'!$E:$F,2,FALSE)</f>
        <v>1247.181</v>
      </c>
      <c r="C6" s="155">
        <v>1.70838E-2</v>
      </c>
      <c r="D6" s="30">
        <f t="shared" ref="D6:D48" si="0">(C6*$C$3)*B6/$B$3</f>
        <v>145517.47756593171</v>
      </c>
      <c r="F6" s="36">
        <v>1.8817237776062614E-2</v>
      </c>
      <c r="G6" s="69">
        <f t="shared" ref="G6:G48" si="1">F6*($C$3/$B$3*B6)</f>
        <v>160282.66404025999</v>
      </c>
      <c r="H6" s="75"/>
      <c r="I6" s="150">
        <v>145517.47756593174</v>
      </c>
      <c r="J6" s="135"/>
      <c r="K6" s="136"/>
    </row>
    <row r="7" spans="1:11">
      <c r="A7" s="16">
        <f t="shared" ref="A7:A49" si="2">EDATE(A6,1)</f>
        <v>46143</v>
      </c>
      <c r="B7" s="34">
        <f>VLOOKUP(A7,'INCC - DI'!$E:$F,2,FALSE)</f>
        <v>1259.652</v>
      </c>
      <c r="C7" s="155">
        <v>2.5105889999999999E-2</v>
      </c>
      <c r="D7" s="30">
        <f t="shared" si="0"/>
        <v>215986.89225916963</v>
      </c>
      <c r="F7" s="36">
        <v>1.6219251187370699E-2</v>
      </c>
      <c r="G7" s="69">
        <f t="shared" si="1"/>
        <v>139534.81269658412</v>
      </c>
      <c r="H7" s="75"/>
      <c r="I7" s="150">
        <v>213848.5456893518</v>
      </c>
      <c r="J7" s="160"/>
    </row>
    <row r="8" spans="1:11">
      <c r="A8" s="23">
        <f t="shared" si="2"/>
        <v>46174</v>
      </c>
      <c r="B8" s="174">
        <f>VLOOKUP(A8,'INCC - DI'!$E:$F,2,FALSE)</f>
        <v>1270.6949999999999</v>
      </c>
      <c r="C8" s="161">
        <v>1.7600000000000005E-2</v>
      </c>
      <c r="D8" s="33">
        <f t="shared" si="0"/>
        <v>152740.84267190917</v>
      </c>
      <c r="F8" s="36">
        <v>2.1967511320135125E-2</v>
      </c>
      <c r="G8" s="69">
        <f t="shared" si="1"/>
        <v>190644.10172966716</v>
      </c>
      <c r="H8" s="75"/>
      <c r="I8" s="150">
        <v>154879.189241727</v>
      </c>
      <c r="J8" s="76"/>
    </row>
    <row r="9" spans="1:11">
      <c r="A9" s="16">
        <f t="shared" si="2"/>
        <v>46204</v>
      </c>
      <c r="B9" s="34">
        <f>VLOOKUP(A9,'INCC - DI'!$E:$F,2,FALSE)</f>
        <v>1270.6949999999999</v>
      </c>
      <c r="C9" s="42"/>
      <c r="D9" s="31">
        <f t="shared" si="0"/>
        <v>0</v>
      </c>
      <c r="F9" s="36">
        <v>2.5320307361446897E-2</v>
      </c>
      <c r="G9" s="69">
        <f t="shared" si="1"/>
        <v>219741.19790336041</v>
      </c>
      <c r="H9" s="75">
        <f>(F9*$G$1/(SUM($F$9:$F$49)))</f>
        <v>218665.07066914329</v>
      </c>
    </row>
    <row r="10" spans="1:11" ht="16.2">
      <c r="A10" s="16">
        <f t="shared" si="2"/>
        <v>46235</v>
      </c>
      <c r="B10" s="34">
        <f>VLOOKUP(A10,'INCC - DI'!$E:$F,2,FALSE)</f>
        <v>1270.6949999999999</v>
      </c>
      <c r="C10" s="42"/>
      <c r="D10" s="31">
        <f t="shared" si="0"/>
        <v>0</v>
      </c>
      <c r="E10" s="180"/>
      <c r="F10" s="36">
        <v>2.2515032382747845E-2</v>
      </c>
      <c r="G10" s="69">
        <f t="shared" si="1"/>
        <v>195395.7397117175</v>
      </c>
      <c r="H10" s="75">
        <f t="shared" ref="H10:H49" si="3">(F10*$G$1/(SUM($F$9:$F$49)))</f>
        <v>194438.83823416091</v>
      </c>
    </row>
    <row r="11" spans="1:11">
      <c r="A11" s="16">
        <f t="shared" si="2"/>
        <v>46266</v>
      </c>
      <c r="B11" s="34">
        <f>VLOOKUP(A11,'INCC - DI'!$E:$F,2,FALSE)</f>
        <v>1270.6949999999999</v>
      </c>
      <c r="C11" s="42"/>
      <c r="D11" s="31">
        <f t="shared" si="0"/>
        <v>0</v>
      </c>
      <c r="E11" s="87"/>
      <c r="F11" s="36">
        <v>2.4630281435252147E-2</v>
      </c>
      <c r="G11" s="69">
        <f t="shared" si="1"/>
        <v>213752.83759469845</v>
      </c>
      <c r="H11" s="75">
        <f t="shared" si="3"/>
        <v>212706.03684854065</v>
      </c>
    </row>
    <row r="12" spans="1:11">
      <c r="A12" s="16">
        <f t="shared" si="2"/>
        <v>46296</v>
      </c>
      <c r="B12" s="34">
        <f>VLOOKUP(A12,'INCC - DI'!$E:$F,2,FALSE)</f>
        <v>1270.6949999999999</v>
      </c>
      <c r="C12" s="42"/>
      <c r="D12" s="31">
        <f t="shared" si="0"/>
        <v>0</v>
      </c>
      <c r="F12" s="36">
        <v>2.3348669221365762E-2</v>
      </c>
      <c r="G12" s="69">
        <f t="shared" si="1"/>
        <v>202630.42114426562</v>
      </c>
      <c r="H12" s="75">
        <f t="shared" si="3"/>
        <v>201638.08963449506</v>
      </c>
    </row>
    <row r="13" spans="1:11">
      <c r="A13" s="16">
        <f t="shared" si="2"/>
        <v>46327</v>
      </c>
      <c r="B13" s="34">
        <f>VLOOKUP(A13,'INCC - DI'!$E:$F,2,FALSE)</f>
        <v>1270.6949999999999</v>
      </c>
      <c r="C13" s="42"/>
      <c r="D13" s="31">
        <f t="shared" si="0"/>
        <v>0</v>
      </c>
      <c r="F13" s="36">
        <v>2.9355337271262761E-2</v>
      </c>
      <c r="G13" s="69">
        <f t="shared" si="1"/>
        <v>254759.03134833954</v>
      </c>
      <c r="H13" s="75">
        <f t="shared" si="3"/>
        <v>253511.41308461598</v>
      </c>
    </row>
    <row r="14" spans="1:11">
      <c r="A14" s="16">
        <f t="shared" si="2"/>
        <v>46357</v>
      </c>
      <c r="B14" s="34">
        <f>VLOOKUP(A14,'INCC - DI'!$E:$F,2,FALSE)</f>
        <v>1270.6949999999999</v>
      </c>
      <c r="C14" s="42"/>
      <c r="D14" s="31">
        <f t="shared" si="0"/>
        <v>0</v>
      </c>
      <c r="F14" s="36">
        <v>2.1156095822638304E-2</v>
      </c>
      <c r="G14" s="69">
        <f t="shared" si="1"/>
        <v>183602.26724985405</v>
      </c>
      <c r="H14" s="75">
        <f t="shared" si="3"/>
        <v>182703.12133667633</v>
      </c>
    </row>
    <row r="15" spans="1:11">
      <c r="A15" s="16">
        <f t="shared" si="2"/>
        <v>46388</v>
      </c>
      <c r="B15" s="34">
        <f>VLOOKUP(A15,'INCC - DI'!$E:$F,2,FALSE)</f>
        <v>1270.6949999999999</v>
      </c>
      <c r="C15" s="42"/>
      <c r="D15" s="31">
        <f t="shared" si="0"/>
        <v>0</v>
      </c>
      <c r="F15" s="36">
        <v>3.1869166173546612E-2</v>
      </c>
      <c r="G15" s="69">
        <f t="shared" si="1"/>
        <v>276575.18730673927</v>
      </c>
      <c r="H15" s="75">
        <f t="shared" si="3"/>
        <v>275220.72990772035</v>
      </c>
    </row>
    <row r="16" spans="1:11">
      <c r="A16" s="16">
        <f t="shared" si="2"/>
        <v>46419</v>
      </c>
      <c r="B16" s="34">
        <f>VLOOKUP(A16,'INCC - DI'!$E:$F,2,FALSE)</f>
        <v>1270.6949999999999</v>
      </c>
      <c r="C16" s="42"/>
      <c r="D16" s="31">
        <f t="shared" si="0"/>
        <v>0</v>
      </c>
      <c r="F16" s="36">
        <v>3.0129728331500398E-2</v>
      </c>
      <c r="G16" s="69">
        <f t="shared" si="1"/>
        <v>261479.55084256057</v>
      </c>
      <c r="H16" s="75">
        <f t="shared" si="3"/>
        <v>260199.02052536307</v>
      </c>
    </row>
    <row r="17" spans="1:8">
      <c r="A17" s="16">
        <f t="shared" si="2"/>
        <v>46447</v>
      </c>
      <c r="B17" s="34">
        <f>VLOOKUP(A17,'INCC - DI'!$E:$F,2,FALSE)</f>
        <v>1270.6949999999999</v>
      </c>
      <c r="C17" s="42"/>
      <c r="D17" s="31">
        <f t="shared" si="0"/>
        <v>0</v>
      </c>
      <c r="F17" s="36">
        <v>4.3138415095239593E-2</v>
      </c>
      <c r="G17" s="69">
        <f t="shared" si="1"/>
        <v>374374.87915781257</v>
      </c>
      <c r="H17" s="75">
        <f t="shared" si="3"/>
        <v>372541.47237241012</v>
      </c>
    </row>
    <row r="18" spans="1:8">
      <c r="A18" s="16">
        <f t="shared" si="2"/>
        <v>46478</v>
      </c>
      <c r="B18" s="34">
        <f>VLOOKUP(A18,'INCC - DI'!$E:$F,2,FALSE)</f>
        <v>1270.6949999999999</v>
      </c>
      <c r="C18" s="42"/>
      <c r="D18" s="31">
        <f t="shared" si="0"/>
        <v>0</v>
      </c>
      <c r="F18" s="36">
        <v>4.0112449004105183E-2</v>
      </c>
      <c r="G18" s="69">
        <f t="shared" si="1"/>
        <v>348114.16264323908</v>
      </c>
      <c r="H18" s="75">
        <f t="shared" si="3"/>
        <v>346409.3611102929</v>
      </c>
    </row>
    <row r="19" spans="1:8">
      <c r="A19" s="16">
        <f t="shared" si="2"/>
        <v>46508</v>
      </c>
      <c r="B19" s="34">
        <f>VLOOKUP(A19,'INCC - DI'!$E:$F,2,FALSE)</f>
        <v>1270.6949999999999</v>
      </c>
      <c r="C19" s="42"/>
      <c r="D19" s="31">
        <f t="shared" si="0"/>
        <v>0</v>
      </c>
      <c r="F19" s="36">
        <v>4.4508850243342592E-2</v>
      </c>
      <c r="G19" s="69">
        <f t="shared" si="1"/>
        <v>386268.14162079291</v>
      </c>
      <c r="H19" s="75">
        <f t="shared" si="3"/>
        <v>384376.49057458638</v>
      </c>
    </row>
    <row r="20" spans="1:8">
      <c r="A20" s="16">
        <f t="shared" si="2"/>
        <v>46539</v>
      </c>
      <c r="B20" s="34">
        <f>VLOOKUP(A20,'INCC - DI'!$E:$F,2,FALSE)</f>
        <v>1270.6949999999999</v>
      </c>
      <c r="C20" s="42"/>
      <c r="D20" s="31">
        <f t="shared" si="0"/>
        <v>0</v>
      </c>
      <c r="F20" s="36">
        <v>4.9597223884375909E-2</v>
      </c>
      <c r="G20" s="69">
        <f t="shared" si="1"/>
        <v>430427.37331175653</v>
      </c>
      <c r="H20" s="75">
        <f t="shared" si="3"/>
        <v>428319.46353792783</v>
      </c>
    </row>
    <row r="21" spans="1:8">
      <c r="A21" s="16">
        <f t="shared" si="2"/>
        <v>46569</v>
      </c>
      <c r="B21" s="34">
        <f>VLOOKUP(A21,'INCC - DI'!$E:$F,2,FALSE)</f>
        <v>1270.6949999999999</v>
      </c>
      <c r="C21" s="155"/>
      <c r="D21" s="31">
        <f t="shared" si="0"/>
        <v>0</v>
      </c>
      <c r="F21" s="36">
        <v>4.8765983167855992E-2</v>
      </c>
      <c r="G21" s="69">
        <f t="shared" si="1"/>
        <v>423213.48652173078</v>
      </c>
      <c r="H21" s="75">
        <f t="shared" si="3"/>
        <v>421140.90494358575</v>
      </c>
    </row>
    <row r="22" spans="1:8">
      <c r="A22" s="16">
        <f t="shared" si="2"/>
        <v>46600</v>
      </c>
      <c r="B22" s="34">
        <f>VLOOKUP(A22,'INCC - DI'!$E:$F,2,FALSE)</f>
        <v>1270.6949999999999</v>
      </c>
      <c r="C22" s="155"/>
      <c r="D22" s="31">
        <f t="shared" si="0"/>
        <v>0</v>
      </c>
      <c r="F22" s="36">
        <v>5.431488285706574E-2</v>
      </c>
      <c r="G22" s="69">
        <f t="shared" si="1"/>
        <v>471369.37370535528</v>
      </c>
      <c r="H22" s="75">
        <f t="shared" si="3"/>
        <v>469060.96078479185</v>
      </c>
    </row>
    <row r="23" spans="1:8">
      <c r="A23" s="16">
        <f t="shared" si="2"/>
        <v>46631</v>
      </c>
      <c r="B23" s="34">
        <f>VLOOKUP(A23,'INCC - DI'!$E:$F,2,FALSE)</f>
        <v>1270.6949999999999</v>
      </c>
      <c r="C23" s="155"/>
      <c r="D23" s="31">
        <f t="shared" si="0"/>
        <v>0</v>
      </c>
      <c r="F23" s="36">
        <v>4.2576182252232225E-2</v>
      </c>
      <c r="G23" s="69">
        <f t="shared" si="1"/>
        <v>369495.56562265527</v>
      </c>
      <c r="H23" s="75">
        <f t="shared" si="3"/>
        <v>367686.05404775304</v>
      </c>
    </row>
    <row r="24" spans="1:8">
      <c r="A24" s="16">
        <f t="shared" si="2"/>
        <v>46661</v>
      </c>
      <c r="B24" s="34">
        <f>VLOOKUP(A24,'INCC - DI'!$E:$F,2,FALSE)</f>
        <v>1270.6949999999999</v>
      </c>
      <c r="C24" s="155"/>
      <c r="D24" s="31">
        <f t="shared" si="0"/>
        <v>0</v>
      </c>
      <c r="F24" s="36">
        <v>4.3092137540577918E-2</v>
      </c>
      <c r="G24" s="69">
        <f t="shared" si="1"/>
        <v>373973.26139100461</v>
      </c>
      <c r="H24" s="75">
        <f t="shared" si="3"/>
        <v>372141.82142757607</v>
      </c>
    </row>
    <row r="25" spans="1:8">
      <c r="A25" s="16">
        <f t="shared" si="2"/>
        <v>46692</v>
      </c>
      <c r="B25" s="34">
        <f>VLOOKUP(A25,'INCC - DI'!$E:$F,2,FALSE)</f>
        <v>1270.6949999999999</v>
      </c>
      <c r="C25" s="155"/>
      <c r="D25" s="31">
        <f t="shared" si="0"/>
        <v>0</v>
      </c>
      <c r="F25" s="36">
        <v>5.1649631741106088E-2</v>
      </c>
      <c r="G25" s="69">
        <f t="shared" si="1"/>
        <v>448239.10658126872</v>
      </c>
      <c r="H25" s="75">
        <f t="shared" si="3"/>
        <v>446043.96832483035</v>
      </c>
    </row>
    <row r="26" spans="1:8">
      <c r="A26" s="16">
        <f t="shared" si="2"/>
        <v>46722</v>
      </c>
      <c r="B26" s="34">
        <f>VLOOKUP(A26,'INCC - DI'!$E:$F,2,FALSE)</f>
        <v>1270.6949999999999</v>
      </c>
      <c r="C26" s="155"/>
      <c r="D26" s="31">
        <f t="shared" si="0"/>
        <v>0</v>
      </c>
      <c r="F26" s="36">
        <v>3.6025170135046837E-2</v>
      </c>
      <c r="G26" s="69">
        <f t="shared" si="1"/>
        <v>312642.88885374711</v>
      </c>
      <c r="H26" s="75">
        <f t="shared" si="3"/>
        <v>311111.79896031803</v>
      </c>
    </row>
    <row r="27" spans="1:8">
      <c r="A27" s="16">
        <f t="shared" si="2"/>
        <v>46753</v>
      </c>
      <c r="B27" s="34">
        <f>VLOOKUP(A27,'INCC - DI'!$E:$F,2,FALSE)</f>
        <v>1270.6949999999999</v>
      </c>
      <c r="C27" s="155"/>
      <c r="D27" s="31">
        <f t="shared" si="0"/>
        <v>0</v>
      </c>
      <c r="F27" s="36">
        <v>3.5390143699424455E-2</v>
      </c>
      <c r="G27" s="69">
        <f t="shared" si="1"/>
        <v>307131.83925738902</v>
      </c>
      <c r="H27" s="75">
        <f t="shared" si="3"/>
        <v>305627.73834288761</v>
      </c>
    </row>
    <row r="28" spans="1:8">
      <c r="A28" s="16">
        <f t="shared" si="2"/>
        <v>46784</v>
      </c>
      <c r="B28" s="34">
        <f>VLOOKUP(A28,'INCC - DI'!$E:$F,2,FALSE)</f>
        <v>1270.6949999999999</v>
      </c>
      <c r="C28" s="155"/>
      <c r="D28" s="31">
        <f t="shared" si="0"/>
        <v>0</v>
      </c>
      <c r="F28" s="36">
        <v>2.6838781002160382E-2</v>
      </c>
      <c r="G28" s="69">
        <f t="shared" si="1"/>
        <v>232919.20605436381</v>
      </c>
      <c r="H28" s="75">
        <f t="shared" si="3"/>
        <v>231778.54284055185</v>
      </c>
    </row>
    <row r="29" spans="1:8">
      <c r="A29" s="16">
        <f t="shared" si="2"/>
        <v>46813</v>
      </c>
      <c r="B29" s="34">
        <f>VLOOKUP(A29,'INCC - DI'!$E:$F,2,FALSE)</f>
        <v>1270.6949999999999</v>
      </c>
      <c r="C29" s="155"/>
      <c r="D29" s="31">
        <f t="shared" si="0"/>
        <v>0</v>
      </c>
      <c r="F29" s="36">
        <v>2.8265418052684014E-2</v>
      </c>
      <c r="G29" s="69">
        <f t="shared" si="1"/>
        <v>245300.21430913347</v>
      </c>
      <c r="H29" s="75">
        <f t="shared" si="3"/>
        <v>244098.91822220921</v>
      </c>
    </row>
    <row r="30" spans="1:8">
      <c r="A30" s="16">
        <f t="shared" si="2"/>
        <v>46844</v>
      </c>
      <c r="B30" s="34">
        <f>VLOOKUP(A30,'INCC - DI'!$E:$F,2,FALSE)</f>
        <v>1270.6949999999999</v>
      </c>
      <c r="C30" s="155"/>
      <c r="D30" s="31">
        <f t="shared" si="0"/>
        <v>0</v>
      </c>
      <c r="F30" s="36">
        <v>2.3486010042362608E-2</v>
      </c>
      <c r="G30" s="69">
        <f t="shared" si="1"/>
        <v>203822.32754951052</v>
      </c>
      <c r="H30" s="75">
        <f t="shared" si="3"/>
        <v>202824.1589779802</v>
      </c>
    </row>
    <row r="31" spans="1:8">
      <c r="A31" s="16">
        <f t="shared" si="2"/>
        <v>46874</v>
      </c>
      <c r="B31" s="34">
        <f>VLOOKUP(A31,'INCC - DI'!$E:$F,2,FALSE)</f>
        <v>1270.6949999999999</v>
      </c>
      <c r="C31" s="155"/>
      <c r="D31" s="31">
        <f t="shared" si="0"/>
        <v>0</v>
      </c>
      <c r="F31" s="36">
        <v>2.5046595652381803E-2</v>
      </c>
      <c r="G31" s="69">
        <f t="shared" si="1"/>
        <v>217365.80261405525</v>
      </c>
      <c r="H31" s="75">
        <f t="shared" si="3"/>
        <v>216301.30828066528</v>
      </c>
    </row>
    <row r="32" spans="1:8">
      <c r="A32" s="16">
        <f t="shared" si="2"/>
        <v>46905</v>
      </c>
      <c r="B32" s="34">
        <f>VLOOKUP(A32,'INCC - DI'!$E:$F,2,FALSE)</f>
        <v>1270.6949999999999</v>
      </c>
      <c r="C32" s="155"/>
      <c r="D32" s="31">
        <f t="shared" si="0"/>
        <v>0</v>
      </c>
      <c r="F32" s="36">
        <v>1.9122519793160389E-2</v>
      </c>
      <c r="G32" s="69">
        <f t="shared" si="1"/>
        <v>165953.96518281702</v>
      </c>
      <c r="H32" s="75">
        <f t="shared" si="3"/>
        <v>165141.24738905087</v>
      </c>
    </row>
    <row r="33" spans="1:8">
      <c r="A33" s="16">
        <f t="shared" si="2"/>
        <v>46935</v>
      </c>
      <c r="B33" s="34">
        <f>VLOOKUP(A33,'INCC - DI'!$E:$F,2,FALSE)</f>
        <v>1270.6949999999999</v>
      </c>
      <c r="C33" s="155"/>
      <c r="D33" s="31">
        <f t="shared" si="0"/>
        <v>0</v>
      </c>
      <c r="F33" s="36">
        <v>1.7748357966374903E-2</v>
      </c>
      <c r="G33" s="69">
        <f t="shared" si="1"/>
        <v>154028.36089924967</v>
      </c>
      <c r="H33" s="75">
        <f t="shared" si="3"/>
        <v>153274.04575221747</v>
      </c>
    </row>
    <row r="34" spans="1:8">
      <c r="A34" s="16">
        <f t="shared" si="2"/>
        <v>46966</v>
      </c>
      <c r="B34" s="34">
        <f>VLOOKUP(A34,'INCC - DI'!$E:$F,2,FALSE)</f>
        <v>1270.6949999999999</v>
      </c>
      <c r="C34" s="155"/>
      <c r="D34" s="31">
        <f t="shared" si="0"/>
        <v>0</v>
      </c>
      <c r="F34" s="36">
        <v>2.0237095888027398E-2</v>
      </c>
      <c r="G34" s="69">
        <f t="shared" si="1"/>
        <v>175626.76586190524</v>
      </c>
      <c r="H34" s="75">
        <f t="shared" si="3"/>
        <v>174766.6779602975</v>
      </c>
    </row>
    <row r="35" spans="1:8">
      <c r="A35" s="16">
        <f t="shared" si="2"/>
        <v>46997</v>
      </c>
      <c r="B35" s="34">
        <f>VLOOKUP(A35,'INCC - DI'!$E:$F,2,FALSE)</f>
        <v>1270.6949999999999</v>
      </c>
      <c r="C35" s="155"/>
      <c r="D35" s="31">
        <f t="shared" si="0"/>
        <v>0</v>
      </c>
      <c r="F35" s="36">
        <v>1.6165527344313358E-2</v>
      </c>
      <c r="G35" s="69">
        <f t="shared" si="1"/>
        <v>140291.83345489838</v>
      </c>
      <c r="H35" s="75">
        <f t="shared" si="3"/>
        <v>139604.78949518781</v>
      </c>
    </row>
    <row r="36" spans="1:8">
      <c r="A36" s="16">
        <f t="shared" si="2"/>
        <v>47027</v>
      </c>
      <c r="B36" s="34">
        <f>VLOOKUP(A36,'INCC - DI'!$E:$F,2,FALSE)</f>
        <v>1270.6949999999999</v>
      </c>
      <c r="C36" s="155"/>
      <c r="D36" s="31">
        <f t="shared" si="0"/>
        <v>0</v>
      </c>
      <c r="F36" s="36">
        <v>1.6214757987605771E-2</v>
      </c>
      <c r="G36" s="69">
        <f t="shared" si="1"/>
        <v>140719.07947431676</v>
      </c>
      <c r="H36" s="75">
        <f t="shared" si="3"/>
        <v>140029.9431847127</v>
      </c>
    </row>
    <row r="37" spans="1:8">
      <c r="A37" s="16">
        <f t="shared" si="2"/>
        <v>47058</v>
      </c>
      <c r="B37" s="34">
        <f>VLOOKUP(A37,'INCC - DI'!$E:$F,2,FALSE)</f>
        <v>1270.6949999999999</v>
      </c>
      <c r="C37" s="155"/>
      <c r="D37" s="31">
        <f t="shared" si="0"/>
        <v>0</v>
      </c>
      <c r="F37" s="36">
        <v>9.7347863281008161E-3</v>
      </c>
      <c r="G37" s="69">
        <f t="shared" si="1"/>
        <v>84482.924260516971</v>
      </c>
      <c r="H37" s="75">
        <f t="shared" si="3"/>
        <v>84069.190393174416</v>
      </c>
    </row>
    <row r="38" spans="1:8">
      <c r="A38" s="16">
        <f t="shared" si="2"/>
        <v>47088</v>
      </c>
      <c r="B38" s="34">
        <f>VLOOKUP(A38,'INCC - DI'!$E:$F,2,FALSE)</f>
        <v>1270.6949999999999</v>
      </c>
      <c r="C38" s="155"/>
      <c r="D38" s="31">
        <f t="shared" si="0"/>
        <v>0</v>
      </c>
      <c r="F38" s="36">
        <v>4.017461560407126E-3</v>
      </c>
      <c r="G38" s="69">
        <f t="shared" si="1"/>
        <v>34865.36728060156</v>
      </c>
      <c r="H38" s="75">
        <f t="shared" si="3"/>
        <v>34694.62291577772</v>
      </c>
    </row>
    <row r="39" spans="1:8">
      <c r="A39" s="16">
        <f t="shared" si="2"/>
        <v>47119</v>
      </c>
      <c r="B39" s="34">
        <f>VLOOKUP(A39,'INCC - DI'!$E:$F,2,FALSE)</f>
        <v>1270.6949999999999</v>
      </c>
      <c r="C39" s="155"/>
      <c r="D39" s="31">
        <f t="shared" si="0"/>
        <v>0</v>
      </c>
      <c r="F39" s="36">
        <v>6.0068877063891536E-3</v>
      </c>
      <c r="G39" s="69">
        <f t="shared" si="1"/>
        <v>52130.516483489249</v>
      </c>
      <c r="H39" s="75">
        <f t="shared" si="3"/>
        <v>51875.220394012395</v>
      </c>
    </row>
    <row r="40" spans="1:8">
      <c r="A40" s="16">
        <f t="shared" si="2"/>
        <v>47150</v>
      </c>
      <c r="B40" s="34">
        <f>VLOOKUP(A40,'INCC - DI'!$E:$F,2,FALSE)</f>
        <v>1270.6949999999999</v>
      </c>
      <c r="C40" s="155"/>
      <c r="D40" s="31">
        <f t="shared" si="0"/>
        <v>0</v>
      </c>
      <c r="F40" s="36">
        <v>2.7239171208729152E-3</v>
      </c>
      <c r="G40" s="69">
        <f t="shared" si="1"/>
        <v>23639.397523327822</v>
      </c>
      <c r="H40" s="75">
        <f t="shared" si="3"/>
        <v>23523.629521159535</v>
      </c>
    </row>
    <row r="41" spans="1:8">
      <c r="A41" s="16">
        <f t="shared" si="2"/>
        <v>47178</v>
      </c>
      <c r="B41" s="34">
        <f>VLOOKUP(A41,'INCC - DI'!$E:$F,2,FALSE)</f>
        <v>1270.6949999999999</v>
      </c>
      <c r="C41" s="155"/>
      <c r="D41" s="31">
        <f t="shared" si="0"/>
        <v>0</v>
      </c>
      <c r="F41" s="36">
        <v>2.443078443296387E-3</v>
      </c>
      <c r="G41" s="69">
        <f t="shared" si="1"/>
        <v>21202.151144469666</v>
      </c>
      <c r="H41" s="75">
        <f t="shared" si="3"/>
        <v>21098.31894327913</v>
      </c>
    </row>
    <row r="42" spans="1:8">
      <c r="A42" s="16">
        <f t="shared" si="2"/>
        <v>47209</v>
      </c>
      <c r="B42" s="34">
        <f>VLOOKUP(A42,'INCC - DI'!$E:$F,2,FALSE)</f>
        <v>1270.6949999999999</v>
      </c>
      <c r="C42" s="155"/>
      <c r="D42" s="31">
        <f t="shared" si="0"/>
        <v>0</v>
      </c>
      <c r="F42" s="36">
        <v>3.5521777145073818E-3</v>
      </c>
      <c r="G42" s="69">
        <f t="shared" si="1"/>
        <v>30827.421445126918</v>
      </c>
      <c r="H42" s="75">
        <f t="shared" si="3"/>
        <v>30676.451904165464</v>
      </c>
    </row>
    <row r="43" spans="1:8">
      <c r="A43" s="16">
        <f t="shared" si="2"/>
        <v>47239</v>
      </c>
      <c r="B43" s="34">
        <f>VLOOKUP(A43,'INCC - DI'!$E:$F,2,FALSE)</f>
        <v>1270.6949999999999</v>
      </c>
      <c r="C43" s="155"/>
      <c r="D43" s="31">
        <f t="shared" si="0"/>
        <v>0</v>
      </c>
      <c r="F43" s="36">
        <v>5.2896139415000137E-3</v>
      </c>
      <c r="G43" s="69">
        <f t="shared" si="1"/>
        <v>45905.686979192658</v>
      </c>
      <c r="H43" s="75">
        <f t="shared" si="3"/>
        <v>45680.875426169805</v>
      </c>
    </row>
    <row r="44" spans="1:8">
      <c r="A44" s="16">
        <f t="shared" si="2"/>
        <v>47270</v>
      </c>
      <c r="B44" s="34">
        <f>VLOOKUP(A44,'INCC - DI'!$E:$F,2,FALSE)</f>
        <v>1270.6949999999999</v>
      </c>
      <c r="C44" s="155"/>
      <c r="D44" s="31">
        <f t="shared" si="0"/>
        <v>0</v>
      </c>
      <c r="F44" s="36">
        <v>1.2687773436004914E-3</v>
      </c>
      <c r="G44" s="69">
        <f t="shared" si="1"/>
        <v>11011.02958094122</v>
      </c>
      <c r="H44" s="75">
        <f t="shared" si="3"/>
        <v>10957.105833724585</v>
      </c>
    </row>
    <row r="45" spans="1:8">
      <c r="A45" s="16">
        <f t="shared" si="2"/>
        <v>47300</v>
      </c>
      <c r="B45" s="34">
        <f>VLOOKUP(A45,'INCC - DI'!$E:$F,2,FALSE)</f>
        <v>1270.6949999999999</v>
      </c>
      <c r="C45" s="155"/>
      <c r="D45" s="31">
        <f t="shared" si="0"/>
        <v>0</v>
      </c>
      <c r="F45" s="36">
        <v>3.498896001510856E-4</v>
      </c>
      <c r="G45" s="69">
        <f t="shared" si="1"/>
        <v>3036.5018391598956</v>
      </c>
      <c r="H45" s="75">
        <f t="shared" si="3"/>
        <v>3021.6313353260739</v>
      </c>
    </row>
    <row r="46" spans="1:8">
      <c r="A46" s="16">
        <f t="shared" si="2"/>
        <v>47331</v>
      </c>
      <c r="B46" s="34">
        <f>VLOOKUP(A46,'INCC - DI'!$E:$F,2,FALSE)</f>
        <v>1270.6949999999999</v>
      </c>
      <c r="C46" s="155"/>
      <c r="D46" s="31">
        <f t="shared" si="0"/>
        <v>0</v>
      </c>
      <c r="F46" s="36">
        <v>4.3740586369333668E-5</v>
      </c>
      <c r="G46" s="69">
        <f t="shared" si="1"/>
        <v>379.60079664860496</v>
      </c>
      <c r="H46" s="75">
        <f t="shared" si="3"/>
        <v>377.74179724702827</v>
      </c>
    </row>
    <row r="47" spans="1:8">
      <c r="A47" s="16">
        <f t="shared" si="2"/>
        <v>47362</v>
      </c>
      <c r="B47" s="34">
        <f>VLOOKUP(A47,'INCC - DI'!$E:$F,2,FALSE)</f>
        <v>1270.6949999999999</v>
      </c>
      <c r="C47" s="155"/>
      <c r="D47" s="31">
        <f t="shared" si="0"/>
        <v>0</v>
      </c>
      <c r="F47" s="36">
        <v>8.3107114101734002E-4</v>
      </c>
      <c r="G47" s="69">
        <f t="shared" si="1"/>
        <v>7212.4151363234969</v>
      </c>
      <c r="H47" s="75">
        <f t="shared" si="3"/>
        <v>7177.0941476935404</v>
      </c>
    </row>
    <row r="48" spans="1:8">
      <c r="A48" s="16">
        <f t="shared" si="2"/>
        <v>47392</v>
      </c>
      <c r="B48" s="34">
        <f>VLOOKUP(A48,'INCC - DI'!$E:$F,2,FALSE)</f>
        <v>1270.6949999999999</v>
      </c>
      <c r="C48" s="155"/>
      <c r="D48" s="31">
        <f t="shared" si="0"/>
        <v>0</v>
      </c>
      <c r="F48" s="36">
        <v>9.6229290012534113E-4</v>
      </c>
      <c r="G48" s="69">
        <f t="shared" si="1"/>
        <v>8351.2175262693127</v>
      </c>
      <c r="H48" s="75">
        <f t="shared" si="3"/>
        <v>8310.3195394346258</v>
      </c>
    </row>
    <row r="49" spans="1:8">
      <c r="A49" s="16">
        <f t="shared" si="2"/>
        <v>47423</v>
      </c>
      <c r="B49" s="34">
        <f>VLOOKUP(A49,'INCC - DI'!$E:$F,2,FALSE)</f>
        <v>1270.6949999999999</v>
      </c>
      <c r="C49" s="155"/>
      <c r="D49" s="31">
        <f t="shared" ref="D49" si="4">(C49*$C$3)*B49/$B$3</f>
        <v>0</v>
      </c>
      <c r="F49" s="36">
        <v>7.8733055464800627E-4</v>
      </c>
      <c r="G49" s="69">
        <f t="shared" ref="G49" si="5">F49*($C$3/$B$3*B49)</f>
        <v>6832.814339674891</v>
      </c>
      <c r="H49" s="75">
        <f t="shared" si="3"/>
        <v>6799.352350446512</v>
      </c>
    </row>
    <row r="50" spans="1:8">
      <c r="C50" s="87">
        <f>SUM(C5:C48)</f>
        <v>7.5200000000000003E-2</v>
      </c>
    </row>
    <row r="51" spans="1:8" ht="15" thickBot="1">
      <c r="C51" s="207">
        <v>7.5200000000000003E-2</v>
      </c>
    </row>
    <row r="52" spans="1:8">
      <c r="C52" s="87">
        <f>C51-C50</f>
        <v>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179C-F2B3-40DF-BB57-C21DF9AB004A}">
  <sheetPr>
    <tabColor theme="8" tint="0.39997558519241921"/>
  </sheetPr>
  <dimension ref="A1:U39"/>
  <sheetViews>
    <sheetView workbookViewId="0">
      <pane ySplit="4" topLeftCell="A26" activePane="bottomLeft" state="frozen"/>
      <selection activeCell="K19" sqref="C15:K19"/>
      <selection pane="bottomLeft" activeCell="H43" sqref="H43"/>
    </sheetView>
  </sheetViews>
  <sheetFormatPr defaultRowHeight="14.4"/>
  <cols>
    <col min="1" max="1" width="10.6640625" bestFit="1" customWidth="1"/>
    <col min="2" max="2" width="12.33203125" bestFit="1" customWidth="1"/>
    <col min="3" max="3" width="17.88671875" bestFit="1" customWidth="1"/>
    <col min="4" max="4" width="18.6640625" bestFit="1" customWidth="1"/>
    <col min="5" max="5" width="14.44140625" customWidth="1"/>
    <col min="6" max="6" width="14.33203125" bestFit="1" customWidth="1"/>
    <col min="7" max="7" width="15.5546875" bestFit="1" customWidth="1"/>
    <col min="8" max="8" width="13.33203125" customWidth="1"/>
    <col min="9" max="9" width="15.88671875" bestFit="1" customWidth="1"/>
    <col min="10" max="10" width="14.33203125" bestFit="1" customWidth="1"/>
    <col min="11" max="11" width="13.44140625" bestFit="1" customWidth="1"/>
    <col min="12" max="12" width="13.33203125" bestFit="1" customWidth="1"/>
    <col min="13" max="13" width="14" bestFit="1" customWidth="1"/>
    <col min="14" max="15" width="10.33203125" bestFit="1" customWidth="1"/>
  </cols>
  <sheetData>
    <row r="1" spans="1:21">
      <c r="A1" s="216" t="s">
        <v>20</v>
      </c>
      <c r="B1" s="216"/>
      <c r="C1" s="216"/>
      <c r="D1" s="216"/>
      <c r="E1" s="216"/>
      <c r="F1" s="216"/>
      <c r="G1" s="216"/>
      <c r="H1" s="70" t="s">
        <v>67</v>
      </c>
      <c r="J1" s="189" t="s">
        <v>169</v>
      </c>
    </row>
    <row r="2" spans="1:21">
      <c r="A2" s="19" t="s">
        <v>1</v>
      </c>
      <c r="B2" s="19" t="s">
        <v>0</v>
      </c>
      <c r="C2" s="19" t="s">
        <v>18</v>
      </c>
      <c r="D2" s="19" t="s">
        <v>3</v>
      </c>
      <c r="E2" s="19" t="s">
        <v>64</v>
      </c>
      <c r="F2" s="19" t="s">
        <v>65</v>
      </c>
      <c r="G2" s="19" t="s">
        <v>21</v>
      </c>
      <c r="H2" s="70" t="s">
        <v>68</v>
      </c>
      <c r="I2" s="75"/>
      <c r="J2" s="188">
        <v>30164466.591015529</v>
      </c>
      <c r="K2" s="75">
        <f>J2*0.1</f>
        <v>3016446.6591015533</v>
      </c>
      <c r="L2" s="76">
        <f>K2-D3</f>
        <v>-101031.70190844731</v>
      </c>
      <c r="M2" s="76">
        <f>K2-D3</f>
        <v>-101031.70190844731</v>
      </c>
    </row>
    <row r="3" spans="1:21">
      <c r="A3" s="20">
        <v>45139</v>
      </c>
      <c r="B3" s="140">
        <f>VLOOKUP(A3,'INCC - DI'!$H:$I,2,FALSE)</f>
        <v>1075.54</v>
      </c>
      <c r="C3" s="22">
        <f>SUM(C5:C38)</f>
        <v>31174783.610100005</v>
      </c>
      <c r="D3" s="22">
        <f>SUM(D5:D38)</f>
        <v>3117478.3610100006</v>
      </c>
      <c r="E3" s="22">
        <f t="shared" ref="E3:F3" si="0">SUM(E5:E38)</f>
        <v>311747.83610100002</v>
      </c>
      <c r="F3" s="22">
        <f t="shared" si="0"/>
        <v>906298.27451980032</v>
      </c>
      <c r="G3" s="22">
        <f>SUM(G5:G38)</f>
        <v>1899432.2503892002</v>
      </c>
      <c r="H3" s="70">
        <v>0.29970000000000002</v>
      </c>
      <c r="I3" s="76"/>
      <c r="J3">
        <f>G3/D3</f>
        <v>0.60928482267758943</v>
      </c>
      <c r="K3" s="76">
        <f>K2-D3</f>
        <v>-101031.70190844731</v>
      </c>
      <c r="L3" s="76">
        <f>L2*J3</f>
        <v>-61557.082582103394</v>
      </c>
    </row>
    <row r="4" spans="1:21">
      <c r="A4" s="19" t="s">
        <v>5</v>
      </c>
      <c r="B4" s="19" t="s">
        <v>135</v>
      </c>
      <c r="C4" s="19" t="s">
        <v>18</v>
      </c>
      <c r="D4" s="19" t="s">
        <v>3</v>
      </c>
      <c r="E4" s="19" t="s">
        <v>64</v>
      </c>
      <c r="F4" s="19" t="s">
        <v>65</v>
      </c>
      <c r="G4" s="19" t="s">
        <v>21</v>
      </c>
      <c r="K4" s="76"/>
    </row>
    <row r="5" spans="1:21">
      <c r="A5" s="16">
        <v>45170</v>
      </c>
      <c r="B5" s="14">
        <f>VLOOKUP(A5,'INCC - DI'!$H:$I,2,FALSE)</f>
        <v>1076.626</v>
      </c>
      <c r="C5" s="31">
        <v>301307.75</v>
      </c>
      <c r="D5" s="99">
        <f>C5*0.1</f>
        <v>30130.775000000001</v>
      </c>
      <c r="E5" s="31">
        <f>D5*0.1</f>
        <v>3013.0775000000003</v>
      </c>
      <c r="F5" s="31">
        <f t="shared" ref="F5:F11" si="1">D5*$H$3</f>
        <v>9030.1932675000007</v>
      </c>
      <c r="G5" s="31">
        <f>D5-E5-F5</f>
        <v>18087.504232500003</v>
      </c>
    </row>
    <row r="6" spans="1:21">
      <c r="A6" s="16">
        <v>45200</v>
      </c>
      <c r="B6" s="14">
        <f>VLOOKUP(A6,'INCC - DI'!$H:$I,2,FALSE)</f>
        <v>1078.412</v>
      </c>
      <c r="C6" s="31">
        <v>385589.61</v>
      </c>
      <c r="D6" s="99">
        <f t="shared" ref="D6:E10" si="2">C6*0.1</f>
        <v>38558.961000000003</v>
      </c>
      <c r="E6" s="31">
        <f t="shared" si="2"/>
        <v>3855.8961000000004</v>
      </c>
      <c r="F6" s="31">
        <f t="shared" si="1"/>
        <v>11556.120611700002</v>
      </c>
      <c r="G6" s="31">
        <f t="shared" ref="G6:G15" si="3">D6-E6-F6</f>
        <v>23146.944288300001</v>
      </c>
      <c r="H6" s="69"/>
      <c r="I6" s="69"/>
      <c r="J6" s="76">
        <f>J2-C3</f>
        <v>-1010317.0190844759</v>
      </c>
    </row>
    <row r="7" spans="1:21">
      <c r="A7" s="73">
        <v>45231</v>
      </c>
      <c r="B7" s="15">
        <f>VLOOKUP(A7,'INCC - DI'!$H:$I,2,FALSE)</f>
        <v>1082.104</v>
      </c>
      <c r="C7" s="29">
        <v>774859.78</v>
      </c>
      <c r="D7" s="99">
        <f>C7*0.1</f>
        <v>77485.978000000003</v>
      </c>
      <c r="E7" s="29">
        <f>D7*0.1</f>
        <v>7748.5978000000005</v>
      </c>
      <c r="F7" s="29">
        <f t="shared" si="1"/>
        <v>23222.547606600001</v>
      </c>
      <c r="G7" s="29">
        <f t="shared" si="3"/>
        <v>46514.832593400002</v>
      </c>
      <c r="L7" s="76">
        <f>L3/2</f>
        <v>-30778.541291051697</v>
      </c>
    </row>
    <row r="8" spans="1:21">
      <c r="A8" s="16">
        <v>45261</v>
      </c>
      <c r="B8" s="14">
        <f>VLOOKUP(A8,'INCC - DI'!$H:$I,2,FALSE)</f>
        <v>1084.242</v>
      </c>
      <c r="C8" s="31">
        <v>241785.72</v>
      </c>
      <c r="D8" s="99">
        <f t="shared" si="2"/>
        <v>24178.572</v>
      </c>
      <c r="E8" s="31">
        <f t="shared" si="2"/>
        <v>2417.8571999999999</v>
      </c>
      <c r="F8" s="31">
        <f t="shared" si="1"/>
        <v>7246.3180284000009</v>
      </c>
      <c r="G8" s="31">
        <f t="shared" si="3"/>
        <v>14514.396771600001</v>
      </c>
    </row>
    <row r="9" spans="1:21">
      <c r="A9" s="16">
        <v>45292</v>
      </c>
      <c r="B9" s="14">
        <f>VLOOKUP(A9,'INCC - DI'!$H:$I,2,FALSE)</f>
        <v>1084.9860000000001</v>
      </c>
      <c r="C9" s="31">
        <v>621085.62000000011</v>
      </c>
      <c r="D9" s="99">
        <f>C9*0.1</f>
        <v>62108.562000000013</v>
      </c>
      <c r="E9" s="31">
        <f t="shared" si="2"/>
        <v>6210.856200000002</v>
      </c>
      <c r="F9" s="31">
        <f t="shared" si="1"/>
        <v>18613.936031400004</v>
      </c>
      <c r="G9" s="31">
        <f t="shared" si="3"/>
        <v>37283.769768600003</v>
      </c>
      <c r="H9" s="69"/>
      <c r="K9" s="200"/>
    </row>
    <row r="10" spans="1:21">
      <c r="A10" s="73">
        <v>45323</v>
      </c>
      <c r="B10" s="15">
        <f>VLOOKUP(A10,'INCC - DI'!$H:$I,2,FALSE)</f>
        <v>1088.3119999999999</v>
      </c>
      <c r="C10" s="29">
        <v>371238.01999999996</v>
      </c>
      <c r="D10" s="99">
        <f>C10*0.1</f>
        <v>37123.801999999996</v>
      </c>
      <c r="E10" s="29">
        <f t="shared" si="2"/>
        <v>3712.3801999999996</v>
      </c>
      <c r="F10" s="29">
        <f t="shared" si="1"/>
        <v>11126.003459399999</v>
      </c>
      <c r="G10" s="29">
        <f t="shared" si="3"/>
        <v>22285.418340599997</v>
      </c>
      <c r="H10" s="69"/>
      <c r="I10" s="76">
        <v>7.9345157777340816E-2</v>
      </c>
      <c r="J10">
        <v>6.92265057262373E-2</v>
      </c>
      <c r="K10">
        <v>5.79143002478619E-2</v>
      </c>
      <c r="L10">
        <v>1.2238013557666032E-2</v>
      </c>
    </row>
    <row r="11" spans="1:21">
      <c r="A11" s="16">
        <v>45352</v>
      </c>
      <c r="B11" s="14">
        <f>VLOOKUP(A11,'INCC - DI'!$H:$I,2,FALSE)</f>
        <v>1091.25</v>
      </c>
      <c r="C11" s="31">
        <v>206662.42</v>
      </c>
      <c r="D11" s="99">
        <f>C11*0.1</f>
        <v>20666.242000000002</v>
      </c>
      <c r="E11" s="31">
        <f>D11*0.1</f>
        <v>2066.6242000000002</v>
      </c>
      <c r="F11" s="31">
        <f t="shared" si="1"/>
        <v>6193.6727274000013</v>
      </c>
      <c r="G11" s="31">
        <f>D11-E11-F11</f>
        <v>12405.9450726</v>
      </c>
      <c r="H11" s="69"/>
    </row>
    <row r="12" spans="1:21">
      <c r="A12" s="16">
        <v>45383</v>
      </c>
      <c r="B12" s="14">
        <f>VLOOKUP(A12,'INCC - DI'!$H:$I,2,FALSE)</f>
        <v>1092.6849999999999</v>
      </c>
      <c r="C12" s="31">
        <v>703323.95000000007</v>
      </c>
      <c r="D12" s="99">
        <f t="shared" ref="D12:D16" si="4">C12*0.1</f>
        <v>70332.395000000004</v>
      </c>
      <c r="E12" s="31">
        <f t="shared" ref="E12:E15" si="5">D12*0.1</f>
        <v>7033.2395000000006</v>
      </c>
      <c r="F12" s="31">
        <f t="shared" ref="F12:F15" si="6">D12*$H$3</f>
        <v>21078.618781500001</v>
      </c>
      <c r="G12" s="31">
        <f t="shared" si="3"/>
        <v>42220.5367185</v>
      </c>
      <c r="H12" s="69"/>
      <c r="I12" s="76"/>
    </row>
    <row r="13" spans="1:21">
      <c r="A13" s="16">
        <v>45413</v>
      </c>
      <c r="B13" s="14">
        <f>VLOOKUP(A13,'INCC - DI'!$H:$I,2,FALSE)</f>
        <v>1095.7380000000001</v>
      </c>
      <c r="C13" s="17">
        <v>467712.64999999997</v>
      </c>
      <c r="D13" s="99">
        <f t="shared" si="4"/>
        <v>46771.264999999999</v>
      </c>
      <c r="E13" s="31">
        <f t="shared" si="5"/>
        <v>4677.1265000000003</v>
      </c>
      <c r="F13" s="31">
        <f t="shared" si="6"/>
        <v>14017.348120500001</v>
      </c>
      <c r="G13" s="31">
        <f t="shared" si="3"/>
        <v>28076.790379500002</v>
      </c>
    </row>
    <row r="14" spans="1:21">
      <c r="A14" s="16">
        <v>45444</v>
      </c>
      <c r="B14" s="14">
        <f>VLOOKUP(A14,'INCC - DI'!$H:$I,2,FALSE)</f>
        <v>1101.3889999999999</v>
      </c>
      <c r="C14" s="30">
        <v>439239.28000000009</v>
      </c>
      <c r="D14" s="99">
        <f t="shared" si="4"/>
        <v>43923.928000000014</v>
      </c>
      <c r="E14" s="31">
        <f t="shared" si="5"/>
        <v>4392.3928000000014</v>
      </c>
      <c r="F14" s="31">
        <f t="shared" si="6"/>
        <v>13164.001221600005</v>
      </c>
      <c r="G14" s="31">
        <f t="shared" si="3"/>
        <v>26367.53397840001</v>
      </c>
      <c r="H14" s="13"/>
      <c r="L14" s="76">
        <f>L2-L3</f>
        <v>-39474.61932634392</v>
      </c>
    </row>
    <row r="15" spans="1:21">
      <c r="A15" s="16">
        <v>45474</v>
      </c>
      <c r="B15" s="14">
        <f>VLOOKUP(A15,'INCC - DI'!$H:$I,2,FALSE)</f>
        <v>1110.8869999999999</v>
      </c>
      <c r="C15" s="31">
        <v>468343.30999999994</v>
      </c>
      <c r="D15" s="99">
        <f t="shared" si="4"/>
        <v>46834.330999999998</v>
      </c>
      <c r="E15" s="31">
        <f t="shared" si="5"/>
        <v>4683.4331000000002</v>
      </c>
      <c r="F15" s="31">
        <f t="shared" si="6"/>
        <v>14036.2490007</v>
      </c>
      <c r="G15" s="31">
        <f t="shared" si="3"/>
        <v>28114.648899299995</v>
      </c>
      <c r="L15" s="76"/>
      <c r="M15" s="76">
        <f>J10*($L$14/SUM($J$10:$P$10))</f>
        <v>-19606.206811167522</v>
      </c>
      <c r="N15" s="76">
        <f t="shared" ref="N15:O15" si="7">K10*($L$14/SUM($J$10:$P$10))</f>
        <v>-16402.38426122491</v>
      </c>
      <c r="O15" s="76">
        <f t="shared" si="7"/>
        <v>-3466.0282539514774</v>
      </c>
      <c r="P15" s="76">
        <f t="shared" ref="P15:U15" si="8">M10*($L$14/SUM($I$10:$P$10))</f>
        <v>0</v>
      </c>
      <c r="Q15" s="76">
        <f t="shared" si="8"/>
        <v>0</v>
      </c>
      <c r="R15" s="76">
        <f t="shared" si="8"/>
        <v>0</v>
      </c>
      <c r="S15" s="76">
        <f t="shared" si="8"/>
        <v>0</v>
      </c>
      <c r="T15" s="76">
        <f t="shared" si="8"/>
        <v>0</v>
      </c>
      <c r="U15" s="76">
        <f t="shared" si="8"/>
        <v>0</v>
      </c>
    </row>
    <row r="16" spans="1:21">
      <c r="A16" s="16">
        <v>45505</v>
      </c>
      <c r="B16" s="14">
        <f>VLOOKUP(A16,'INCC - DI'!$H:$I,2,FALSE)</f>
        <v>1118.827</v>
      </c>
      <c r="C16" s="17">
        <v>786706.39</v>
      </c>
      <c r="D16" s="99">
        <f t="shared" si="4"/>
        <v>78670.63900000001</v>
      </c>
      <c r="E16" s="31">
        <f t="shared" ref="E16" si="9">D16*0.1</f>
        <v>7867.063900000001</v>
      </c>
      <c r="F16" s="31">
        <f t="shared" ref="F16" si="10">D16*$H$3</f>
        <v>23577.590508300003</v>
      </c>
      <c r="G16" s="31">
        <f t="shared" ref="G16" si="11">D16-E16-F16</f>
        <v>47225.984591700013</v>
      </c>
    </row>
    <row r="17" spans="1:14">
      <c r="A17" s="16">
        <v>45536</v>
      </c>
      <c r="B17" s="14">
        <f>VLOOKUP(A17,'INCC - DI'!$H:$I,2,FALSE)</f>
        <v>1126.9159999999999</v>
      </c>
      <c r="C17" s="17">
        <v>1037696.4199999999</v>
      </c>
      <c r="D17" s="99">
        <f>C17*0.1</f>
        <v>103769.64199999999</v>
      </c>
      <c r="E17" s="31">
        <f>D17*0.1</f>
        <v>10376.9642</v>
      </c>
      <c r="F17" s="31">
        <f>D17*$H$3</f>
        <v>31099.761707400001</v>
      </c>
      <c r="G17" s="31">
        <f>D17-E17-F17</f>
        <v>62292.916092599989</v>
      </c>
    </row>
    <row r="18" spans="1:14">
      <c r="A18" s="16">
        <v>45566</v>
      </c>
      <c r="B18" s="14">
        <f>VLOOKUP(A18,'INCC - DI'!$H:$I,2,FALSE)</f>
        <v>1134.7750000000001</v>
      </c>
      <c r="C18" s="17">
        <v>877827.81</v>
      </c>
      <c r="D18" s="99">
        <f t="shared" ref="D18:D38" si="12">C18*0.1</f>
        <v>87782.781000000017</v>
      </c>
      <c r="E18" s="31">
        <f t="shared" ref="E18:E38" si="13">D18*0.1</f>
        <v>8778.2781000000014</v>
      </c>
      <c r="F18" s="31">
        <f t="shared" ref="F18:F38" si="14">D18*$H$3</f>
        <v>26308.499465700006</v>
      </c>
      <c r="G18" s="31">
        <f t="shared" ref="G18:G38" si="15">D18-E18-F18</f>
        <v>52696.003434300015</v>
      </c>
    </row>
    <row r="19" spans="1:14">
      <c r="A19" s="16">
        <v>45597</v>
      </c>
      <c r="B19" s="14">
        <f>VLOOKUP(A19,'INCC - DI'!$H:$I,2,FALSE)</f>
        <v>1141.3979999999999</v>
      </c>
      <c r="C19" s="17">
        <v>765687.33</v>
      </c>
      <c r="D19" s="99">
        <f t="shared" si="12"/>
        <v>76568.732999999993</v>
      </c>
      <c r="E19" s="31">
        <f t="shared" si="13"/>
        <v>7656.8732999999993</v>
      </c>
      <c r="F19" s="31">
        <f t="shared" si="14"/>
        <v>22947.649280099999</v>
      </c>
      <c r="G19" s="31">
        <f t="shared" si="15"/>
        <v>45964.210419900002</v>
      </c>
      <c r="J19" s="68"/>
    </row>
    <row r="20" spans="1:14">
      <c r="A20" s="16">
        <v>45627</v>
      </c>
      <c r="B20" s="14">
        <f>VLOOKUP(A20,'INCC - DI'!$H:$I,2,FALSE)</f>
        <v>1149.17</v>
      </c>
      <c r="C20" s="17">
        <v>1078375.69</v>
      </c>
      <c r="D20" s="99">
        <f t="shared" si="12"/>
        <v>107837.569</v>
      </c>
      <c r="E20" s="31">
        <f t="shared" si="13"/>
        <v>10783.7569</v>
      </c>
      <c r="F20" s="31">
        <f t="shared" si="14"/>
        <v>32318.919429300004</v>
      </c>
      <c r="G20" s="31">
        <f t="shared" si="15"/>
        <v>64734.892670700006</v>
      </c>
    </row>
    <row r="21" spans="1:14">
      <c r="A21" s="16">
        <v>45658</v>
      </c>
      <c r="B21" s="14">
        <f>VLOOKUP(A21,'INCC - DI'!$H:$I,2,FALSE)</f>
        <v>1153.7249999999999</v>
      </c>
      <c r="C21" s="17">
        <v>885961.03</v>
      </c>
      <c r="D21" s="99">
        <f t="shared" si="12"/>
        <v>88596.103000000003</v>
      </c>
      <c r="E21" s="31">
        <f t="shared" si="13"/>
        <v>8859.6103000000003</v>
      </c>
      <c r="F21" s="31">
        <f t="shared" si="14"/>
        <v>26552.252069100003</v>
      </c>
      <c r="G21" s="31">
        <f t="shared" si="15"/>
        <v>53184.2406309</v>
      </c>
      <c r="M21" s="76"/>
    </row>
    <row r="22" spans="1:14">
      <c r="A22" s="16">
        <v>45689</v>
      </c>
      <c r="B22" s="14">
        <f>VLOOKUP(A22,'INCC - DI'!$H:$I,2,FALSE)</f>
        <v>1159.5360000000001</v>
      </c>
      <c r="C22" s="17">
        <v>1500265.16</v>
      </c>
      <c r="D22" s="99">
        <f t="shared" si="12"/>
        <v>150026.516</v>
      </c>
      <c r="E22" s="31">
        <f t="shared" si="13"/>
        <v>15002.651600000001</v>
      </c>
      <c r="F22" s="31">
        <f t="shared" si="14"/>
        <v>44962.946845200007</v>
      </c>
      <c r="G22" s="31">
        <f t="shared" si="15"/>
        <v>90060.917554799991</v>
      </c>
      <c r="J22" s="68"/>
    </row>
    <row r="23" spans="1:14">
      <c r="A23" s="16">
        <v>45717</v>
      </c>
      <c r="B23" s="14">
        <f>VLOOKUP(A23,'INCC - DI'!$H:$I,2,FALSE)</f>
        <v>1169.116</v>
      </c>
      <c r="C23" s="17">
        <v>1791513.9599999995</v>
      </c>
      <c r="D23" s="99">
        <f t="shared" si="12"/>
        <v>179151.39599999995</v>
      </c>
      <c r="E23" s="31">
        <f>D23*0.1</f>
        <v>17915.139599999995</v>
      </c>
      <c r="F23" s="31">
        <f>D23*$H$3</f>
        <v>53691.673381199987</v>
      </c>
      <c r="G23" s="31">
        <f>D23-E23-F23</f>
        <v>107544.58301879997</v>
      </c>
    </row>
    <row r="24" spans="1:14">
      <c r="A24" s="16">
        <v>45748</v>
      </c>
      <c r="B24" s="14">
        <f>VLOOKUP(A24,'INCC - DI'!$H:$I,2,FALSE)</f>
        <v>1173.7750000000001</v>
      </c>
      <c r="C24" s="17">
        <v>1520454.0000000002</v>
      </c>
      <c r="D24" s="99">
        <f t="shared" si="12"/>
        <v>152045.40000000002</v>
      </c>
      <c r="E24" s="31">
        <f t="shared" si="13"/>
        <v>15204.540000000003</v>
      </c>
      <c r="F24" s="31">
        <f t="shared" si="14"/>
        <v>45568.006380000013</v>
      </c>
      <c r="G24" s="31">
        <f t="shared" si="15"/>
        <v>91272.853620000009</v>
      </c>
      <c r="J24" s="76"/>
      <c r="K24" s="76"/>
      <c r="L24" s="76"/>
      <c r="M24" s="76"/>
      <c r="N24" s="76"/>
    </row>
    <row r="25" spans="1:14">
      <c r="A25" s="16">
        <v>45778</v>
      </c>
      <c r="B25" s="14">
        <f>VLOOKUP(A25,'INCC - DI'!$H:$I,2,FALSE)</f>
        <v>1178.386</v>
      </c>
      <c r="C25" s="17">
        <v>1673636.4200000002</v>
      </c>
      <c r="D25" s="99">
        <f t="shared" si="12"/>
        <v>167363.64200000002</v>
      </c>
      <c r="E25" s="31">
        <f t="shared" si="13"/>
        <v>16736.364200000004</v>
      </c>
      <c r="F25" s="31">
        <f t="shared" si="14"/>
        <v>50158.883507400009</v>
      </c>
      <c r="G25" s="31">
        <f t="shared" si="15"/>
        <v>100468.3942926</v>
      </c>
    </row>
    <row r="26" spans="1:14">
      <c r="A26" s="16">
        <v>45809</v>
      </c>
      <c r="B26" s="14">
        <f>VLOOKUP(A26,'INCC - DI'!$H:$I,2,FALSE)</f>
        <v>1184.462</v>
      </c>
      <c r="C26" s="17">
        <v>1779707.4705999997</v>
      </c>
      <c r="D26" s="99">
        <f t="shared" si="12"/>
        <v>177970.74705999997</v>
      </c>
      <c r="E26" s="31">
        <f t="shared" si="13"/>
        <v>17797.074705999996</v>
      </c>
      <c r="F26" s="31">
        <f t="shared" si="14"/>
        <v>53337.83289388199</v>
      </c>
      <c r="G26" s="31">
        <f t="shared" si="15"/>
        <v>106835.83946011799</v>
      </c>
    </row>
    <row r="27" spans="1:14">
      <c r="A27" s="16">
        <v>45839</v>
      </c>
      <c r="B27" s="14">
        <f>VLOOKUP(A27,'INCC - DI'!$H:$I,2,FALSE)</f>
        <v>1191.327</v>
      </c>
      <c r="C27" s="17">
        <v>2100392.8201000001</v>
      </c>
      <c r="D27" s="99">
        <f t="shared" si="12"/>
        <v>210039.28201000002</v>
      </c>
      <c r="E27" s="31">
        <f t="shared" si="13"/>
        <v>21003.928201000002</v>
      </c>
      <c r="F27" s="31">
        <f t="shared" si="14"/>
        <v>62948.77281839701</v>
      </c>
      <c r="G27" s="31">
        <f t="shared" si="15"/>
        <v>126086.58099060302</v>
      </c>
    </row>
    <row r="28" spans="1:14">
      <c r="A28" s="16">
        <v>45870</v>
      </c>
      <c r="B28" s="14">
        <f>VLOOKUP(A28,'INCC - DI'!$H:$I,2,FALSE)</f>
        <v>1199.509</v>
      </c>
      <c r="C28" s="17">
        <v>1065288.8401999997</v>
      </c>
      <c r="D28" s="99">
        <f>C28*0.1</f>
        <v>106528.88401999998</v>
      </c>
      <c r="E28" s="31">
        <f t="shared" si="13"/>
        <v>10652.888401999999</v>
      </c>
      <c r="F28" s="31">
        <f t="shared" si="14"/>
        <v>31926.706540793999</v>
      </c>
      <c r="G28" s="31">
        <f t="shared" si="15"/>
        <v>63949.289077205991</v>
      </c>
      <c r="I28" s="69"/>
    </row>
    <row r="29" spans="1:14">
      <c r="A29" s="16">
        <v>45901</v>
      </c>
      <c r="B29" s="14">
        <f>VLOOKUP(A29,'INCC - DI'!$H:$I,2,FALSE)</f>
        <v>1210.471</v>
      </c>
      <c r="C29" s="17">
        <v>1406905.8727999998</v>
      </c>
      <c r="D29" s="99">
        <f>C29*0.1</f>
        <v>140690.58727999998</v>
      </c>
      <c r="E29" s="31">
        <f t="shared" si="13"/>
        <v>14069.058727999998</v>
      </c>
      <c r="F29" s="31">
        <f t="shared" si="14"/>
        <v>42164.969007815998</v>
      </c>
      <c r="G29" s="31">
        <f t="shared" si="15"/>
        <v>84456.559544183983</v>
      </c>
      <c r="H29" s="13" t="s">
        <v>177</v>
      </c>
    </row>
    <row r="30" spans="1:14">
      <c r="A30" s="16">
        <v>45931</v>
      </c>
      <c r="B30" s="14">
        <f>VLOOKUP(A30,'INCC - DI'!$H:$I,2,FALSE)</f>
        <v>1216.7059999999999</v>
      </c>
      <c r="C30" s="17">
        <v>1912610.3599</v>
      </c>
      <c r="D30" s="99">
        <f t="shared" si="12"/>
        <v>191261.03599</v>
      </c>
      <c r="E30" s="31">
        <f t="shared" si="13"/>
        <v>19126.103599000002</v>
      </c>
      <c r="F30" s="31">
        <f t="shared" si="14"/>
        <v>57320.932486203004</v>
      </c>
      <c r="G30" s="31">
        <f t="shared" si="15"/>
        <v>114813.99990479701</v>
      </c>
      <c r="H30" s="13" t="s">
        <v>177</v>
      </c>
    </row>
    <row r="31" spans="1:14">
      <c r="A31" s="16">
        <v>45962</v>
      </c>
      <c r="B31" s="14">
        <f>VLOOKUP(A31,'INCC - DI'!$H:$I,2,FALSE)</f>
        <v>1218.7470000000001</v>
      </c>
      <c r="C31" s="17">
        <v>702534.78989999997</v>
      </c>
      <c r="D31" s="99">
        <f t="shared" si="12"/>
        <v>70253.478990000003</v>
      </c>
      <c r="E31" s="31">
        <f t="shared" si="13"/>
        <v>7025.3478990000003</v>
      </c>
      <c r="F31" s="31">
        <f t="shared" si="14"/>
        <v>21054.967653303003</v>
      </c>
      <c r="G31" s="31">
        <f t="shared" si="15"/>
        <v>42173.163437697003</v>
      </c>
      <c r="H31" s="13" t="s">
        <v>177</v>
      </c>
    </row>
    <row r="32" spans="1:14">
      <c r="A32" s="16">
        <v>45992</v>
      </c>
      <c r="B32" s="14">
        <f>VLOOKUP(A32,'INCC - DI'!$H:$I,2,FALSE)</f>
        <v>1222.356</v>
      </c>
      <c r="C32" s="17">
        <v>1665156.8896999999</v>
      </c>
      <c r="D32" s="99">
        <f t="shared" si="12"/>
        <v>166515.68897000002</v>
      </c>
      <c r="E32" s="31">
        <f t="shared" si="13"/>
        <v>16651.568897000001</v>
      </c>
      <c r="F32" s="31">
        <f t="shared" si="14"/>
        <v>49904.751984309012</v>
      </c>
      <c r="G32" s="31">
        <f t="shared" si="15"/>
        <v>99959.368088691015</v>
      </c>
      <c r="H32" s="13" t="s">
        <v>177</v>
      </c>
      <c r="K32" s="69"/>
    </row>
    <row r="33" spans="1:8">
      <c r="A33" s="16">
        <v>46023</v>
      </c>
      <c r="B33" s="14">
        <f>VLOOKUP(A33,'INCC - DI'!$H:$I,2,FALSE)</f>
        <v>1225.633</v>
      </c>
      <c r="C33" s="17">
        <v>868319.97679999995</v>
      </c>
      <c r="D33" s="99">
        <f t="shared" si="12"/>
        <v>86831.99768</v>
      </c>
      <c r="E33" s="31">
        <f t="shared" si="13"/>
        <v>8683.1997680000004</v>
      </c>
      <c r="F33" s="31">
        <f>D33*$H$3-1342.66</f>
        <v>24680.889704696001</v>
      </c>
      <c r="G33" s="31">
        <f t="shared" si="15"/>
        <v>53467.90820730399</v>
      </c>
      <c r="H33" s="13" t="s">
        <v>177</v>
      </c>
    </row>
    <row r="34" spans="1:8">
      <c r="A34" s="16">
        <v>46054</v>
      </c>
      <c r="B34" s="14">
        <f>VLOOKUP(A34,'INCC - DI'!$H:$I,2,FALSE)</f>
        <v>1228.1610000000001</v>
      </c>
      <c r="C34" s="17">
        <v>738730.89990000008</v>
      </c>
      <c r="D34" s="99">
        <f t="shared" si="12"/>
        <v>73873.089990000008</v>
      </c>
      <c r="E34" s="31">
        <f t="shared" si="13"/>
        <v>7387.3089990000008</v>
      </c>
      <c r="F34" s="31">
        <v>20797.11</v>
      </c>
      <c r="G34" s="31">
        <f t="shared" si="15"/>
        <v>45688.670991000006</v>
      </c>
      <c r="H34" s="13" t="s">
        <v>177</v>
      </c>
    </row>
    <row r="35" spans="1:8">
      <c r="A35" s="23">
        <v>46082</v>
      </c>
      <c r="B35" s="24">
        <f>VLOOKUP(A35,'INCC - DI'!$H:$I,2,FALSE)</f>
        <v>1237.0360000000001</v>
      </c>
      <c r="C35" s="26">
        <v>2035863.3702000002</v>
      </c>
      <c r="D35" s="96">
        <f t="shared" si="12"/>
        <v>203586.33702000004</v>
      </c>
      <c r="E35" s="25">
        <f t="shared" si="13"/>
        <v>20358.633702000006</v>
      </c>
      <c r="F35" s="25">
        <v>35690.15</v>
      </c>
      <c r="G35" s="25">
        <f t="shared" si="15"/>
        <v>147537.55331800002</v>
      </c>
      <c r="H35" s="13" t="s">
        <v>177</v>
      </c>
    </row>
    <row r="36" spans="1:8">
      <c r="A36" s="16">
        <v>46113</v>
      </c>
      <c r="B36" s="14">
        <f>VLOOKUP(A36,'INCC - DI'!$H:$I,2,FALSE)</f>
        <v>1240.481</v>
      </c>
      <c r="C36" s="17"/>
      <c r="D36" s="99">
        <f t="shared" si="12"/>
        <v>0</v>
      </c>
      <c r="E36" s="31">
        <f t="shared" si="13"/>
        <v>0</v>
      </c>
      <c r="F36" s="31">
        <f t="shared" si="14"/>
        <v>0</v>
      </c>
      <c r="G36" s="31">
        <f t="shared" si="15"/>
        <v>0</v>
      </c>
    </row>
    <row r="37" spans="1:8">
      <c r="A37" s="16">
        <v>46143</v>
      </c>
      <c r="B37" s="14">
        <f>VLOOKUP(A37,'INCC - DI'!$H:$I,2,FALSE)</f>
        <v>1247.181</v>
      </c>
      <c r="C37" s="17"/>
      <c r="D37" s="99">
        <f t="shared" si="12"/>
        <v>0</v>
      </c>
      <c r="E37" s="31">
        <f t="shared" si="13"/>
        <v>0</v>
      </c>
      <c r="F37" s="31">
        <f t="shared" si="14"/>
        <v>0</v>
      </c>
      <c r="G37" s="31">
        <f t="shared" si="15"/>
        <v>0</v>
      </c>
    </row>
    <row r="38" spans="1:8">
      <c r="A38" s="16">
        <v>46174</v>
      </c>
      <c r="B38" s="14">
        <f>VLOOKUP(A38,'INCC - DI'!$H:$I,2,FALSE)</f>
        <v>1259.652</v>
      </c>
      <c r="C38" s="17"/>
      <c r="D38" s="99">
        <f t="shared" si="12"/>
        <v>0</v>
      </c>
      <c r="E38" s="31">
        <f t="shared" si="13"/>
        <v>0</v>
      </c>
      <c r="F38" s="31">
        <f t="shared" si="14"/>
        <v>0</v>
      </c>
      <c r="G38" s="31">
        <f t="shared" si="15"/>
        <v>0</v>
      </c>
    </row>
    <row r="39" spans="1:8">
      <c r="C39" t="s">
        <v>117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FAA07-CD8E-48B2-801B-D1B957E444D5}">
  <sheetPr>
    <tabColor theme="8" tint="0.39997558519241921"/>
  </sheetPr>
  <dimension ref="A1:BQ12"/>
  <sheetViews>
    <sheetView showGridLines="0" topLeftCell="AZ1" workbookViewId="0">
      <selection activeCell="K19" sqref="C15:K19"/>
    </sheetView>
  </sheetViews>
  <sheetFormatPr defaultRowHeight="14.4"/>
  <cols>
    <col min="1" max="1" width="48.6640625" bestFit="1" customWidth="1"/>
    <col min="2" max="2" width="10.5546875" bestFit="1" customWidth="1"/>
    <col min="3" max="3" width="14.88671875" bestFit="1" customWidth="1"/>
    <col min="4" max="4" width="19" bestFit="1" customWidth="1"/>
    <col min="5" max="5" width="19.5546875" customWidth="1"/>
    <col min="6" max="6" width="11.5546875" bestFit="1" customWidth="1"/>
    <col min="7" max="7" width="16.44140625" bestFit="1" customWidth="1"/>
    <col min="8" max="8" width="6.33203125" bestFit="1" customWidth="1"/>
    <col min="9" max="9" width="13.5546875" bestFit="1" customWidth="1"/>
    <col min="10" max="10" width="6.6640625" customWidth="1"/>
    <col min="11" max="11" width="12.109375" customWidth="1"/>
    <col min="12" max="12" width="6.6640625" customWidth="1"/>
    <col min="13" max="13" width="10.44140625" bestFit="1" customWidth="1"/>
    <col min="14" max="14" width="6.6640625" customWidth="1"/>
    <col min="15" max="15" width="10.44140625" bestFit="1" customWidth="1"/>
    <col min="16" max="16" width="6.6640625" customWidth="1"/>
    <col min="17" max="17" width="10.44140625" bestFit="1" customWidth="1"/>
    <col min="18" max="18" width="6.6640625" customWidth="1"/>
    <col min="19" max="19" width="10.44140625" bestFit="1" customWidth="1"/>
    <col min="20" max="20" width="6.6640625" customWidth="1"/>
    <col min="21" max="21" width="10.44140625" bestFit="1" customWidth="1"/>
    <col min="22" max="22" width="6.6640625" customWidth="1"/>
    <col min="23" max="23" width="10.44140625" bestFit="1" customWidth="1"/>
    <col min="24" max="24" width="6.6640625" customWidth="1"/>
    <col min="25" max="25" width="10.44140625" bestFit="1" customWidth="1"/>
    <col min="26" max="26" width="6.6640625" customWidth="1"/>
    <col min="27" max="27" width="10.44140625" bestFit="1" customWidth="1"/>
    <col min="28" max="28" width="6.6640625" customWidth="1"/>
    <col min="29" max="29" width="10.44140625" bestFit="1" customWidth="1"/>
    <col min="30" max="30" width="6.6640625" customWidth="1"/>
    <col min="31" max="31" width="10.44140625" bestFit="1" customWidth="1"/>
    <col min="32" max="32" width="6.6640625" customWidth="1"/>
    <col min="33" max="33" width="10.44140625" bestFit="1" customWidth="1"/>
    <col min="34" max="34" width="6.6640625" customWidth="1"/>
    <col min="35" max="35" width="10.44140625" bestFit="1" customWidth="1"/>
    <col min="36" max="36" width="6.6640625" customWidth="1"/>
    <col min="37" max="37" width="10.44140625" bestFit="1" customWidth="1"/>
    <col min="38" max="38" width="6.6640625" customWidth="1"/>
    <col min="39" max="39" width="10.44140625" bestFit="1" customWidth="1"/>
    <col min="40" max="40" width="6.6640625" customWidth="1"/>
    <col min="41" max="41" width="10.44140625" bestFit="1" customWidth="1"/>
    <col min="42" max="42" width="6.6640625" customWidth="1"/>
    <col min="43" max="43" width="10.44140625" bestFit="1" customWidth="1"/>
    <col min="44" max="44" width="6.6640625" customWidth="1"/>
    <col min="45" max="45" width="10.44140625" bestFit="1" customWidth="1"/>
    <col min="46" max="46" width="6.6640625" customWidth="1"/>
    <col min="47" max="47" width="10.44140625" bestFit="1" customWidth="1"/>
    <col min="48" max="48" width="6.6640625" customWidth="1"/>
    <col min="49" max="49" width="10.44140625" bestFit="1" customWidth="1"/>
    <col min="50" max="50" width="6.6640625" customWidth="1"/>
    <col min="51" max="51" width="10.44140625" bestFit="1" customWidth="1"/>
    <col min="52" max="52" width="6.6640625" customWidth="1"/>
    <col min="53" max="53" width="10.44140625" bestFit="1" customWidth="1"/>
    <col min="55" max="55" width="10.44140625" bestFit="1" customWidth="1"/>
    <col min="57" max="57" width="10.44140625" bestFit="1" customWidth="1"/>
    <col min="59" max="59" width="10.44140625" bestFit="1" customWidth="1"/>
    <col min="61" max="61" width="10.44140625" bestFit="1" customWidth="1"/>
    <col min="63" max="63" width="10.44140625" bestFit="1" customWidth="1"/>
    <col min="65" max="65" width="10.44140625" bestFit="1" customWidth="1"/>
    <col min="67" max="67" width="10.44140625" bestFit="1" customWidth="1"/>
    <col min="69" max="69" width="10.88671875" bestFit="1" customWidth="1"/>
  </cols>
  <sheetData>
    <row r="1" spans="1:69" ht="15" thickBot="1">
      <c r="E1" s="43"/>
      <c r="F1" s="221" t="s">
        <v>34</v>
      </c>
      <c r="G1" s="222"/>
      <c r="H1" s="221" t="s">
        <v>35</v>
      </c>
      <c r="I1" s="222"/>
      <c r="J1" s="219" t="s">
        <v>36</v>
      </c>
      <c r="K1" s="220"/>
      <c r="L1" s="219" t="s">
        <v>37</v>
      </c>
      <c r="M1" s="220"/>
      <c r="N1" s="219" t="s">
        <v>38</v>
      </c>
      <c r="O1" s="220"/>
      <c r="P1" s="219" t="s">
        <v>39</v>
      </c>
      <c r="Q1" s="220"/>
      <c r="R1" s="219" t="s">
        <v>40</v>
      </c>
      <c r="S1" s="220"/>
      <c r="T1" s="219" t="s">
        <v>41</v>
      </c>
      <c r="U1" s="220"/>
      <c r="V1" s="219" t="s">
        <v>42</v>
      </c>
      <c r="W1" s="220"/>
      <c r="X1" s="219" t="s">
        <v>43</v>
      </c>
      <c r="Y1" s="220"/>
      <c r="Z1" s="219" t="s">
        <v>44</v>
      </c>
      <c r="AA1" s="220"/>
      <c r="AB1" s="219" t="s">
        <v>45</v>
      </c>
      <c r="AC1" s="220"/>
      <c r="AD1" s="219" t="s">
        <v>46</v>
      </c>
      <c r="AE1" s="220"/>
      <c r="AF1" s="219" t="s">
        <v>47</v>
      </c>
      <c r="AG1" s="220"/>
      <c r="AH1" s="219" t="s">
        <v>48</v>
      </c>
      <c r="AI1" s="220"/>
      <c r="AJ1" s="219" t="s">
        <v>60</v>
      </c>
      <c r="AK1" s="220"/>
      <c r="AL1" s="219" t="s">
        <v>63</v>
      </c>
      <c r="AM1" s="220"/>
      <c r="AN1" s="219" t="s">
        <v>66</v>
      </c>
      <c r="AO1" s="220"/>
      <c r="AP1" s="219" t="s">
        <v>69</v>
      </c>
      <c r="AQ1" s="220"/>
      <c r="AR1" s="219" t="s">
        <v>74</v>
      </c>
      <c r="AS1" s="220"/>
      <c r="AT1" s="219" t="s">
        <v>75</v>
      </c>
      <c r="AU1" s="220"/>
      <c r="AV1" s="219" t="s">
        <v>84</v>
      </c>
      <c r="AW1" s="220"/>
      <c r="AX1" s="219" t="s">
        <v>90</v>
      </c>
      <c r="AY1" s="220"/>
      <c r="AZ1" s="219" t="s">
        <v>99</v>
      </c>
      <c r="BA1" s="220"/>
      <c r="BB1" s="219" t="s">
        <v>109</v>
      </c>
      <c r="BC1" s="220"/>
      <c r="BD1" s="219" t="s">
        <v>116</v>
      </c>
      <c r="BE1" s="220"/>
      <c r="BF1" s="219" t="s">
        <v>120</v>
      </c>
      <c r="BG1" s="220"/>
      <c r="BH1" s="219" t="s">
        <v>123</v>
      </c>
      <c r="BI1" s="220"/>
      <c r="BJ1" s="219" t="s">
        <v>141</v>
      </c>
      <c r="BK1" s="220"/>
      <c r="BL1" s="219" t="s">
        <v>142</v>
      </c>
      <c r="BM1" s="220"/>
      <c r="BN1" s="219" t="s">
        <v>143</v>
      </c>
      <c r="BO1" s="220"/>
      <c r="BP1" s="219" t="s">
        <v>144</v>
      </c>
      <c r="BQ1" s="220"/>
    </row>
    <row r="2" spans="1:69" ht="15" thickBot="1">
      <c r="F2" s="223"/>
      <c r="G2" s="224"/>
      <c r="H2" s="223"/>
      <c r="I2" s="224"/>
      <c r="J2" s="219">
        <v>44805</v>
      </c>
      <c r="K2" s="220"/>
      <c r="L2" s="219">
        <v>44835</v>
      </c>
      <c r="M2" s="220"/>
      <c r="N2" s="219">
        <v>44866</v>
      </c>
      <c r="O2" s="220"/>
      <c r="P2" s="219">
        <v>44896</v>
      </c>
      <c r="Q2" s="220"/>
      <c r="R2" s="219">
        <v>44927</v>
      </c>
      <c r="S2" s="220"/>
      <c r="T2" s="219">
        <v>44958</v>
      </c>
      <c r="U2" s="220"/>
      <c r="V2" s="219">
        <v>44986</v>
      </c>
      <c r="W2" s="220"/>
      <c r="X2" s="219">
        <v>45017</v>
      </c>
      <c r="Y2" s="220"/>
      <c r="Z2" s="219">
        <v>45047</v>
      </c>
      <c r="AA2" s="220"/>
      <c r="AB2" s="219">
        <v>45078</v>
      </c>
      <c r="AC2" s="220"/>
      <c r="AD2" s="219">
        <v>45108</v>
      </c>
      <c r="AE2" s="220"/>
      <c r="AF2" s="219">
        <v>45139</v>
      </c>
      <c r="AG2" s="220"/>
      <c r="AH2" s="219">
        <v>45170</v>
      </c>
      <c r="AI2" s="220"/>
      <c r="AJ2" s="219">
        <v>45200</v>
      </c>
      <c r="AK2" s="220"/>
      <c r="AL2" s="219">
        <v>45231</v>
      </c>
      <c r="AM2" s="220"/>
      <c r="AN2" s="219">
        <v>45261</v>
      </c>
      <c r="AO2" s="220"/>
      <c r="AP2" s="219">
        <v>45292</v>
      </c>
      <c r="AQ2" s="220"/>
      <c r="AR2" s="219">
        <v>45323</v>
      </c>
      <c r="AS2" s="220"/>
      <c r="AT2" s="219">
        <v>45352</v>
      </c>
      <c r="AU2" s="220"/>
      <c r="AV2" s="219">
        <v>45383</v>
      </c>
      <c r="AW2" s="220"/>
      <c r="AX2" s="219">
        <v>45413</v>
      </c>
      <c r="AY2" s="220"/>
      <c r="AZ2" s="219">
        <v>45444</v>
      </c>
      <c r="BA2" s="220"/>
      <c r="BB2" s="219">
        <v>45474</v>
      </c>
      <c r="BC2" s="220"/>
      <c r="BD2" s="219">
        <v>45505</v>
      </c>
      <c r="BE2" s="220"/>
      <c r="BF2" s="219">
        <v>45536</v>
      </c>
      <c r="BG2" s="220"/>
      <c r="BH2" s="219">
        <v>45566</v>
      </c>
      <c r="BI2" s="220"/>
      <c r="BJ2" s="219">
        <v>45597</v>
      </c>
      <c r="BK2" s="220"/>
      <c r="BL2" s="219">
        <v>45627</v>
      </c>
      <c r="BM2" s="220"/>
      <c r="BN2" s="219">
        <v>45658</v>
      </c>
      <c r="BO2" s="220"/>
      <c r="BP2" s="219">
        <v>45689</v>
      </c>
      <c r="BQ2" s="220"/>
    </row>
    <row r="3" spans="1:69">
      <c r="A3" s="44" t="s">
        <v>49</v>
      </c>
      <c r="B3" s="45" t="s">
        <v>50</v>
      </c>
      <c r="C3" s="45" t="s">
        <v>51</v>
      </c>
      <c r="D3" s="45" t="s">
        <v>52</v>
      </c>
      <c r="E3" s="46" t="s">
        <v>53</v>
      </c>
      <c r="F3" s="47" t="s">
        <v>54</v>
      </c>
      <c r="G3" s="48" t="s">
        <v>55</v>
      </c>
      <c r="H3" s="47" t="s">
        <v>54</v>
      </c>
      <c r="I3" s="48" t="s">
        <v>55</v>
      </c>
      <c r="J3" s="47" t="s">
        <v>54</v>
      </c>
      <c r="K3" s="48" t="s">
        <v>55</v>
      </c>
      <c r="L3" s="47" t="s">
        <v>54</v>
      </c>
      <c r="M3" s="48" t="s">
        <v>55</v>
      </c>
      <c r="N3" s="47" t="s">
        <v>54</v>
      </c>
      <c r="O3" s="48" t="s">
        <v>55</v>
      </c>
      <c r="P3" s="47" t="s">
        <v>54</v>
      </c>
      <c r="Q3" s="48" t="s">
        <v>55</v>
      </c>
      <c r="R3" s="47" t="s">
        <v>54</v>
      </c>
      <c r="S3" s="48" t="s">
        <v>55</v>
      </c>
      <c r="T3" s="47" t="s">
        <v>54</v>
      </c>
      <c r="U3" s="48" t="s">
        <v>55</v>
      </c>
      <c r="V3" s="47" t="s">
        <v>54</v>
      </c>
      <c r="W3" s="48" t="s">
        <v>55</v>
      </c>
      <c r="X3" s="47" t="s">
        <v>54</v>
      </c>
      <c r="Y3" s="48" t="s">
        <v>55</v>
      </c>
      <c r="Z3" s="47" t="s">
        <v>54</v>
      </c>
      <c r="AA3" s="48" t="s">
        <v>55</v>
      </c>
      <c r="AB3" s="47" t="s">
        <v>54</v>
      </c>
      <c r="AC3" s="48" t="s">
        <v>55</v>
      </c>
      <c r="AD3" s="47" t="s">
        <v>54</v>
      </c>
      <c r="AE3" s="48" t="s">
        <v>55</v>
      </c>
      <c r="AF3" s="47" t="s">
        <v>54</v>
      </c>
      <c r="AG3" s="48" t="s">
        <v>55</v>
      </c>
      <c r="AH3" s="47" t="s">
        <v>54</v>
      </c>
      <c r="AI3" s="48" t="s">
        <v>55</v>
      </c>
      <c r="AJ3" s="47" t="s">
        <v>54</v>
      </c>
      <c r="AK3" s="48" t="s">
        <v>55</v>
      </c>
      <c r="AL3" s="47" t="s">
        <v>54</v>
      </c>
      <c r="AM3" s="48" t="s">
        <v>55</v>
      </c>
      <c r="AN3" s="47" t="s">
        <v>54</v>
      </c>
      <c r="AO3" s="48" t="s">
        <v>55</v>
      </c>
      <c r="AP3" s="47" t="s">
        <v>54</v>
      </c>
      <c r="AQ3" s="48" t="s">
        <v>55</v>
      </c>
      <c r="AR3" s="47" t="s">
        <v>54</v>
      </c>
      <c r="AS3" s="48" t="s">
        <v>55</v>
      </c>
      <c r="AT3" s="47" t="s">
        <v>54</v>
      </c>
      <c r="AU3" s="48" t="s">
        <v>55</v>
      </c>
      <c r="AV3" s="47" t="s">
        <v>54</v>
      </c>
      <c r="AW3" s="48" t="s">
        <v>55</v>
      </c>
      <c r="AX3" s="47" t="s">
        <v>54</v>
      </c>
      <c r="AY3" s="48" t="s">
        <v>55</v>
      </c>
      <c r="AZ3" s="47" t="s">
        <v>54</v>
      </c>
      <c r="BA3" s="48" t="s">
        <v>55</v>
      </c>
      <c r="BB3" s="47" t="s">
        <v>54</v>
      </c>
      <c r="BC3" s="48" t="s">
        <v>55</v>
      </c>
      <c r="BD3" s="47" t="s">
        <v>54</v>
      </c>
      <c r="BE3" s="48" t="s">
        <v>55</v>
      </c>
      <c r="BF3" s="47" t="s">
        <v>54</v>
      </c>
      <c r="BG3" s="48" t="s">
        <v>55</v>
      </c>
      <c r="BH3" s="47" t="s">
        <v>54</v>
      </c>
      <c r="BI3" s="48" t="s">
        <v>55</v>
      </c>
      <c r="BJ3" s="47" t="s">
        <v>54</v>
      </c>
      <c r="BK3" s="48" t="s">
        <v>55</v>
      </c>
      <c r="BL3" s="47" t="s">
        <v>54</v>
      </c>
      <c r="BM3" s="48" t="s">
        <v>55</v>
      </c>
      <c r="BN3" s="47" t="s">
        <v>54</v>
      </c>
      <c r="BO3" s="48" t="s">
        <v>55</v>
      </c>
      <c r="BP3" s="47" t="s">
        <v>54</v>
      </c>
      <c r="BQ3" s="48" t="s">
        <v>55</v>
      </c>
    </row>
    <row r="4" spans="1:69">
      <c r="A4" s="49" t="s">
        <v>56</v>
      </c>
      <c r="B4" s="50" t="s">
        <v>57</v>
      </c>
      <c r="C4" s="51">
        <v>32</v>
      </c>
      <c r="D4" s="51">
        <v>69023</v>
      </c>
      <c r="E4" s="52">
        <f>C4*D4</f>
        <v>2208736</v>
      </c>
      <c r="F4" s="53">
        <f>C4-H4</f>
        <v>2</v>
      </c>
      <c r="G4" s="54">
        <f>E4-I4</f>
        <v>138046</v>
      </c>
      <c r="H4" s="55">
        <f>SUMIFS($J$4:$CU$4,$J$3:$CU$3,$J$3)</f>
        <v>30</v>
      </c>
      <c r="I4" s="55">
        <f>SUMIFS($J$4:$CU$4,$J$3:$CU$3,$K$3)</f>
        <v>2070690</v>
      </c>
      <c r="J4" s="53">
        <v>1</v>
      </c>
      <c r="K4" s="54">
        <f>D4*J4</f>
        <v>69023</v>
      </c>
      <c r="L4" s="53">
        <v>1</v>
      </c>
      <c r="M4" s="54">
        <v>69023</v>
      </c>
      <c r="N4" s="53">
        <v>1</v>
      </c>
      <c r="O4" s="54">
        <v>69023</v>
      </c>
      <c r="P4" s="53">
        <v>1</v>
      </c>
      <c r="Q4" s="54">
        <v>69023</v>
      </c>
      <c r="R4" s="53">
        <v>1</v>
      </c>
      <c r="S4" s="54">
        <v>69023</v>
      </c>
      <c r="T4" s="53">
        <v>1</v>
      </c>
      <c r="U4" s="54">
        <v>69023</v>
      </c>
      <c r="V4" s="53">
        <v>1</v>
      </c>
      <c r="W4" s="54">
        <v>69023</v>
      </c>
      <c r="X4" s="53">
        <v>1</v>
      </c>
      <c r="Y4" s="54">
        <v>69023</v>
      </c>
      <c r="Z4" s="53">
        <v>1</v>
      </c>
      <c r="AA4" s="54">
        <v>69023</v>
      </c>
      <c r="AB4" s="53">
        <v>1</v>
      </c>
      <c r="AC4" s="54">
        <v>69023</v>
      </c>
      <c r="AD4" s="53">
        <v>1</v>
      </c>
      <c r="AE4" s="54">
        <v>69023</v>
      </c>
      <c r="AF4" s="53">
        <v>1</v>
      </c>
      <c r="AG4" s="54">
        <v>69023</v>
      </c>
      <c r="AH4" s="53">
        <v>1</v>
      </c>
      <c r="AI4" s="54">
        <v>69023</v>
      </c>
      <c r="AJ4" s="53">
        <v>1</v>
      </c>
      <c r="AK4" s="54">
        <v>69023</v>
      </c>
      <c r="AL4" s="53">
        <v>1</v>
      </c>
      <c r="AM4" s="54">
        <v>69023</v>
      </c>
      <c r="AN4" s="53">
        <v>1</v>
      </c>
      <c r="AO4" s="54">
        <v>69023</v>
      </c>
      <c r="AP4" s="53">
        <v>1</v>
      </c>
      <c r="AQ4" s="54">
        <v>69023</v>
      </c>
      <c r="AR4" s="53">
        <v>1</v>
      </c>
      <c r="AS4" s="54">
        <v>69023</v>
      </c>
      <c r="AT4" s="53">
        <v>1</v>
      </c>
      <c r="AU4" s="54">
        <v>69023</v>
      </c>
      <c r="AV4" s="53">
        <v>1</v>
      </c>
      <c r="AW4" s="54">
        <v>69023</v>
      </c>
      <c r="AX4" s="53">
        <v>1</v>
      </c>
      <c r="AY4" s="54">
        <v>69023</v>
      </c>
      <c r="AZ4" s="53">
        <v>1</v>
      </c>
      <c r="BA4" s="54">
        <v>69023</v>
      </c>
      <c r="BB4" s="53">
        <v>1</v>
      </c>
      <c r="BC4" s="54">
        <v>69023</v>
      </c>
      <c r="BD4" s="53">
        <v>1</v>
      </c>
      <c r="BE4" s="54">
        <v>69023</v>
      </c>
      <c r="BF4" s="53">
        <v>1</v>
      </c>
      <c r="BG4" s="54">
        <v>69023</v>
      </c>
      <c r="BH4" s="53">
        <v>1</v>
      </c>
      <c r="BI4" s="54">
        <v>69023</v>
      </c>
      <c r="BJ4" s="53">
        <v>1</v>
      </c>
      <c r="BK4" s="54">
        <v>69023</v>
      </c>
      <c r="BL4" s="53">
        <v>1</v>
      </c>
      <c r="BM4" s="54">
        <v>69023</v>
      </c>
      <c r="BN4" s="53">
        <v>1</v>
      </c>
      <c r="BO4" s="54">
        <v>69023</v>
      </c>
      <c r="BP4" s="53">
        <v>1</v>
      </c>
      <c r="BQ4" s="54">
        <v>69023</v>
      </c>
    </row>
    <row r="5" spans="1:69">
      <c r="A5" s="56" t="s">
        <v>58</v>
      </c>
      <c r="B5" s="50" t="s">
        <v>57</v>
      </c>
      <c r="C5" s="51">
        <v>1</v>
      </c>
      <c r="D5" s="51">
        <v>1767000</v>
      </c>
      <c r="E5" s="52">
        <f>C5*D5</f>
        <v>1767000</v>
      </c>
      <c r="F5" s="53">
        <f>C5-H5</f>
        <v>1</v>
      </c>
      <c r="G5" s="54">
        <f>D5-I5</f>
        <v>1767000</v>
      </c>
      <c r="H5" s="55"/>
      <c r="I5" s="55"/>
      <c r="J5" s="53"/>
      <c r="K5" s="54"/>
      <c r="L5" s="53"/>
      <c r="M5" s="54"/>
      <c r="N5" s="53"/>
      <c r="O5" s="54"/>
      <c r="P5" s="53"/>
      <c r="Q5" s="54"/>
      <c r="R5" s="53"/>
      <c r="S5" s="54"/>
      <c r="T5" s="53"/>
      <c r="U5" s="54"/>
      <c r="V5" s="53"/>
      <c r="W5" s="54"/>
      <c r="X5" s="53"/>
      <c r="Y5" s="54"/>
      <c r="Z5" s="53"/>
      <c r="AA5" s="54"/>
      <c r="AB5" s="53"/>
      <c r="AC5" s="54"/>
      <c r="AD5" s="53"/>
      <c r="AE5" s="54"/>
      <c r="AF5" s="53"/>
      <c r="AG5" s="54"/>
      <c r="AH5" s="53"/>
      <c r="AI5" s="54"/>
      <c r="AJ5" s="53"/>
      <c r="AK5" s="54"/>
      <c r="AL5" s="53"/>
      <c r="AM5" s="54"/>
      <c r="AN5" s="53"/>
      <c r="AO5" s="54"/>
      <c r="AP5" s="53"/>
      <c r="AQ5" s="54"/>
      <c r="AR5" s="53"/>
      <c r="AS5" s="54"/>
      <c r="AT5" s="53"/>
      <c r="AU5" s="54"/>
      <c r="AV5" s="53"/>
      <c r="AW5" s="54"/>
      <c r="AX5" s="53"/>
      <c r="AY5" s="54"/>
      <c r="AZ5" s="53"/>
      <c r="BA5" s="54"/>
      <c r="BB5" s="53"/>
      <c r="BC5" s="54"/>
      <c r="BD5" s="53"/>
      <c r="BE5" s="54"/>
      <c r="BF5" s="53"/>
      <c r="BG5" s="54"/>
      <c r="BH5" s="53"/>
      <c r="BI5" s="54"/>
      <c r="BJ5" s="53"/>
      <c r="BK5" s="54"/>
      <c r="BL5" s="53"/>
      <c r="BM5" s="54"/>
      <c r="BN5" s="53"/>
      <c r="BO5" s="54"/>
      <c r="BP5" s="53"/>
      <c r="BQ5" s="54"/>
    </row>
    <row r="6" spans="1:69" ht="15" thickBot="1">
      <c r="A6" s="57" t="s">
        <v>59</v>
      </c>
      <c r="B6" s="58" t="s">
        <v>57</v>
      </c>
      <c r="C6" s="59">
        <v>1</v>
      </c>
      <c r="D6" s="59">
        <v>54264</v>
      </c>
      <c r="E6" s="60">
        <f>C6*D6</f>
        <v>54264</v>
      </c>
      <c r="F6" s="61">
        <f>C6-H6</f>
        <v>1</v>
      </c>
      <c r="G6" s="62">
        <f>D6-I6</f>
        <v>54264</v>
      </c>
      <c r="H6" s="63"/>
      <c r="I6" s="63"/>
      <c r="J6" s="61"/>
      <c r="K6" s="62"/>
      <c r="L6" s="61"/>
      <c r="M6" s="62"/>
      <c r="N6" s="61"/>
      <c r="O6" s="62"/>
      <c r="P6" s="61"/>
      <c r="Q6" s="62"/>
      <c r="R6" s="61"/>
      <c r="S6" s="62"/>
      <c r="T6" s="61"/>
      <c r="U6" s="62"/>
      <c r="V6" s="61"/>
      <c r="W6" s="62"/>
      <c r="X6" s="61"/>
      <c r="Y6" s="62"/>
      <c r="Z6" s="61"/>
      <c r="AA6" s="62"/>
      <c r="AB6" s="61"/>
      <c r="AC6" s="62"/>
      <c r="AD6" s="61"/>
      <c r="AE6" s="62"/>
      <c r="AF6" s="61"/>
      <c r="AG6" s="62"/>
      <c r="AH6" s="61"/>
      <c r="AI6" s="62"/>
      <c r="AJ6" s="61"/>
      <c r="AK6" s="62"/>
      <c r="AL6" s="61"/>
      <c r="AM6" s="62"/>
      <c r="AN6" s="61"/>
      <c r="AO6" s="62"/>
      <c r="AP6" s="61"/>
      <c r="AQ6" s="62"/>
      <c r="AR6" s="61"/>
      <c r="AS6" s="62"/>
      <c r="AT6" s="61"/>
      <c r="AU6" s="62"/>
      <c r="AV6" s="61"/>
      <c r="AW6" s="62"/>
      <c r="AX6" s="61"/>
      <c r="AY6" s="62"/>
      <c r="AZ6" s="61"/>
      <c r="BA6" s="62"/>
      <c r="BB6" s="61"/>
      <c r="BC6" s="62"/>
      <c r="BD6" s="61"/>
      <c r="BE6" s="62"/>
      <c r="BF6" s="61"/>
      <c r="BG6" s="62"/>
      <c r="BH6" s="61"/>
      <c r="BI6" s="62"/>
      <c r="BJ6" s="61"/>
      <c r="BK6" s="62"/>
      <c r="BL6" s="61"/>
      <c r="BM6" s="62"/>
      <c r="BN6" s="61"/>
      <c r="BO6" s="62"/>
      <c r="BP6" s="61"/>
      <c r="BQ6" s="62"/>
    </row>
    <row r="7" spans="1:69" ht="15" thickBot="1">
      <c r="E7" s="100">
        <f>SUM(E4:E6)</f>
        <v>4030000</v>
      </c>
      <c r="F7" s="101"/>
      <c r="G7" s="102">
        <f>SUM(G4:G6)</f>
        <v>1959310</v>
      </c>
      <c r="H7" s="103"/>
      <c r="I7" s="102">
        <f>SUM(I4:I6)</f>
        <v>2070690</v>
      </c>
      <c r="J7" s="101"/>
      <c r="K7" s="102">
        <f>SUM(K4:K6)</f>
        <v>69023</v>
      </c>
      <c r="L7" s="101"/>
      <c r="M7" s="102">
        <f>SUM(M4:M6)</f>
        <v>69023</v>
      </c>
      <c r="N7" s="101"/>
      <c r="O7" s="102">
        <f>SUM(O4:O6)</f>
        <v>69023</v>
      </c>
      <c r="P7" s="101"/>
      <c r="Q7" s="102">
        <f>SUM(Q4:Q6)</f>
        <v>69023</v>
      </c>
      <c r="R7" s="101"/>
      <c r="S7" s="102">
        <f>SUM(S4:S6)</f>
        <v>69023</v>
      </c>
      <c r="T7" s="101"/>
      <c r="U7" s="102">
        <f>SUM(U4:U6)</f>
        <v>69023</v>
      </c>
      <c r="V7" s="101"/>
      <c r="W7" s="102">
        <f>SUM(W4:W6)</f>
        <v>69023</v>
      </c>
      <c r="X7" s="101"/>
      <c r="Y7" s="102">
        <f>SUM(Y4:Y6)</f>
        <v>69023</v>
      </c>
      <c r="Z7" s="101"/>
      <c r="AA7" s="102">
        <f>SUM(AA4:AA6)</f>
        <v>69023</v>
      </c>
      <c r="AB7" s="101"/>
      <c r="AC7" s="102">
        <f>SUM(AC4:AC6)</f>
        <v>69023</v>
      </c>
      <c r="AD7" s="101"/>
      <c r="AE7" s="102">
        <f>SUM(AE4:AE6)</f>
        <v>69023</v>
      </c>
      <c r="AF7" s="101"/>
      <c r="AG7" s="102">
        <f>SUM(AG4:AG6)</f>
        <v>69023</v>
      </c>
      <c r="AH7" s="101"/>
      <c r="AI7" s="102">
        <f>SUM(AI4:AI6)</f>
        <v>69023</v>
      </c>
      <c r="AJ7" s="101"/>
      <c r="AK7" s="102">
        <f>SUM(AK4:AK6)</f>
        <v>69023</v>
      </c>
      <c r="AL7" s="101"/>
      <c r="AM7" s="102">
        <f>SUM(AM4:AM6)</f>
        <v>69023</v>
      </c>
      <c r="AN7" s="101"/>
      <c r="AO7" s="102">
        <f>SUM(AO4:AO6)</f>
        <v>69023</v>
      </c>
      <c r="AP7" s="101"/>
      <c r="AQ7" s="102">
        <f>SUM(AQ4:AQ6)</f>
        <v>69023</v>
      </c>
      <c r="AR7" s="101"/>
      <c r="AS7" s="102">
        <f>SUM(AS4:AS6)</f>
        <v>69023</v>
      </c>
      <c r="AT7" s="101"/>
      <c r="AU7" s="102">
        <f>SUM(AU4:AU6)</f>
        <v>69023</v>
      </c>
      <c r="AV7" s="101"/>
      <c r="AW7" s="102">
        <f>SUM(AW4:AW6)</f>
        <v>69023</v>
      </c>
      <c r="AX7" s="101"/>
      <c r="AY7" s="102">
        <f>SUM(AY4:AY6)</f>
        <v>69023</v>
      </c>
      <c r="AZ7" s="101"/>
      <c r="BA7" s="102">
        <f>SUM(BA4:BA6)</f>
        <v>69023</v>
      </c>
      <c r="BB7" s="101"/>
      <c r="BC7" s="102">
        <f>SUM(BC4:BC6)</f>
        <v>69023</v>
      </c>
      <c r="BD7" s="101"/>
      <c r="BE7" s="102">
        <f>SUM(BE4:BE6)</f>
        <v>69023</v>
      </c>
      <c r="BF7" s="101"/>
      <c r="BG7" s="102">
        <f>SUM(BG4:BG6)</f>
        <v>69023</v>
      </c>
      <c r="BH7" s="101"/>
      <c r="BI7" s="102">
        <f>SUM(BI4:BI6)</f>
        <v>69023</v>
      </c>
      <c r="BJ7" s="101"/>
      <c r="BK7" s="102">
        <f>SUM(BK4:BK6)</f>
        <v>69023</v>
      </c>
      <c r="BL7" s="101"/>
      <c r="BM7" s="102">
        <f>SUM(BM4:BM6)</f>
        <v>69023</v>
      </c>
      <c r="BN7" s="101"/>
      <c r="BO7" s="102">
        <f>SUM(BO4:BO6)</f>
        <v>69023</v>
      </c>
      <c r="BP7" s="101"/>
      <c r="BQ7" s="102">
        <f>SUM(BQ4:BQ6)</f>
        <v>69023</v>
      </c>
    </row>
    <row r="9" spans="1:69">
      <c r="D9" s="64"/>
      <c r="E9" s="65"/>
      <c r="AW9" s="13"/>
    </row>
    <row r="10" spans="1:69">
      <c r="D10" s="64"/>
      <c r="E10" s="66"/>
    </row>
    <row r="11" spans="1:69">
      <c r="D11" s="64"/>
      <c r="E11" s="66"/>
      <c r="F11" s="76"/>
      <c r="G11" s="67"/>
    </row>
    <row r="12" spans="1:69">
      <c r="F12" s="75"/>
    </row>
  </sheetData>
  <mergeCells count="62">
    <mergeCell ref="BJ1:BK1"/>
    <mergeCell ref="BJ2:BK2"/>
    <mergeCell ref="BL1:BM1"/>
    <mergeCell ref="BL2:BM2"/>
    <mergeCell ref="BF1:BG1"/>
    <mergeCell ref="BF2:BG2"/>
    <mergeCell ref="BH1:BI1"/>
    <mergeCell ref="BH2:BI2"/>
    <mergeCell ref="BD2:BE2"/>
    <mergeCell ref="AT2:AU2"/>
    <mergeCell ref="AZ1:BA1"/>
    <mergeCell ref="AZ2:BA2"/>
    <mergeCell ref="AX1:AY1"/>
    <mergeCell ref="AV1:AW1"/>
    <mergeCell ref="AV2:AW2"/>
    <mergeCell ref="BD1:BE1"/>
    <mergeCell ref="AP1:AQ1"/>
    <mergeCell ref="AH2:AI2"/>
    <mergeCell ref="AJ1:AK1"/>
    <mergeCell ref="AP2:AQ2"/>
    <mergeCell ref="BB2:BC2"/>
    <mergeCell ref="AX2:AY2"/>
    <mergeCell ref="AR1:AS1"/>
    <mergeCell ref="AT1:AU1"/>
    <mergeCell ref="BB1:BC1"/>
    <mergeCell ref="AR2:AS2"/>
    <mergeCell ref="AH1:AI1"/>
    <mergeCell ref="AL1:AM1"/>
    <mergeCell ref="F1:G2"/>
    <mergeCell ref="H1:I2"/>
    <mergeCell ref="J1:K1"/>
    <mergeCell ref="L1:M1"/>
    <mergeCell ref="N1:O1"/>
    <mergeCell ref="J2:K2"/>
    <mergeCell ref="L2:M2"/>
    <mergeCell ref="N2:O2"/>
    <mergeCell ref="AD1:AE1"/>
    <mergeCell ref="AL2:AM2"/>
    <mergeCell ref="AB2:AC2"/>
    <mergeCell ref="V1:W1"/>
    <mergeCell ref="X1:Y1"/>
    <mergeCell ref="Z1:AA1"/>
    <mergeCell ref="AB1:AC1"/>
    <mergeCell ref="AD2:AE2"/>
    <mergeCell ref="AF2:AG2"/>
    <mergeCell ref="AF1:AG1"/>
    <mergeCell ref="BP1:BQ1"/>
    <mergeCell ref="BP2:BQ2"/>
    <mergeCell ref="BN1:BO1"/>
    <mergeCell ref="BN2:BO2"/>
    <mergeCell ref="P1:Q1"/>
    <mergeCell ref="R1:S1"/>
    <mergeCell ref="T1:U1"/>
    <mergeCell ref="AN1:AO1"/>
    <mergeCell ref="AN2:AO2"/>
    <mergeCell ref="AJ2:AK2"/>
    <mergeCell ref="Z2:AA2"/>
    <mergeCell ref="P2:Q2"/>
    <mergeCell ref="R2:S2"/>
    <mergeCell ref="T2:U2"/>
    <mergeCell ref="V2:W2"/>
    <mergeCell ref="X2:Y2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CA0B-CBE6-4CF4-BC87-94141175E402}">
  <sheetPr>
    <tabColor theme="9" tint="0.39997558519241921"/>
  </sheetPr>
  <dimension ref="A1:K22"/>
  <sheetViews>
    <sheetView workbookViewId="0">
      <selection activeCell="I2" sqref="I2:I7"/>
    </sheetView>
  </sheetViews>
  <sheetFormatPr defaultRowHeight="14.4"/>
  <cols>
    <col min="1" max="1" width="9.5546875" bestFit="1" customWidth="1"/>
    <col min="2" max="2" width="12.33203125" bestFit="1" customWidth="1"/>
    <col min="3" max="3" width="14.44140625" bestFit="1" customWidth="1"/>
    <col min="4" max="4" width="18.6640625" bestFit="1" customWidth="1"/>
    <col min="5" max="5" width="20" customWidth="1"/>
    <col min="6" max="6" width="16.33203125" bestFit="1" customWidth="1"/>
    <col min="7" max="7" width="18.5546875" bestFit="1" customWidth="1"/>
    <col min="8" max="9" width="15.88671875" bestFit="1" customWidth="1"/>
    <col min="10" max="10" width="17" bestFit="1" customWidth="1"/>
  </cols>
  <sheetData>
    <row r="1" spans="1:11">
      <c r="A1" s="216" t="s">
        <v>191</v>
      </c>
      <c r="B1" s="216"/>
      <c r="C1" s="216"/>
      <c r="D1" s="216"/>
      <c r="F1" t="s">
        <v>152</v>
      </c>
      <c r="G1" s="69">
        <f>G3-D3</f>
        <v>87213.867270604183</v>
      </c>
      <c r="H1" s="69">
        <f>G3-I3</f>
        <v>87213.867270604183</v>
      </c>
    </row>
    <row r="2" spans="1:11">
      <c r="A2" s="19" t="s">
        <v>1</v>
      </c>
      <c r="B2" s="19" t="s">
        <v>0</v>
      </c>
      <c r="C2" s="19" t="s">
        <v>23</v>
      </c>
      <c r="D2" s="19" t="s">
        <v>3</v>
      </c>
      <c r="G2" s="19" t="s">
        <v>127</v>
      </c>
      <c r="I2" s="19" t="s">
        <v>72</v>
      </c>
    </row>
    <row r="3" spans="1:11">
      <c r="A3" s="20">
        <v>45566</v>
      </c>
      <c r="B3" s="140">
        <v>1149.17</v>
      </c>
      <c r="C3" s="37">
        <v>139872.462</v>
      </c>
      <c r="D3" s="22">
        <f>SUM(D5:D19)</f>
        <v>67040.992534643883</v>
      </c>
      <c r="E3" s="68"/>
      <c r="G3" s="22">
        <f>SUM(G5:G19)</f>
        <v>154254.85980524807</v>
      </c>
      <c r="I3" s="159">
        <f>SUM(I5:I19)</f>
        <v>67040.992534643883</v>
      </c>
      <c r="J3" s="69">
        <f>D3-I3</f>
        <v>0</v>
      </c>
    </row>
    <row r="4" spans="1:11">
      <c r="A4" s="19" t="s">
        <v>5</v>
      </c>
      <c r="B4" s="19" t="s">
        <v>128</v>
      </c>
      <c r="C4" s="19" t="s">
        <v>24</v>
      </c>
      <c r="D4" s="19" t="s">
        <v>3</v>
      </c>
      <c r="E4" s="154"/>
      <c r="F4" s="19" t="s">
        <v>125</v>
      </c>
      <c r="G4" s="19" t="s">
        <v>124</v>
      </c>
      <c r="I4" s="19" t="s">
        <v>72</v>
      </c>
    </row>
    <row r="5" spans="1:11">
      <c r="A5" s="16">
        <v>46113</v>
      </c>
      <c r="B5" s="34">
        <f>VLOOKUP(A5,'INCC - DI'!$E:$F,2,FALSE)</f>
        <v>1247.181</v>
      </c>
      <c r="C5" s="42">
        <v>0.16421178072566323</v>
      </c>
      <c r="D5" s="30">
        <f>(C5*$C$3)*B5/$B$3</f>
        <v>24927.672835173726</v>
      </c>
      <c r="E5" s="154"/>
      <c r="F5" s="36">
        <v>7.4391699915188916E-2</v>
      </c>
      <c r="G5" s="69">
        <f>F5*($C$3/$B$3*B5)</f>
        <v>11292.80706258391</v>
      </c>
      <c r="H5" s="75"/>
      <c r="I5" s="150">
        <v>24793.759999999998</v>
      </c>
    </row>
    <row r="6" spans="1:11">
      <c r="A6" s="16">
        <f>EDATE(A5,1)</f>
        <v>46143</v>
      </c>
      <c r="B6" s="34">
        <f>VLOOKUP(A6,'INCC - DI'!$E:$F,2,FALSE)</f>
        <v>1259.652</v>
      </c>
      <c r="C6" s="42">
        <v>0.10301387927433675</v>
      </c>
      <c r="D6" s="30">
        <f t="shared" ref="D6:D19" si="0">(C6*$C$3)*B6/$B$3</f>
        <v>15794.077401840348</v>
      </c>
      <c r="F6" s="36">
        <v>0.14599751416036114</v>
      </c>
      <c r="G6" s="69">
        <f t="shared" ref="G6:G19" si="1">F6*($C$3/$B$3*B6)</f>
        <v>22384.323892746368</v>
      </c>
      <c r="H6" s="75"/>
      <c r="I6" s="150">
        <v>15771.623288620114</v>
      </c>
      <c r="J6" s="135"/>
      <c r="K6" s="136"/>
    </row>
    <row r="7" spans="1:11">
      <c r="A7" s="23">
        <f t="shared" ref="A7:A19" si="2">EDATE(A6,1)</f>
        <v>46174</v>
      </c>
      <c r="B7" s="174">
        <f>VLOOKUP(A7,'INCC - DI'!$E:$F,2,FALSE)</f>
        <v>1270.6949999999999</v>
      </c>
      <c r="C7" s="161">
        <v>0.17017044000000003</v>
      </c>
      <c r="D7" s="33">
        <f t="shared" si="0"/>
        <v>26319.242297629815</v>
      </c>
      <c r="F7" s="36">
        <v>0.18506957485714209</v>
      </c>
      <c r="G7" s="69">
        <f t="shared" si="1"/>
        <v>28623.602210727429</v>
      </c>
      <c r="H7" s="75"/>
      <c r="I7" s="150">
        <v>26475.609246023771</v>
      </c>
      <c r="J7" s="160"/>
    </row>
    <row r="8" spans="1:11">
      <c r="A8" s="16">
        <f t="shared" si="2"/>
        <v>46204</v>
      </c>
      <c r="B8" s="34">
        <f>VLOOKUP(A8,'INCC - DI'!$E:$F,2,FALSE)</f>
        <v>1270.6949999999999</v>
      </c>
      <c r="C8" s="155"/>
      <c r="D8" s="31">
        <f t="shared" si="0"/>
        <v>0</v>
      </c>
      <c r="F8" s="36">
        <v>0.11323794627089906</v>
      </c>
      <c r="G8" s="69">
        <f t="shared" si="1"/>
        <v>17513.834630678382</v>
      </c>
      <c r="H8" s="75">
        <f>(F8*$G$1/(SUM($F$8:$F$19)))</f>
        <v>16610.991857632467</v>
      </c>
      <c r="J8" s="76"/>
    </row>
    <row r="9" spans="1:11">
      <c r="A9" s="16">
        <f t="shared" si="2"/>
        <v>46235</v>
      </c>
      <c r="B9" s="34">
        <f>VLOOKUP(A9,'INCC - DI'!$E:$F,2,FALSE)</f>
        <v>1270.6949999999999</v>
      </c>
      <c r="C9" s="42"/>
      <c r="D9" s="31">
        <f t="shared" si="0"/>
        <v>0</v>
      </c>
      <c r="F9" s="36">
        <v>9.3639656257003837E-2</v>
      </c>
      <c r="G9" s="69">
        <f t="shared" si="1"/>
        <v>14482.684546710056</v>
      </c>
      <c r="H9" s="75">
        <f t="shared" ref="H9:H19" si="3">(F9*$G$1/(SUM($F$8:$F$19)))</f>
        <v>13736.098356247983</v>
      </c>
    </row>
    <row r="10" spans="1:11" ht="16.2">
      <c r="A10" s="16">
        <f t="shared" si="2"/>
        <v>46266</v>
      </c>
      <c r="B10" s="34">
        <f>VLOOKUP(A10,'INCC - DI'!$E:$F,2,FALSE)</f>
        <v>1270.6949999999999</v>
      </c>
      <c r="C10" s="42"/>
      <c r="D10" s="31">
        <f t="shared" si="0"/>
        <v>0</v>
      </c>
      <c r="E10" s="180"/>
      <c r="F10" s="36">
        <v>8.9968610222868201E-2</v>
      </c>
      <c r="G10" s="69">
        <f t="shared" si="1"/>
        <v>13914.905853429549</v>
      </c>
      <c r="H10" s="75">
        <f t="shared" si="3"/>
        <v>13197.588803662673</v>
      </c>
    </row>
    <row r="11" spans="1:11">
      <c r="A11" s="16">
        <f t="shared" si="2"/>
        <v>46296</v>
      </c>
      <c r="B11" s="34">
        <f>VLOOKUP(A11,'INCC - DI'!$E:$F,2,FALSE)</f>
        <v>1270.6949999999999</v>
      </c>
      <c r="C11" s="42"/>
      <c r="D11" s="31">
        <f t="shared" si="0"/>
        <v>0</v>
      </c>
      <c r="E11" s="87"/>
      <c r="F11" s="36">
        <v>8.9219310794264664E-2</v>
      </c>
      <c r="G11" s="69">
        <f t="shared" si="1"/>
        <v>13799.016200591535</v>
      </c>
      <c r="H11" s="75">
        <f t="shared" si="3"/>
        <v>13087.673292852491</v>
      </c>
    </row>
    <row r="12" spans="1:11">
      <c r="A12" s="16">
        <f t="shared" si="2"/>
        <v>46327</v>
      </c>
      <c r="B12" s="34">
        <f>VLOOKUP(A12,'INCC - DI'!$E:$F,2,FALSE)</f>
        <v>1270.6949999999999</v>
      </c>
      <c r="C12" s="42"/>
      <c r="D12" s="31">
        <f t="shared" si="0"/>
        <v>0</v>
      </c>
      <c r="F12" s="36">
        <v>0.12491606825222938</v>
      </c>
      <c r="G12" s="69">
        <f t="shared" si="1"/>
        <v>19320.019782505628</v>
      </c>
      <c r="H12" s="75">
        <f t="shared" si="3"/>
        <v>18324.067690712716</v>
      </c>
    </row>
    <row r="13" spans="1:11">
      <c r="A13" s="16">
        <f t="shared" si="2"/>
        <v>46357</v>
      </c>
      <c r="B13" s="34">
        <f>VLOOKUP(A13,'INCC - DI'!$E:$F,2,FALSE)</f>
        <v>1270.6949999999999</v>
      </c>
      <c r="C13" s="42"/>
      <c r="D13" s="31">
        <f t="shared" si="0"/>
        <v>0</v>
      </c>
      <c r="F13" s="36">
        <v>2.2545244160412287E-2</v>
      </c>
      <c r="G13" s="69">
        <f t="shared" si="1"/>
        <v>3486.9378237319856</v>
      </c>
      <c r="H13" s="75">
        <f t="shared" si="3"/>
        <v>3307.1852635072619</v>
      </c>
    </row>
    <row r="14" spans="1:11">
      <c r="A14" s="16">
        <f t="shared" si="2"/>
        <v>46388</v>
      </c>
      <c r="B14" s="34">
        <f>VLOOKUP(A14,'INCC - DI'!$E:$F,2,FALSE)</f>
        <v>1270.6949999999999</v>
      </c>
      <c r="C14" s="42"/>
      <c r="D14" s="31">
        <f t="shared" si="0"/>
        <v>0</v>
      </c>
      <c r="F14" s="36">
        <v>3.0090524327706168E-2</v>
      </c>
      <c r="G14" s="69">
        <f t="shared" si="1"/>
        <v>4653.9210960706387</v>
      </c>
      <c r="H14" s="75">
        <f t="shared" si="3"/>
        <v>4414.0102417935732</v>
      </c>
    </row>
    <row r="15" spans="1:11">
      <c r="A15" s="16">
        <f t="shared" si="2"/>
        <v>46419</v>
      </c>
      <c r="B15" s="34">
        <f>VLOOKUP(A15,'INCC - DI'!$E:$F,2,FALSE)</f>
        <v>1270.6949999999999</v>
      </c>
      <c r="C15" s="42"/>
      <c r="D15" s="31">
        <f t="shared" si="0"/>
        <v>0</v>
      </c>
      <c r="F15" s="36">
        <v>2.7486351078325286E-2</v>
      </c>
      <c r="G15" s="69">
        <f t="shared" si="1"/>
        <v>4251.1492237321681</v>
      </c>
      <c r="H15" s="75">
        <f t="shared" si="3"/>
        <v>4032.001365212182</v>
      </c>
    </row>
    <row r="16" spans="1:11">
      <c r="A16" s="16">
        <f t="shared" si="2"/>
        <v>46447</v>
      </c>
      <c r="B16" s="34">
        <f>VLOOKUP(A16,'INCC - DI'!$E:$F,2,FALSE)</f>
        <v>1270.6949999999999</v>
      </c>
      <c r="C16" s="42"/>
      <c r="D16" s="31">
        <f t="shared" si="0"/>
        <v>0</v>
      </c>
      <c r="F16" s="36">
        <v>1.251761384357892E-3</v>
      </c>
      <c r="G16" s="69">
        <f t="shared" si="1"/>
        <v>193.6024327946256</v>
      </c>
      <c r="H16" s="75">
        <f t="shared" si="3"/>
        <v>183.62217655841809</v>
      </c>
    </row>
    <row r="17" spans="1:8">
      <c r="A17" s="16">
        <f t="shared" si="2"/>
        <v>46478</v>
      </c>
      <c r="B17" s="34">
        <f>VLOOKUP(A17,'INCC - DI'!$E:$F,2,FALSE)</f>
        <v>1270.6949999999999</v>
      </c>
      <c r="C17" s="42"/>
      <c r="D17" s="31">
        <f t="shared" si="0"/>
        <v>0</v>
      </c>
      <c r="F17" s="36">
        <v>6.9215046775969371E-4</v>
      </c>
      <c r="G17" s="69">
        <f t="shared" si="1"/>
        <v>107.05076549949089</v>
      </c>
      <c r="H17" s="75">
        <f t="shared" si="3"/>
        <v>101.5322704343982</v>
      </c>
    </row>
    <row r="18" spans="1:8">
      <c r="A18" s="16">
        <f t="shared" si="2"/>
        <v>46508</v>
      </c>
      <c r="B18" s="34">
        <f>VLOOKUP(A18,'INCC - DI'!$E:$F,2,FALSE)</f>
        <v>1270.6949999999999</v>
      </c>
      <c r="C18" s="42"/>
      <c r="D18" s="31">
        <f t="shared" si="0"/>
        <v>0</v>
      </c>
      <c r="F18" s="36">
        <v>8.0143738372175078E-4</v>
      </c>
      <c r="G18" s="69">
        <f t="shared" si="1"/>
        <v>123.95351794677896</v>
      </c>
      <c r="H18" s="75">
        <f t="shared" si="3"/>
        <v>117.56368155561897</v>
      </c>
    </row>
    <row r="19" spans="1:8">
      <c r="A19" s="16">
        <f t="shared" si="2"/>
        <v>46539</v>
      </c>
      <c r="B19" s="34">
        <f>VLOOKUP(A19,'INCC - DI'!$E:$F,2,FALSE)</f>
        <v>1270.6949999999999</v>
      </c>
      <c r="C19" s="42"/>
      <c r="D19" s="31">
        <f t="shared" si="0"/>
        <v>0</v>
      </c>
      <c r="F19" s="36">
        <v>6.9215046775969371E-4</v>
      </c>
      <c r="G19" s="69">
        <f t="shared" si="1"/>
        <v>107.05076549949089</v>
      </c>
      <c r="H19" s="75">
        <f t="shared" si="3"/>
        <v>101.5322704343982</v>
      </c>
    </row>
    <row r="20" spans="1:8">
      <c r="C20" s="87">
        <f>SUM(C5:C19)</f>
        <v>0.43739610000000001</v>
      </c>
    </row>
    <row r="21" spans="1:8">
      <c r="C21" s="197">
        <v>0.43739610000000001</v>
      </c>
    </row>
    <row r="22" spans="1:8">
      <c r="C22" s="87">
        <f>C21-C20</f>
        <v>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1D0A-6ECA-4AB5-94AB-DB316553EAF4}">
  <sheetPr>
    <tabColor theme="8" tint="0.39997558519241921"/>
  </sheetPr>
  <dimension ref="A1:Y61"/>
  <sheetViews>
    <sheetView tabSelected="1" workbookViewId="0">
      <pane ySplit="7" topLeftCell="A21" activePane="bottomLeft" state="frozen"/>
      <selection activeCell="K19" sqref="C15:K19"/>
      <selection pane="bottomLeft" activeCell="K38" sqref="K38:K51"/>
    </sheetView>
  </sheetViews>
  <sheetFormatPr defaultRowHeight="14.4"/>
  <cols>
    <col min="2" max="2" width="21.33203125" customWidth="1"/>
    <col min="3" max="3" width="23" customWidth="1"/>
    <col min="4" max="4" width="19.109375" bestFit="1" customWidth="1"/>
    <col min="5" max="5" width="25" customWidth="1"/>
    <col min="6" max="6" width="16.88671875" customWidth="1"/>
    <col min="7" max="7" width="19.6640625" bestFit="1" customWidth="1"/>
    <col min="8" max="8" width="25.6640625" bestFit="1" customWidth="1"/>
    <col min="9" max="9" width="16.88671875" bestFit="1" customWidth="1"/>
    <col min="10" max="10" width="23" bestFit="1" customWidth="1"/>
    <col min="11" max="11" width="19" bestFit="1" customWidth="1"/>
    <col min="13" max="13" width="15.88671875" bestFit="1" customWidth="1"/>
    <col min="14" max="14" width="17.109375" bestFit="1" customWidth="1"/>
    <col min="15" max="16" width="15.5546875" bestFit="1" customWidth="1"/>
    <col min="19" max="19" width="9.44140625" bestFit="1" customWidth="1"/>
    <col min="20" max="21" width="15.5546875" bestFit="1" customWidth="1"/>
    <col min="24" max="24" width="15.5546875" bestFit="1" customWidth="1"/>
    <col min="25" max="25" width="14" bestFit="1" customWidth="1"/>
  </cols>
  <sheetData>
    <row r="1" spans="1:16">
      <c r="B1" s="216" t="s">
        <v>76</v>
      </c>
      <c r="C1" s="216"/>
      <c r="D1" s="216"/>
      <c r="E1" s="216"/>
      <c r="G1" s="77" t="s">
        <v>145</v>
      </c>
      <c r="H1" s="77" t="s">
        <v>146</v>
      </c>
    </row>
    <row r="2" spans="1:16">
      <c r="B2" s="232" t="s">
        <v>77</v>
      </c>
      <c r="C2" s="233"/>
      <c r="D2" s="232" t="s">
        <v>82</v>
      </c>
      <c r="E2" s="233"/>
      <c r="G2" s="162">
        <v>12000000</v>
      </c>
      <c r="H2" s="162">
        <f>F57</f>
        <v>12226674.873722</v>
      </c>
    </row>
    <row r="3" spans="1:16">
      <c r="B3" s="232" t="s">
        <v>78</v>
      </c>
      <c r="C3" s="233"/>
      <c r="D3" s="232" t="s">
        <v>78</v>
      </c>
      <c r="E3" s="233"/>
    </row>
    <row r="4" spans="1:16">
      <c r="B4" s="230">
        <f>H2*0.82</f>
        <v>10025873.396452039</v>
      </c>
      <c r="C4" s="231"/>
      <c r="D4" s="230">
        <f>H2*0.18</f>
        <v>2200801.4772699601</v>
      </c>
      <c r="E4" s="231"/>
      <c r="F4" s="76"/>
      <c r="G4" s="76">
        <v>2200801.4772699601</v>
      </c>
    </row>
    <row r="5" spans="1:16">
      <c r="B5" s="77" t="s">
        <v>79</v>
      </c>
      <c r="C5" s="77" t="s">
        <v>80</v>
      </c>
      <c r="D5" s="77" t="s">
        <v>79</v>
      </c>
      <c r="E5" s="77" t="s">
        <v>80</v>
      </c>
      <c r="M5" s="229" t="s">
        <v>72</v>
      </c>
      <c r="N5" s="229"/>
    </row>
    <row r="6" spans="1:16">
      <c r="B6" s="78">
        <f>SUM(B8:B52)</f>
        <v>0.44517706001025503</v>
      </c>
      <c r="C6" s="81">
        <f>SUM(C8:C52)</f>
        <v>4463288.8426675489</v>
      </c>
      <c r="D6" s="78">
        <f>SUM(D8:D52)</f>
        <v>0.44517706001025503</v>
      </c>
      <c r="E6" s="81">
        <f>SUM(E8:E52)</f>
        <v>979746.33131726691</v>
      </c>
      <c r="H6" s="76">
        <f>B4-C6</f>
        <v>5562584.5537844906</v>
      </c>
      <c r="J6" s="69">
        <f>D4-E6</f>
        <v>1221055.1459526932</v>
      </c>
      <c r="M6" s="181">
        <f>SUM(M8:M50)</f>
        <v>4463288.8426675489</v>
      </c>
      <c r="N6" s="181">
        <f>SUM(N8:N50)</f>
        <v>979746.33131726691</v>
      </c>
      <c r="O6" s="76">
        <f>C6-M6</f>
        <v>0</v>
      </c>
      <c r="P6" s="76">
        <f>E6-N6</f>
        <v>0</v>
      </c>
    </row>
    <row r="7" spans="1:16">
      <c r="A7" s="19" t="s">
        <v>5</v>
      </c>
      <c r="B7" s="19" t="s">
        <v>24</v>
      </c>
      <c r="C7" s="19" t="s">
        <v>81</v>
      </c>
      <c r="D7" s="19" t="s">
        <v>24</v>
      </c>
      <c r="E7" s="19" t="s">
        <v>81</v>
      </c>
      <c r="G7" s="19" t="s">
        <v>125</v>
      </c>
      <c r="H7" s="19" t="s">
        <v>138</v>
      </c>
      <c r="J7" s="19" t="s">
        <v>139</v>
      </c>
      <c r="M7" s="19" t="s">
        <v>77</v>
      </c>
      <c r="N7" s="19" t="s">
        <v>82</v>
      </c>
      <c r="O7" s="75">
        <f>SUM(O8:O32)</f>
        <v>3373213.7053316426</v>
      </c>
    </row>
    <row r="8" spans="1:16">
      <c r="A8" s="82">
        <v>45292</v>
      </c>
      <c r="B8" s="42">
        <v>2.7288434959349601E-3</v>
      </c>
      <c r="C8" s="141">
        <f>B8*$B$4</f>
        <v>27359.039408975495</v>
      </c>
      <c r="D8" s="42">
        <v>2.7288434959349601E-3</v>
      </c>
      <c r="E8" s="79">
        <f>D8*$D$4</f>
        <v>6005.6427970921823</v>
      </c>
      <c r="G8" s="36">
        <v>7.3303194918931808E-3</v>
      </c>
      <c r="H8" s="69">
        <f>G8*$B$4</f>
        <v>73492.855181265666</v>
      </c>
      <c r="I8" s="69"/>
      <c r="J8" s="75">
        <f>G8*$D$4</f>
        <v>16132.577966619296</v>
      </c>
      <c r="M8" s="150">
        <v>26851.820000000007</v>
      </c>
      <c r="N8" s="150">
        <v>5894.3019512195142</v>
      </c>
      <c r="O8" s="205">
        <v>26851.820000000007</v>
      </c>
      <c r="P8" t="b">
        <f>O8=M8</f>
        <v>1</v>
      </c>
    </row>
    <row r="9" spans="1:16">
      <c r="A9" s="85">
        <v>45323</v>
      </c>
      <c r="B9" s="83">
        <v>1.6952376087331873E-2</v>
      </c>
      <c r="C9" s="141">
        <f t="shared" ref="C9:C50" si="0">B9*$B$4</f>
        <v>169962.37642063035</v>
      </c>
      <c r="D9" s="83">
        <v>1.6952376087331873E-2</v>
      </c>
      <c r="E9" s="80">
        <f t="shared" ref="E9:E50" si="1">D9*$D$4</f>
        <v>37308.814336235933</v>
      </c>
      <c r="G9" s="36">
        <v>1.9498282431454874E-2</v>
      </c>
      <c r="H9" s="69">
        <f t="shared" ref="H9:H49" si="2">G9*$B$4</f>
        <v>195487.31110603162</v>
      </c>
      <c r="I9" s="69"/>
      <c r="J9" s="75">
        <f t="shared" ref="J9:J49" si="3">G9*$D$4</f>
        <v>42911.848779372798</v>
      </c>
      <c r="M9" s="150">
        <v>166811.38069934564</v>
      </c>
      <c r="N9" s="150">
        <v>36617.132348636842</v>
      </c>
      <c r="O9" s="205">
        <v>166811.38069934564</v>
      </c>
      <c r="P9" t="b">
        <f t="shared" ref="P9:P32" si="4">O9=M9</f>
        <v>1</v>
      </c>
    </row>
    <row r="10" spans="1:16">
      <c r="A10" s="82">
        <v>45352</v>
      </c>
      <c r="B10" s="42">
        <v>1.5732708271376614E-2</v>
      </c>
      <c r="C10" s="141">
        <f t="shared" si="0"/>
        <v>157734.14131213573</v>
      </c>
      <c r="D10" s="42">
        <v>1.5732708271376614E-2</v>
      </c>
      <c r="E10" s="79">
        <f t="shared" si="1"/>
        <v>34624.567605102973</v>
      </c>
      <c r="G10" s="36">
        <v>2.2417667539751898E-2</v>
      </c>
      <c r="H10" s="69">
        <f t="shared" si="2"/>
        <v>224756.69659730501</v>
      </c>
      <c r="I10" s="69"/>
      <c r="J10" s="75">
        <f t="shared" si="3"/>
        <v>49336.835838432809</v>
      </c>
      <c r="M10" s="150">
        <v>154809.84939034589</v>
      </c>
      <c r="N10" s="150">
        <v>33982.649866173488</v>
      </c>
      <c r="O10" s="205">
        <v>154672.79930065435</v>
      </c>
      <c r="P10" t="b">
        <f t="shared" si="4"/>
        <v>0</v>
      </c>
    </row>
    <row r="11" spans="1:16">
      <c r="A11" s="82">
        <v>45383</v>
      </c>
      <c r="B11" s="42">
        <v>2.593817225949523E-2</v>
      </c>
      <c r="C11" s="141">
        <f t="shared" si="0"/>
        <v>260052.8312090635</v>
      </c>
      <c r="D11" s="42">
        <v>2.593817225949523E-2</v>
      </c>
      <c r="E11" s="79">
        <f t="shared" si="1"/>
        <v>57084.767826379801</v>
      </c>
      <c r="G11" s="36">
        <v>2.2252152347594135E-2</v>
      </c>
      <c r="H11" s="69">
        <f t="shared" si="2"/>
        <v>223097.26223554183</v>
      </c>
      <c r="I11" s="69"/>
      <c r="J11" s="75">
        <f t="shared" si="3"/>
        <v>48972.569759021382</v>
      </c>
      <c r="M11" s="150">
        <v>255368.67</v>
      </c>
      <c r="N11" s="150">
        <v>56026.452080509698</v>
      </c>
      <c r="O11" s="205">
        <v>255368.66512312458</v>
      </c>
      <c r="P11" t="b">
        <f t="shared" si="4"/>
        <v>0</v>
      </c>
    </row>
    <row r="12" spans="1:16">
      <c r="A12" s="82">
        <v>45413</v>
      </c>
      <c r="B12" s="42">
        <v>1.6552997184489354E-2</v>
      </c>
      <c r="C12" s="141">
        <f>B12*$B$4</f>
        <v>165958.25410351733</v>
      </c>
      <c r="D12" s="42">
        <v>1.6552997184489354E-2</v>
      </c>
      <c r="E12" s="79">
        <f t="shared" si="1"/>
        <v>36429.860656869663</v>
      </c>
      <c r="G12" s="36">
        <v>1.4642617830055294E-2</v>
      </c>
      <c r="H12" s="69">
        <f t="shared" si="2"/>
        <v>146805.03255676565</v>
      </c>
      <c r="I12" s="69"/>
      <c r="J12" s="75">
        <f t="shared" si="3"/>
        <v>32225.494951485147</v>
      </c>
      <c r="M12" s="150">
        <v>162881.49229537524</v>
      </c>
      <c r="N12" s="150">
        <v>35754.473918497002</v>
      </c>
      <c r="O12" s="205">
        <v>162881.49229537524</v>
      </c>
      <c r="P12" t="b">
        <f t="shared" si="4"/>
        <v>1</v>
      </c>
    </row>
    <row r="13" spans="1:16">
      <c r="A13" s="82">
        <v>45444</v>
      </c>
      <c r="B13" s="42">
        <v>1.0358758593276658E-2</v>
      </c>
      <c r="C13" s="141">
        <f>B13*$B$4</f>
        <v>103855.6022006014</v>
      </c>
      <c r="D13" s="42">
        <v>1.0358758593276658E-2</v>
      </c>
      <c r="E13" s="79">
        <f t="shared" si="1"/>
        <v>22797.571214766162</v>
      </c>
      <c r="G13" s="36">
        <v>1.1431691075846981E-2</v>
      </c>
      <c r="H13" s="69">
        <f t="shared" si="2"/>
        <v>114612.68743379244</v>
      </c>
      <c r="I13" s="69"/>
      <c r="J13" s="75">
        <f t="shared" si="3"/>
        <v>25158.882607417854</v>
      </c>
      <c r="M13" s="150">
        <v>101930.18455784231</v>
      </c>
      <c r="N13" s="150">
        <v>22374.918561477582</v>
      </c>
      <c r="O13" s="205">
        <v>101930.18455784231</v>
      </c>
      <c r="P13" t="b">
        <f t="shared" si="4"/>
        <v>1</v>
      </c>
    </row>
    <row r="14" spans="1:16">
      <c r="A14" s="82">
        <v>45474</v>
      </c>
      <c r="B14" s="42">
        <v>1.7455830751290403E-2</v>
      </c>
      <c r="C14" s="141">
        <f t="shared" si="0"/>
        <v>175009.94914233187</v>
      </c>
      <c r="D14" s="42">
        <v>1.7455830751290403E-2</v>
      </c>
      <c r="E14" s="79">
        <f t="shared" si="1"/>
        <v>38416.81810441432</v>
      </c>
      <c r="G14" s="36">
        <v>1.6505289391592015E-2</v>
      </c>
      <c r="H14" s="69">
        <f t="shared" si="2"/>
        <v>165479.94181190446</v>
      </c>
      <c r="I14" s="69"/>
      <c r="J14" s="75">
        <f t="shared" si="3"/>
        <v>36324.865275783908</v>
      </c>
      <c r="M14" s="150">
        <v>171765.37459269757</v>
      </c>
      <c r="N14" s="150">
        <v>37704.594422787268</v>
      </c>
      <c r="O14" s="205">
        <v>171765.37459269757</v>
      </c>
      <c r="P14" t="b">
        <f t="shared" si="4"/>
        <v>1</v>
      </c>
    </row>
    <row r="15" spans="1:16">
      <c r="A15" s="82">
        <v>45505</v>
      </c>
      <c r="B15" s="42">
        <v>2.0337346056402767E-2</v>
      </c>
      <c r="C15" s="141">
        <f t="shared" si="0"/>
        <v>203899.6567813273</v>
      </c>
      <c r="D15" s="42">
        <v>2.0337346056402767E-2</v>
      </c>
      <c r="E15" s="79">
        <f t="shared" si="1"/>
        <v>44758.46124468161</v>
      </c>
      <c r="G15" s="36">
        <v>1.5284011311188088E-2</v>
      </c>
      <c r="H15" s="69">
        <f t="shared" si="2"/>
        <v>153235.56239591271</v>
      </c>
      <c r="I15" s="69"/>
      <c r="J15" s="75">
        <f t="shared" si="3"/>
        <v>33637.07467227352</v>
      </c>
      <c r="M15" s="150">
        <v>200119.48519500322</v>
      </c>
      <c r="N15" s="150">
        <v>43928.66748182998</v>
      </c>
      <c r="O15" s="205">
        <v>200119.48519500322</v>
      </c>
      <c r="P15" t="b">
        <f t="shared" si="4"/>
        <v>1</v>
      </c>
    </row>
    <row r="16" spans="1:16">
      <c r="A16" s="82">
        <v>45536</v>
      </c>
      <c r="B16" s="42">
        <v>1.2461191714421782E-2</v>
      </c>
      <c r="C16" s="141">
        <f>B16*$B$4</f>
        <v>124934.33049770993</v>
      </c>
      <c r="D16" s="42">
        <v>1.2461191714421782E-2</v>
      </c>
      <c r="E16" s="79">
        <f t="shared" si="1"/>
        <v>27424.609133643644</v>
      </c>
      <c r="G16" s="36">
        <v>1.7032319893263925E-2</v>
      </c>
      <c r="H16" s="69">
        <f t="shared" si="2"/>
        <v>170763.88289773563</v>
      </c>
      <c r="I16" s="69"/>
      <c r="J16" s="75">
        <f t="shared" si="3"/>
        <v>37484.754782429773</v>
      </c>
      <c r="M16" s="150">
        <v>122618.12646991033</v>
      </c>
      <c r="N16" s="150">
        <v>26916.17410315105</v>
      </c>
      <c r="O16" s="205">
        <v>122618.12646991033</v>
      </c>
      <c r="P16" t="b">
        <f t="shared" si="4"/>
        <v>1</v>
      </c>
    </row>
    <row r="17" spans="1:25">
      <c r="A17" s="82">
        <v>45566</v>
      </c>
      <c r="B17" s="42">
        <v>1.109483009931778E-2</v>
      </c>
      <c r="C17" s="141">
        <f>B17*$B$4</f>
        <v>111235.36193090546</v>
      </c>
      <c r="D17" s="42">
        <v>1.109483009931778E-2</v>
      </c>
      <c r="E17" s="79">
        <f t="shared" si="1"/>
        <v>24417.518472637788</v>
      </c>
      <c r="G17" s="36">
        <v>9.4254815319313595E-3</v>
      </c>
      <c r="H17" s="69">
        <f t="shared" si="2"/>
        <v>94498.684539740629</v>
      </c>
      <c r="I17" s="75"/>
      <c r="J17" s="75">
        <f t="shared" si="3"/>
        <v>20743.613679455262</v>
      </c>
      <c r="K17" s="75"/>
      <c r="M17" s="150">
        <v>109173.12817728696</v>
      </c>
      <c r="N17" s="150">
        <v>23964.833014526404</v>
      </c>
      <c r="O17" s="205">
        <v>109173.12817728696</v>
      </c>
      <c r="P17" t="b">
        <f t="shared" si="4"/>
        <v>1</v>
      </c>
      <c r="S17" s="225" t="s">
        <v>77</v>
      </c>
      <c r="T17" s="225"/>
      <c r="U17" s="225"/>
      <c r="W17" s="225" t="s">
        <v>184</v>
      </c>
      <c r="X17" s="225"/>
      <c r="Y17" s="225"/>
    </row>
    <row r="18" spans="1:25">
      <c r="A18" s="82">
        <v>45597</v>
      </c>
      <c r="B18" s="42">
        <v>6.5995399685413606E-3</v>
      </c>
      <c r="C18" s="141">
        <f>B18*$B$4</f>
        <v>66166.152199420758</v>
      </c>
      <c r="D18" s="42">
        <v>6.5995399685413606E-3</v>
      </c>
      <c r="E18" s="79">
        <f t="shared" si="1"/>
        <v>14524.277312067972</v>
      </c>
      <c r="G18" s="36">
        <v>9.693055978231729E-3</v>
      </c>
      <c r="H18" s="69">
        <f t="shared" si="2"/>
        <v>97181.352062473889</v>
      </c>
      <c r="I18" s="75"/>
      <c r="J18" s="75">
        <f t="shared" si="3"/>
        <v>21332.491916152809</v>
      </c>
      <c r="K18" s="75"/>
      <c r="M18" s="150">
        <v>64939.473290446986</v>
      </c>
      <c r="N18" s="150">
        <v>14255.006332049339</v>
      </c>
      <c r="O18" s="205">
        <v>64939.473290446986</v>
      </c>
      <c r="P18" t="b">
        <f t="shared" si="4"/>
        <v>1</v>
      </c>
      <c r="S18" s="226">
        <v>2025</v>
      </c>
      <c r="T18" s="227"/>
      <c r="U18" s="228"/>
      <c r="W18" s="226">
        <v>2025</v>
      </c>
      <c r="X18" s="227">
        <v>2025</v>
      </c>
      <c r="Y18" s="228"/>
    </row>
    <row r="19" spans="1:25">
      <c r="A19" s="82">
        <v>45627</v>
      </c>
      <c r="B19" s="42">
        <v>9.9995249161805924E-3</v>
      </c>
      <c r="C19" s="141">
        <f>B19*$B$4</f>
        <v>100253.9708342943</v>
      </c>
      <c r="D19" s="42">
        <v>9.9995249161805924E-3</v>
      </c>
      <c r="E19" s="79">
        <f t="shared" si="1"/>
        <v>22006.969207528022</v>
      </c>
      <c r="G19" s="36">
        <v>8.1490612578157453E-3</v>
      </c>
      <c r="H19" s="69">
        <f t="shared" si="2"/>
        <v>81701.45647079288</v>
      </c>
      <c r="I19" s="75"/>
      <c r="J19" s="75">
        <f t="shared" si="3"/>
        <v>17934.466054564291</v>
      </c>
      <c r="K19" s="75"/>
      <c r="M19" s="150">
        <v>98395.325175217033</v>
      </c>
      <c r="N19" s="150">
        <v>21598.973818950079</v>
      </c>
      <c r="O19" s="205">
        <v>98395.325175217033</v>
      </c>
      <c r="P19" t="b">
        <f t="shared" si="4"/>
        <v>1</v>
      </c>
      <c r="S19" s="21"/>
      <c r="T19" s="21" t="s">
        <v>181</v>
      </c>
      <c r="U19" s="21" t="s">
        <v>102</v>
      </c>
      <c r="W19" s="21"/>
      <c r="X19" s="21" t="s">
        <v>181</v>
      </c>
      <c r="Y19" s="21" t="s">
        <v>102</v>
      </c>
    </row>
    <row r="20" spans="1:25">
      <c r="A20" s="82">
        <v>45658</v>
      </c>
      <c r="B20" s="42">
        <v>1.051331727619125E-2</v>
      </c>
      <c r="C20" s="141">
        <f>B20*$B$4</f>
        <v>105405.18798782547</v>
      </c>
      <c r="D20" s="42">
        <v>1.051331727619125E-2</v>
      </c>
      <c r="E20" s="79">
        <f t="shared" si="1"/>
        <v>23137.724192449496</v>
      </c>
      <c r="G20" s="36">
        <v>6.1149757739571925E-3</v>
      </c>
      <c r="H20" s="69">
        <f t="shared" si="2"/>
        <v>61307.972932066135</v>
      </c>
      <c r="I20" s="75"/>
      <c r="J20" s="75">
        <f t="shared" si="3"/>
        <v>13457.847716795008</v>
      </c>
      <c r="K20" s="75"/>
      <c r="M20" s="150">
        <v>103451.0419977219</v>
      </c>
      <c r="N20" s="150">
        <v>22708.765316573099</v>
      </c>
      <c r="O20" s="205">
        <v>103451.0419977219</v>
      </c>
      <c r="P20" t="b">
        <f t="shared" si="4"/>
        <v>1</v>
      </c>
      <c r="S20" s="14" t="s">
        <v>182</v>
      </c>
      <c r="T20" s="17">
        <v>2019584.96</v>
      </c>
      <c r="U20" s="17">
        <f>SUM(M20:M31)</f>
        <v>1860765.5335562867</v>
      </c>
      <c r="W20" s="14" t="s">
        <v>182</v>
      </c>
      <c r="X20" s="17">
        <v>443323.53</v>
      </c>
      <c r="Y20" s="17">
        <f>SUM(N20:N31)</f>
        <v>403720.58178319584</v>
      </c>
    </row>
    <row r="21" spans="1:25">
      <c r="A21" s="82">
        <v>45689</v>
      </c>
      <c r="B21" s="42">
        <v>1.0092886561755058E-2</v>
      </c>
      <c r="C21" s="141">
        <f t="shared" si="0"/>
        <v>101190.00287290833</v>
      </c>
      <c r="D21" s="42">
        <v>1.0092886561755058E-2</v>
      </c>
      <c r="E21" s="79">
        <f t="shared" si="1"/>
        <v>22212.439655028658</v>
      </c>
      <c r="G21" s="36">
        <v>1.2640077093280772E-2</v>
      </c>
      <c r="H21" s="69">
        <f t="shared" si="2"/>
        <v>126727.81265862651</v>
      </c>
      <c r="I21" s="75"/>
      <c r="J21" s="75">
        <f t="shared" si="3"/>
        <v>27818.300339698504</v>
      </c>
      <c r="K21" s="75"/>
      <c r="M21" s="150">
        <v>122918.29</v>
      </c>
      <c r="N21" s="150">
        <v>22080.560000000001</v>
      </c>
      <c r="O21" s="205">
        <v>122918.28972992295</v>
      </c>
      <c r="P21" t="b">
        <f t="shared" si="4"/>
        <v>0</v>
      </c>
    </row>
    <row r="22" spans="1:25">
      <c r="A22" s="82">
        <v>45717</v>
      </c>
      <c r="B22" s="42">
        <v>1.3711230836821452E-2</v>
      </c>
      <c r="C22" s="141">
        <f>B22*$B$4</f>
        <v>137467.06447950104</v>
      </c>
      <c r="D22" s="42">
        <v>1.3711230836821452E-2</v>
      </c>
      <c r="E22" s="79">
        <f t="shared" si="1"/>
        <v>30175.697080866084</v>
      </c>
      <c r="G22" s="36">
        <v>1.3747870871223731E-2</v>
      </c>
      <c r="H22" s="69">
        <f t="shared" si="2"/>
        <v>137834.41282565994</v>
      </c>
      <c r="I22" s="75"/>
      <c r="J22" s="75">
        <f t="shared" si="3"/>
        <v>30256.334522705842</v>
      </c>
      <c r="K22" s="75"/>
      <c r="M22" s="150">
        <v>136650.91</v>
      </c>
      <c r="N22" s="150">
        <v>29996.54</v>
      </c>
      <c r="O22" s="205">
        <v>136650.91009822689</v>
      </c>
      <c r="P22" t="b">
        <f t="shared" si="4"/>
        <v>0</v>
      </c>
    </row>
    <row r="23" spans="1:25">
      <c r="A23" s="82">
        <v>45748</v>
      </c>
      <c r="B23" s="42">
        <v>1.3662555531481402E-2</v>
      </c>
      <c r="C23" s="141">
        <f t="shared" si="0"/>
        <v>136979.05203062805</v>
      </c>
      <c r="D23" s="42">
        <v>1.3662555531481402E-2</v>
      </c>
      <c r="E23" s="79">
        <f t="shared" si="1"/>
        <v>30068.572396967134</v>
      </c>
      <c r="G23" s="36">
        <v>1.52798496163706E-2</v>
      </c>
      <c r="H23" s="69">
        <f t="shared" si="2"/>
        <v>153193.8377705579</v>
      </c>
      <c r="I23" s="75"/>
      <c r="J23" s="75">
        <f t="shared" si="3"/>
        <v>33627.91560817125</v>
      </c>
      <c r="K23" s="75"/>
      <c r="M23" s="150">
        <v>136165.79502335232</v>
      </c>
      <c r="N23" s="150">
        <v>29890.052566101727</v>
      </c>
      <c r="O23" s="205">
        <v>136165.79502335232</v>
      </c>
      <c r="P23" t="b">
        <f t="shared" si="4"/>
        <v>1</v>
      </c>
      <c r="S23" s="226" t="s">
        <v>183</v>
      </c>
      <c r="T23" s="227" t="s">
        <v>183</v>
      </c>
      <c r="U23" s="228"/>
      <c r="W23" s="226" t="s">
        <v>183</v>
      </c>
      <c r="X23" s="227" t="s">
        <v>183</v>
      </c>
      <c r="Y23" s="228"/>
    </row>
    <row r="24" spans="1:25">
      <c r="A24" s="82">
        <v>45778</v>
      </c>
      <c r="B24" s="42">
        <v>2.0049794197489691E-2</v>
      </c>
      <c r="C24" s="141">
        <f t="shared" si="0"/>
        <v>201016.69824895036</v>
      </c>
      <c r="D24" s="42">
        <v>2.0049794197489691E-2</v>
      </c>
      <c r="E24" s="79">
        <f t="shared" si="1"/>
        <v>44125.616688793983</v>
      </c>
      <c r="G24" s="36">
        <v>1.4441966323009937E-2</v>
      </c>
      <c r="H24" s="69">
        <f t="shared" si="2"/>
        <v>144793.3259503216</v>
      </c>
      <c r="I24" s="75"/>
      <c r="J24" s="75">
        <f t="shared" si="3"/>
        <v>31783.900818363283</v>
      </c>
      <c r="K24" s="75"/>
      <c r="M24" s="150">
        <v>199823.24395059652</v>
      </c>
      <c r="N24" s="150">
        <v>43863.638915984593</v>
      </c>
      <c r="O24" s="205">
        <v>199823.24395059652</v>
      </c>
      <c r="P24" t="b">
        <f t="shared" si="4"/>
        <v>1</v>
      </c>
      <c r="S24" s="21"/>
      <c r="T24" s="21" t="s">
        <v>181</v>
      </c>
      <c r="U24" s="21" t="s">
        <v>102</v>
      </c>
      <c r="W24" s="21"/>
      <c r="X24" s="21" t="s">
        <v>181</v>
      </c>
      <c r="Y24" s="21" t="s">
        <v>102</v>
      </c>
    </row>
    <row r="25" spans="1:25">
      <c r="A25" s="82">
        <v>45809</v>
      </c>
      <c r="B25" s="42">
        <v>1.6762370939204262E-2</v>
      </c>
      <c r="C25" s="141">
        <f t="shared" si="0"/>
        <v>168057.40886082879</v>
      </c>
      <c r="D25" s="42">
        <v>1.6762370939204262E-2</v>
      </c>
      <c r="E25" s="79">
        <f t="shared" si="1"/>
        <v>36890.650725547785</v>
      </c>
      <c r="G25" s="36">
        <v>1.6952050743465567E-2</v>
      </c>
      <c r="H25" s="69">
        <f t="shared" si="2"/>
        <v>169959.11456421643</v>
      </c>
      <c r="I25" s="75"/>
      <c r="J25" s="75">
        <f t="shared" si="3"/>
        <v>37308.098318974342</v>
      </c>
      <c r="K25" s="75"/>
      <c r="M25" s="150">
        <v>167059.63684127861</v>
      </c>
      <c r="N25" s="150">
        <v>36671.627599305059</v>
      </c>
      <c r="O25" s="205">
        <v>167059.63684127861</v>
      </c>
      <c r="P25" t="b">
        <f t="shared" si="4"/>
        <v>1</v>
      </c>
      <c r="S25" s="14" t="s">
        <v>182</v>
      </c>
      <c r="T25" s="17">
        <v>3310262.58</v>
      </c>
      <c r="U25" s="17">
        <f>SUM(M8:M31)</f>
        <v>3496429.8433997575</v>
      </c>
      <c r="W25" s="14" t="s">
        <v>182</v>
      </c>
      <c r="X25" s="17">
        <v>726643.01</v>
      </c>
      <c r="Y25" s="17">
        <f>SUM(N8:N31)</f>
        <v>762738.75968300411</v>
      </c>
    </row>
    <row r="26" spans="1:25">
      <c r="A26" s="82">
        <v>45839</v>
      </c>
      <c r="B26" s="42">
        <v>1.6098778776039897E-2</v>
      </c>
      <c r="C26" s="141">
        <f t="shared" si="0"/>
        <v>161404.31784606513</v>
      </c>
      <c r="D26" s="42">
        <v>1.6098778776039897E-2</v>
      </c>
      <c r="E26" s="79">
        <f t="shared" si="1"/>
        <v>35430.216112550886</v>
      </c>
      <c r="G26" s="36">
        <v>1.9572366084155409E-2</v>
      </c>
      <c r="H26" s="69">
        <f t="shared" si="2"/>
        <v>196230.06442875389</v>
      </c>
      <c r="I26" s="75"/>
      <c r="J26" s="75">
        <f t="shared" si="3"/>
        <v>43074.892191677689</v>
      </c>
      <c r="K26" s="75"/>
      <c r="M26" s="150">
        <v>160446.04582894297</v>
      </c>
      <c r="N26" s="150">
        <v>35219.863718548455</v>
      </c>
      <c r="O26" s="205">
        <v>160446.04582894297</v>
      </c>
      <c r="P26" t="b">
        <f t="shared" si="4"/>
        <v>1</v>
      </c>
    </row>
    <row r="27" spans="1:25">
      <c r="A27" s="82">
        <v>45870</v>
      </c>
      <c r="B27" s="42">
        <v>1.9955052720116415E-2</v>
      </c>
      <c r="C27" s="141">
        <f t="shared" si="0"/>
        <v>200066.83219141306</v>
      </c>
      <c r="D27" s="42">
        <v>1.9955052720116415E-2</v>
      </c>
      <c r="E27" s="79">
        <f t="shared" si="1"/>
        <v>43917.109505432141</v>
      </c>
      <c r="G27" s="36">
        <v>1.701617782418112E-2</v>
      </c>
      <c r="H27" s="69">
        <f t="shared" si="2"/>
        <v>170602.04455675464</v>
      </c>
      <c r="I27" s="75"/>
      <c r="J27" s="75">
        <f t="shared" si="3"/>
        <v>37449.22929294614</v>
      </c>
      <c r="K27" s="75"/>
      <c r="M27" s="150">
        <v>198879.01733365844</v>
      </c>
      <c r="N27" s="150">
        <v>43656.369658607946</v>
      </c>
      <c r="O27" s="205">
        <v>198879.01733365844</v>
      </c>
      <c r="P27" t="b">
        <f t="shared" si="4"/>
        <v>1</v>
      </c>
    </row>
    <row r="28" spans="1:25">
      <c r="A28" s="82">
        <v>45901</v>
      </c>
      <c r="B28" s="42">
        <v>2.0105591543975308E-2</v>
      </c>
      <c r="C28" s="141">
        <f t="shared" si="0"/>
        <v>201576.11538067312</v>
      </c>
      <c r="D28" s="42">
        <v>2.0105591543975308E-2</v>
      </c>
      <c r="E28" s="79">
        <f t="shared" si="1"/>
        <v>44248.415571367274</v>
      </c>
      <c r="G28" s="36">
        <v>1.4169663111850288E-2</v>
      </c>
      <c r="H28" s="69">
        <f t="shared" si="2"/>
        <v>142063.24842978764</v>
      </c>
      <c r="I28" s="75"/>
      <c r="J28" s="75">
        <f t="shared" si="3"/>
        <v>31184.615508977775</v>
      </c>
      <c r="K28" s="75"/>
      <c r="M28" s="150">
        <v>200379.34</v>
      </c>
      <c r="N28" s="150">
        <v>43985.71</v>
      </c>
      <c r="O28" s="205">
        <v>200379.3397722677</v>
      </c>
      <c r="P28" t="b">
        <f t="shared" si="4"/>
        <v>0</v>
      </c>
    </row>
    <row r="29" spans="1:25">
      <c r="A29" s="82">
        <v>45931</v>
      </c>
      <c r="B29" s="42">
        <v>2.156959636496791E-2</v>
      </c>
      <c r="C29" s="141">
        <f t="shared" si="0"/>
        <v>216254.04236774039</v>
      </c>
      <c r="D29" s="42">
        <v>2.156959636496791E-2</v>
      </c>
      <c r="E29" s="79">
        <f t="shared" si="1"/>
        <v>47470.399544138141</v>
      </c>
      <c r="G29" s="36">
        <v>1.4443061496850674E-2</v>
      </c>
      <c r="H29" s="69">
        <f t="shared" si="2"/>
        <v>144804.30602459595</v>
      </c>
      <c r="I29" s="75"/>
      <c r="J29" s="75">
        <f t="shared" si="3"/>
        <v>31786.311078569845</v>
      </c>
      <c r="K29" s="75"/>
      <c r="M29" s="150">
        <v>214970.12258073571</v>
      </c>
      <c r="N29" s="150">
        <v>47188.563493332222</v>
      </c>
      <c r="O29" s="205">
        <v>214970.12258073574</v>
      </c>
      <c r="P29" t="b">
        <f t="shared" si="4"/>
        <v>1</v>
      </c>
    </row>
    <row r="30" spans="1:25">
      <c r="A30" s="82">
        <v>45962</v>
      </c>
      <c r="B30" s="42">
        <v>9.7270332859367703E-3</v>
      </c>
      <c r="C30" s="141">
        <f t="shared" si="0"/>
        <v>97522.004247876932</v>
      </c>
      <c r="D30" s="42">
        <v>9.7270332859367703E-3</v>
      </c>
      <c r="E30" s="79">
        <f t="shared" si="1"/>
        <v>21407.269225143718</v>
      </c>
      <c r="G30" s="36">
        <v>1.5167867980476783E-2</v>
      </c>
      <c r="H30" s="69">
        <f t="shared" si="2"/>
        <v>152071.1240663589</v>
      </c>
      <c r="I30" s="75"/>
      <c r="J30" s="75">
        <f t="shared" si="3"/>
        <v>33381.46625846903</v>
      </c>
      <c r="K30" s="75"/>
      <c r="M30" s="150">
        <v>96943.01</v>
      </c>
      <c r="N30" s="150">
        <v>21280.17</v>
      </c>
      <c r="O30" s="205">
        <v>96943.007298033641</v>
      </c>
      <c r="P30" t="b">
        <f t="shared" si="4"/>
        <v>0</v>
      </c>
    </row>
    <row r="31" spans="1:25">
      <c r="A31" s="82">
        <v>45992</v>
      </c>
      <c r="B31" s="42">
        <v>1.2349464863344817E-2</v>
      </c>
      <c r="C31" s="141">
        <f>B31*$B$4</f>
        <v>123814.17123382802</v>
      </c>
      <c r="D31" s="42">
        <v>1.2349464863344817E-2</v>
      </c>
      <c r="E31" s="79">
        <f t="shared" si="1"/>
        <v>27178.720514742738</v>
      </c>
      <c r="G31" s="36">
        <v>1.1068020854470664E-2</v>
      </c>
      <c r="H31" s="69">
        <f t="shared" si="2"/>
        <v>110966.5758362138</v>
      </c>
      <c r="I31" s="75"/>
      <c r="J31" s="75">
        <f t="shared" si="3"/>
        <v>24358.516646973763</v>
      </c>
      <c r="K31" s="75"/>
      <c r="M31" s="150">
        <v>123079.08</v>
      </c>
      <c r="N31" s="150">
        <v>27178.720514742738</v>
      </c>
      <c r="O31" s="205"/>
      <c r="P31" t="b">
        <f t="shared" si="4"/>
        <v>0</v>
      </c>
    </row>
    <row r="32" spans="1:25">
      <c r="A32" s="82">
        <v>46023</v>
      </c>
      <c r="B32" s="42">
        <v>1.5870766119506392E-2</v>
      </c>
      <c r="C32" s="141">
        <f t="shared" si="0"/>
        <v>159118.29181887151</v>
      </c>
      <c r="D32" s="42">
        <v>1.5870766119506392E-2</v>
      </c>
      <c r="E32" s="79">
        <f t="shared" si="1"/>
        <v>34928.405521215704</v>
      </c>
      <c r="G32" s="36">
        <v>1.6415274947286184E-2</v>
      </c>
      <c r="H32" s="69">
        <f t="shared" si="2"/>
        <v>164577.46838944222</v>
      </c>
      <c r="I32" s="75"/>
      <c r="J32" s="75">
        <f t="shared" si="3"/>
        <v>36126.761353779999</v>
      </c>
      <c r="K32" s="75"/>
      <c r="M32" s="150">
        <v>179863.01220826618</v>
      </c>
      <c r="N32" s="150">
        <v>44252.354962659767</v>
      </c>
      <c r="O32" s="205"/>
      <c r="P32" t="b">
        <f t="shared" si="4"/>
        <v>0</v>
      </c>
    </row>
    <row r="33" spans="1:16">
      <c r="A33" s="82">
        <v>46054</v>
      </c>
      <c r="B33" s="42">
        <v>1.6365187508465974E-2</v>
      </c>
      <c r="C33" s="141">
        <f t="shared" si="0"/>
        <v>164075.29806907824</v>
      </c>
      <c r="D33" s="42">
        <v>1.6365187508465974E-2</v>
      </c>
      <c r="E33" s="79">
        <f t="shared" si="1"/>
        <v>36016.528844431814</v>
      </c>
      <c r="G33" s="36">
        <v>1.9405102381607267E-2</v>
      </c>
      <c r="H33" s="69">
        <f t="shared" si="2"/>
        <v>194553.09972318442</v>
      </c>
      <c r="I33" s="75"/>
      <c r="J33" s="75">
        <f t="shared" si="3"/>
        <v>42706.777988016096</v>
      </c>
      <c r="K33" s="75"/>
      <c r="M33" s="150">
        <v>164075.29806907824</v>
      </c>
      <c r="N33" s="150">
        <v>36016.528844431814</v>
      </c>
    </row>
    <row r="34" spans="1:16">
      <c r="A34" s="82">
        <v>46082</v>
      </c>
      <c r="B34" s="42">
        <v>1.8146249270541096E-2</v>
      </c>
      <c r="C34" s="141">
        <f t="shared" si="0"/>
        <v>181931.99780690522</v>
      </c>
      <c r="D34" s="42">
        <v>1.8146249270541096E-2</v>
      </c>
      <c r="E34" s="79">
        <f t="shared" si="1"/>
        <v>39936.292201515782</v>
      </c>
      <c r="F34" s="87"/>
      <c r="G34" s="36">
        <v>3.1912501800626873E-2</v>
      </c>
      <c r="H34" s="69">
        <f t="shared" si="2"/>
        <v>319950.70281713275</v>
      </c>
      <c r="I34" s="75"/>
      <c r="J34" s="75">
        <f t="shared" si="3"/>
        <v>70233.081106199883</v>
      </c>
      <c r="K34" s="75"/>
      <c r="M34" s="150">
        <v>181931.9978069053</v>
      </c>
      <c r="N34" s="150">
        <v>39936.292201515753</v>
      </c>
    </row>
    <row r="35" spans="1:16">
      <c r="A35" s="82">
        <v>46113</v>
      </c>
      <c r="B35" s="42">
        <v>1.6317928240956962E-2</v>
      </c>
      <c r="C35" s="141">
        <f t="shared" si="0"/>
        <v>163601.48263622384</v>
      </c>
      <c r="D35" s="42">
        <v>1.6317928240956962E-2</v>
      </c>
      <c r="E35" s="79">
        <f t="shared" si="1"/>
        <v>35912.520578683281</v>
      </c>
      <c r="F35" s="87"/>
      <c r="G35" s="36">
        <v>2.7416155833930613E-2</v>
      </c>
      <c r="H35" s="69">
        <f t="shared" si="2"/>
        <v>274870.90740838833</v>
      </c>
      <c r="I35" s="75"/>
      <c r="J35" s="75">
        <f t="shared" si="3"/>
        <v>60337.516260377932</v>
      </c>
      <c r="K35" s="75"/>
      <c r="M35" s="150">
        <v>163601.48263622401</v>
      </c>
      <c r="N35" s="150">
        <v>35912.520578683238</v>
      </c>
      <c r="P35" s="76"/>
    </row>
    <row r="36" spans="1:16">
      <c r="A36" s="82">
        <v>46143</v>
      </c>
      <c r="B36" s="42">
        <v>1.2086876220289339E-2</v>
      </c>
      <c r="C36" s="141">
        <f t="shared" si="0"/>
        <v>121181.49074320766</v>
      </c>
      <c r="D36" s="42">
        <v>1.2086876220289339E-2</v>
      </c>
      <c r="E36" s="79">
        <f t="shared" si="1"/>
        <v>26600.815041191927</v>
      </c>
      <c r="G36" s="36">
        <v>3.2441784261449967E-2</v>
      </c>
      <c r="H36" s="69">
        <f t="shared" si="2"/>
        <v>325257.22176030773</v>
      </c>
      <c r="I36" s="75"/>
      <c r="J36" s="75">
        <f t="shared" si="3"/>
        <v>71397.926727872429</v>
      </c>
      <c r="K36" s="75"/>
      <c r="M36" s="150">
        <v>121181.49074320766</v>
      </c>
      <c r="N36" s="150">
        <v>26600.815041191927</v>
      </c>
    </row>
    <row r="37" spans="1:16">
      <c r="A37" s="168">
        <v>46174</v>
      </c>
      <c r="B37" s="161">
        <v>1.5580260355111631E-2</v>
      </c>
      <c r="C37" s="169">
        <f t="shared" si="0"/>
        <v>156205.71780411011</v>
      </c>
      <c r="D37" s="161">
        <v>1.5580260355111631E-2</v>
      </c>
      <c r="E37" s="170">
        <f t="shared" si="1"/>
        <v>34289.060005780273</v>
      </c>
      <c r="G37" s="36">
        <v>3.0937509416314464E-2</v>
      </c>
      <c r="H37" s="69">
        <f t="shared" si="2"/>
        <v>310175.55260951165</v>
      </c>
      <c r="I37" s="75"/>
      <c r="J37" s="75">
        <f t="shared" si="3"/>
        <v>68087.316426478166</v>
      </c>
      <c r="K37" s="75"/>
      <c r="M37" s="150">
        <v>156205.71780410968</v>
      </c>
      <c r="N37" s="150">
        <v>34289.060005780309</v>
      </c>
    </row>
    <row r="38" spans="1:16">
      <c r="A38" s="82">
        <v>46204</v>
      </c>
      <c r="B38" s="42"/>
      <c r="C38" s="141">
        <f t="shared" si="0"/>
        <v>0</v>
      </c>
      <c r="D38" s="42"/>
      <c r="E38" s="79">
        <f t="shared" si="1"/>
        <v>0</v>
      </c>
      <c r="G38" s="36">
        <v>2.4792450227507073E-2</v>
      </c>
      <c r="H38" s="69">
        <f t="shared" si="2"/>
        <v>248565.96716882449</v>
      </c>
      <c r="I38" s="75">
        <f>(G38*$H$6/(SUM($G$38:$G$54)))</f>
        <v>277375.85079180083</v>
      </c>
      <c r="J38" s="75">
        <f t="shared" si="3"/>
        <v>54563.261085839527</v>
      </c>
      <c r="K38" s="75">
        <f>(G38*$J$6/(SUM($G$38:$G$54)))</f>
        <v>60887.38188112701</v>
      </c>
    </row>
    <row r="39" spans="1:16">
      <c r="A39" s="82">
        <v>46235</v>
      </c>
      <c r="B39" s="42"/>
      <c r="C39" s="141">
        <f t="shared" si="0"/>
        <v>0</v>
      </c>
      <c r="D39" s="42"/>
      <c r="E39" s="79">
        <f t="shared" si="1"/>
        <v>0</v>
      </c>
      <c r="G39" s="36">
        <v>3.1104821291305911E-2</v>
      </c>
      <c r="H39" s="69">
        <f t="shared" si="2"/>
        <v>311853.00028589892</v>
      </c>
      <c r="I39" s="75">
        <f t="shared" ref="I39:I51" si="5">(G39*$H$6/(SUM($G$38:$G$54)))</f>
        <v>347998.12806845881</v>
      </c>
      <c r="J39" s="75">
        <f t="shared" si="3"/>
        <v>68455.536648124151</v>
      </c>
      <c r="K39" s="75">
        <f t="shared" ref="K39:K51" si="6">(G39*$J$6/(SUM($G$38:$G$54)))</f>
        <v>76389.832990637311</v>
      </c>
    </row>
    <row r="40" spans="1:16">
      <c r="A40" s="82">
        <v>46266</v>
      </c>
      <c r="B40" s="42"/>
      <c r="C40" s="141">
        <f t="shared" si="0"/>
        <v>0</v>
      </c>
      <c r="D40" s="42"/>
      <c r="E40" s="79">
        <f t="shared" si="1"/>
        <v>0</v>
      </c>
      <c r="G40" s="36">
        <v>3.2509553584695712E-2</v>
      </c>
      <c r="H40" s="69">
        <f t="shared" si="2"/>
        <v>325936.6684153328</v>
      </c>
      <c r="I40" s="75">
        <f t="shared" si="5"/>
        <v>363714.15498141845</v>
      </c>
      <c r="J40" s="75">
        <f t="shared" si="3"/>
        <v>71547.073554585251</v>
      </c>
      <c r="K40" s="75">
        <f t="shared" si="6"/>
        <v>79839.692556896742</v>
      </c>
    </row>
    <row r="41" spans="1:16">
      <c r="A41" s="82">
        <v>46296</v>
      </c>
      <c r="B41" s="42"/>
      <c r="C41" s="141">
        <f t="shared" si="0"/>
        <v>0</v>
      </c>
      <c r="D41" s="42"/>
      <c r="E41" s="79">
        <f t="shared" si="1"/>
        <v>0</v>
      </c>
      <c r="G41" s="36">
        <v>4.4382403321564269E-2</v>
      </c>
      <c r="H41" s="69">
        <f t="shared" si="2"/>
        <v>444972.35673227586</v>
      </c>
      <c r="I41" s="75">
        <f t="shared" si="5"/>
        <v>496546.60061978025</v>
      </c>
      <c r="J41" s="75">
        <f t="shared" si="3"/>
        <v>97676.85879488982</v>
      </c>
      <c r="K41" s="75">
        <f t="shared" si="6"/>
        <v>108998.03428239081</v>
      </c>
    </row>
    <row r="42" spans="1:16">
      <c r="A42" s="82">
        <v>46327</v>
      </c>
      <c r="B42" s="42"/>
      <c r="C42" s="141">
        <f t="shared" si="0"/>
        <v>0</v>
      </c>
      <c r="D42" s="42"/>
      <c r="E42" s="79">
        <f t="shared" si="1"/>
        <v>0</v>
      </c>
      <c r="G42" s="36">
        <v>3.9191314213962339E-2</v>
      </c>
      <c r="H42" s="69">
        <f t="shared" si="2"/>
        <v>392927.15454975766</v>
      </c>
      <c r="I42" s="75">
        <f t="shared" si="5"/>
        <v>438469.13169096923</v>
      </c>
      <c r="J42" s="75">
        <f t="shared" si="3"/>
        <v>86252.302218239507</v>
      </c>
      <c r="K42" s="75">
        <f t="shared" si="6"/>
        <v>96249.32159070058</v>
      </c>
    </row>
    <row r="43" spans="1:16">
      <c r="A43" s="82">
        <v>46357</v>
      </c>
      <c r="B43" s="42"/>
      <c r="C43" s="141">
        <f t="shared" si="0"/>
        <v>0</v>
      </c>
      <c r="D43" s="42"/>
      <c r="E43" s="79">
        <f t="shared" si="1"/>
        <v>0</v>
      </c>
      <c r="G43" s="36">
        <v>2.0692973599039977E-2</v>
      </c>
      <c r="H43" s="69">
        <f t="shared" si="2"/>
        <v>207465.13350009933</v>
      </c>
      <c r="I43" s="75">
        <f t="shared" si="5"/>
        <v>231511.25059344835</v>
      </c>
      <c r="J43" s="75">
        <f t="shared" si="3"/>
        <v>45541.126865875463</v>
      </c>
      <c r="K43" s="75">
        <f t="shared" si="6"/>
        <v>50819.542813195985</v>
      </c>
    </row>
    <row r="44" spans="1:16">
      <c r="A44" s="82">
        <v>46388</v>
      </c>
      <c r="B44" s="42"/>
      <c r="C44" s="141">
        <f t="shared" si="0"/>
        <v>0</v>
      </c>
      <c r="D44" s="42"/>
      <c r="E44" s="79">
        <f t="shared" si="1"/>
        <v>0</v>
      </c>
      <c r="G44" s="36">
        <v>2.3059641811112318E-2</v>
      </c>
      <c r="H44" s="69">
        <f t="shared" si="2"/>
        <v>231193.04936574411</v>
      </c>
      <c r="I44" s="75">
        <f t="shared" si="5"/>
        <v>257989.3357702471</v>
      </c>
      <c r="J44" s="75">
        <f t="shared" si="3"/>
        <v>50749.693763212126</v>
      </c>
      <c r="K44" s="75">
        <f t="shared" si="6"/>
        <v>56631.805412981077</v>
      </c>
    </row>
    <row r="45" spans="1:16">
      <c r="A45" s="82">
        <v>46419</v>
      </c>
      <c r="B45" s="42"/>
      <c r="C45" s="141">
        <f t="shared" si="0"/>
        <v>0</v>
      </c>
      <c r="D45" s="42"/>
      <c r="E45" s="79">
        <f t="shared" si="1"/>
        <v>0</v>
      </c>
      <c r="G45" s="36">
        <v>3.7686682913532672E-2</v>
      </c>
      <c r="H45" s="69">
        <f t="shared" si="2"/>
        <v>377841.91162331088</v>
      </c>
      <c r="I45" s="75">
        <f t="shared" si="5"/>
        <v>421635.44307790889</v>
      </c>
      <c r="J45" s="75">
        <f t="shared" si="3"/>
        <v>82940.907429507264</v>
      </c>
      <c r="K45" s="75">
        <f t="shared" si="6"/>
        <v>92554.121651248293</v>
      </c>
      <c r="O45" s="14" t="s">
        <v>187</v>
      </c>
      <c r="P45" s="18">
        <v>3373213.71</v>
      </c>
    </row>
    <row r="46" spans="1:16">
      <c r="A46" s="82">
        <v>46447</v>
      </c>
      <c r="B46" s="42"/>
      <c r="C46" s="141">
        <f t="shared" si="0"/>
        <v>0</v>
      </c>
      <c r="D46" s="42"/>
      <c r="E46" s="79">
        <f t="shared" si="1"/>
        <v>0</v>
      </c>
      <c r="G46" s="36">
        <v>5.7833170978423797E-2</v>
      </c>
      <c r="H46" s="69">
        <f t="shared" si="2"/>
        <v>579828.05034504132</v>
      </c>
      <c r="I46" s="75">
        <f t="shared" si="5"/>
        <v>647032.65941540583</v>
      </c>
      <c r="J46" s="75">
        <f t="shared" si="3"/>
        <v>127279.32812452127</v>
      </c>
      <c r="K46" s="75">
        <f t="shared" si="6"/>
        <v>142031.55938386958</v>
      </c>
      <c r="O46" s="14" t="s">
        <v>188</v>
      </c>
      <c r="P46" s="18">
        <f>6652659.6911204-E57</f>
        <v>6580068.8177763997</v>
      </c>
    </row>
    <row r="47" spans="1:16">
      <c r="A47" s="82">
        <v>46478</v>
      </c>
      <c r="B47" s="42"/>
      <c r="C47" s="141">
        <f t="shared" si="0"/>
        <v>0</v>
      </c>
      <c r="D47" s="42"/>
      <c r="E47" s="79">
        <f t="shared" si="1"/>
        <v>0</v>
      </c>
      <c r="G47" s="36">
        <v>5.538432776731618E-2</v>
      </c>
      <c r="H47" s="69">
        <f t="shared" si="2"/>
        <v>555276.25834271521</v>
      </c>
      <c r="I47" s="75">
        <f t="shared" si="5"/>
        <v>619635.20725139673</v>
      </c>
      <c r="J47" s="75">
        <f t="shared" si="3"/>
        <v>121889.91036791312</v>
      </c>
      <c r="K47" s="75">
        <f t="shared" si="6"/>
        <v>136017.48451859929</v>
      </c>
      <c r="O47" s="14" t="s">
        <v>67</v>
      </c>
      <c r="P47" s="18">
        <v>1970875.91</v>
      </c>
    </row>
    <row r="48" spans="1:16">
      <c r="A48" s="82">
        <v>46508</v>
      </c>
      <c r="B48" s="42"/>
      <c r="C48" s="141">
        <f t="shared" si="0"/>
        <v>0</v>
      </c>
      <c r="D48" s="42"/>
      <c r="E48" s="79">
        <f t="shared" si="1"/>
        <v>0</v>
      </c>
      <c r="G48" s="36">
        <v>4.2292316256895432E-2</v>
      </c>
      <c r="H48" s="69">
        <f t="shared" si="2"/>
        <v>424017.40843434399</v>
      </c>
      <c r="I48" s="75">
        <f t="shared" si="5"/>
        <v>473162.88208968361</v>
      </c>
      <c r="J48" s="75">
        <f t="shared" si="3"/>
        <v>93076.992095343812</v>
      </c>
      <c r="K48" s="75">
        <f t="shared" si="6"/>
        <v>103865.02289773543</v>
      </c>
      <c r="O48" s="14" t="s">
        <v>189</v>
      </c>
      <c r="P48" s="155">
        <f>P47/P46</f>
        <v>0.29952208169549471</v>
      </c>
    </row>
    <row r="49" spans="1:11">
      <c r="A49" s="82">
        <v>46539</v>
      </c>
      <c r="B49" s="42"/>
      <c r="C49" s="141">
        <f t="shared" si="0"/>
        <v>0</v>
      </c>
      <c r="D49" s="42"/>
      <c r="E49" s="79">
        <f t="shared" si="1"/>
        <v>0</v>
      </c>
      <c r="G49" s="36">
        <v>3.9944724275779706E-2</v>
      </c>
      <c r="H49" s="69">
        <f t="shared" si="2"/>
        <v>400480.74844515172</v>
      </c>
      <c r="I49" s="75">
        <f t="shared" si="5"/>
        <v>446898.22018258745</v>
      </c>
      <c r="J49" s="75">
        <f t="shared" si="3"/>
        <v>87910.40819527721</v>
      </c>
      <c r="K49" s="75">
        <f t="shared" si="6"/>
        <v>98099.609308372863</v>
      </c>
    </row>
    <row r="50" spans="1:11">
      <c r="A50" s="82">
        <v>46569</v>
      </c>
      <c r="B50" s="42"/>
      <c r="C50" s="141">
        <f t="shared" si="0"/>
        <v>0</v>
      </c>
      <c r="D50" s="42"/>
      <c r="E50" s="79">
        <f t="shared" si="1"/>
        <v>0</v>
      </c>
      <c r="G50" s="36">
        <v>3.0422332792343017E-2</v>
      </c>
      <c r="H50" s="69">
        <f t="shared" ref="H50:H51" si="7">G50*$B$4</f>
        <v>305010.45700076234</v>
      </c>
      <c r="I50" s="75">
        <f t="shared" si="5"/>
        <v>340362.50406525249</v>
      </c>
      <c r="J50" s="75">
        <f t="shared" ref="J50" si="8">G50*$D$4</f>
        <v>66953.514951386867</v>
      </c>
      <c r="K50" s="75">
        <f t="shared" si="6"/>
        <v>74713.720404567619</v>
      </c>
    </row>
    <row r="51" spans="1:11">
      <c r="A51" s="82">
        <v>46600</v>
      </c>
      <c r="B51" s="42"/>
      <c r="C51" s="141">
        <f t="shared" ref="C51" si="9">B51*$B$4</f>
        <v>0</v>
      </c>
      <c r="D51" s="42"/>
      <c r="E51" s="79">
        <f t="shared" ref="E51" si="10">D51*$D$4</f>
        <v>0</v>
      </c>
      <c r="G51" s="36">
        <v>1.7899060471394553E-2</v>
      </c>
      <c r="H51" s="69">
        <f t="shared" si="7"/>
        <v>179453.71420164095</v>
      </c>
      <c r="I51" s="75">
        <f t="shared" si="5"/>
        <v>200253.18518613285</v>
      </c>
      <c r="J51" s="75">
        <f t="shared" ref="J51" si="11">G51*$D$4</f>
        <v>39392.278727189478</v>
      </c>
      <c r="K51" s="75">
        <f t="shared" si="6"/>
        <v>43958.016260370627</v>
      </c>
    </row>
    <row r="55" spans="1:11" ht="36.75" customHeight="1">
      <c r="A55" s="165" t="s">
        <v>5</v>
      </c>
      <c r="B55" s="165" t="s">
        <v>147</v>
      </c>
      <c r="C55" s="165" t="s">
        <v>148</v>
      </c>
      <c r="D55" s="166" t="s">
        <v>150</v>
      </c>
      <c r="E55" s="164" t="s">
        <v>151</v>
      </c>
      <c r="F55" s="164" t="s">
        <v>149</v>
      </c>
    </row>
    <row r="56" spans="1:11">
      <c r="A56" s="16">
        <v>45658</v>
      </c>
      <c r="B56" s="18">
        <v>10005454.57</v>
      </c>
      <c r="C56" s="155">
        <v>6.54E-2</v>
      </c>
      <c r="D56" s="155">
        <f>C56-5%</f>
        <v>1.5399999999999997E-2</v>
      </c>
      <c r="E56" s="18">
        <f>B56*D56</f>
        <v>154084.00037799997</v>
      </c>
      <c r="F56" s="17">
        <f>E56+G2</f>
        <v>12154084.000378</v>
      </c>
      <c r="G56" s="69"/>
    </row>
    <row r="57" spans="1:11">
      <c r="A57" s="16">
        <v>46023</v>
      </c>
      <c r="B57" s="18">
        <v>7890312.3200000003</v>
      </c>
      <c r="C57" s="155">
        <v>5.9200000000000003E-2</v>
      </c>
      <c r="D57" s="155">
        <f>C57-5%</f>
        <v>9.1999999999999998E-3</v>
      </c>
      <c r="E57" s="18">
        <f>B57*D57</f>
        <v>72590.873344000007</v>
      </c>
      <c r="F57" s="17">
        <f>F56+E57</f>
        <v>12226674.873722</v>
      </c>
    </row>
    <row r="58" spans="1:11">
      <c r="A58" s="14"/>
      <c r="B58" s="14"/>
      <c r="C58" s="155"/>
      <c r="D58" s="14"/>
      <c r="E58" s="14"/>
      <c r="F58" s="17">
        <f t="shared" ref="F58:F60" si="12">F57</f>
        <v>12226674.873722</v>
      </c>
    </row>
    <row r="59" spans="1:11">
      <c r="A59" s="14"/>
      <c r="B59" s="14"/>
      <c r="C59" s="14"/>
      <c r="D59" s="14"/>
      <c r="E59" s="14"/>
      <c r="F59" s="17">
        <f t="shared" si="12"/>
        <v>12226674.873722</v>
      </c>
    </row>
    <row r="60" spans="1:11">
      <c r="A60" s="14"/>
      <c r="B60" s="14"/>
      <c r="C60" s="14"/>
      <c r="D60" s="14"/>
      <c r="E60" s="14"/>
      <c r="F60" s="17">
        <f t="shared" si="12"/>
        <v>12226674.873722</v>
      </c>
    </row>
    <row r="61" spans="1:11">
      <c r="A61" s="163"/>
      <c r="B61" s="163"/>
      <c r="C61" s="163"/>
      <c r="D61" s="163"/>
      <c r="E61" s="163"/>
      <c r="F61" s="22">
        <f>F60</f>
        <v>12226674.873722</v>
      </c>
    </row>
  </sheetData>
  <mergeCells count="14">
    <mergeCell ref="M5:N5"/>
    <mergeCell ref="B1:E1"/>
    <mergeCell ref="B4:C4"/>
    <mergeCell ref="B3:C3"/>
    <mergeCell ref="B2:C2"/>
    <mergeCell ref="D2:E2"/>
    <mergeCell ref="D3:E3"/>
    <mergeCell ref="D4:E4"/>
    <mergeCell ref="S17:U17"/>
    <mergeCell ref="W17:Y17"/>
    <mergeCell ref="S18:U18"/>
    <mergeCell ref="S23:U23"/>
    <mergeCell ref="W18:Y18"/>
    <mergeCell ref="W23:Y23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2B50-366B-40D5-9B5E-1E8390C27241}">
  <sheetPr>
    <tabColor theme="8" tint="0.39997558519241921"/>
  </sheetPr>
  <dimension ref="A1:I51"/>
  <sheetViews>
    <sheetView workbookViewId="0">
      <pane ySplit="7" topLeftCell="A8" activePane="bottomLeft" state="frozen"/>
      <selection activeCell="C15" sqref="C15:K19"/>
      <selection pane="bottomLeft" activeCell="H8" sqref="H8:H13"/>
    </sheetView>
  </sheetViews>
  <sheetFormatPr defaultRowHeight="14.4"/>
  <cols>
    <col min="2" max="2" width="17.6640625" customWidth="1"/>
    <col min="3" max="3" width="23" customWidth="1"/>
    <col min="4" max="4" width="16.88671875" customWidth="1"/>
    <col min="5" max="5" width="19.6640625" customWidth="1"/>
    <col min="6" max="6" width="24" customWidth="1"/>
    <col min="7" max="7" width="19.6640625" customWidth="1"/>
    <col min="8" max="8" width="15.88671875" bestFit="1" customWidth="1"/>
    <col min="9" max="9" width="12.88671875" bestFit="1" customWidth="1"/>
  </cols>
  <sheetData>
    <row r="1" spans="1:9">
      <c r="B1" s="216" t="s">
        <v>185</v>
      </c>
      <c r="C1" s="216"/>
    </row>
    <row r="2" spans="1:9">
      <c r="B2" s="232" t="s">
        <v>77</v>
      </c>
      <c r="C2" s="233"/>
    </row>
    <row r="3" spans="1:9">
      <c r="B3" s="232" t="s">
        <v>78</v>
      </c>
      <c r="C3" s="233"/>
    </row>
    <row r="4" spans="1:9">
      <c r="B4" s="230">
        <v>1804851.92</v>
      </c>
      <c r="C4" s="231"/>
      <c r="D4" s="76"/>
      <c r="E4" s="76"/>
      <c r="F4" s="76"/>
      <c r="G4" s="76"/>
    </row>
    <row r="5" spans="1:9">
      <c r="B5" s="77" t="s">
        <v>79</v>
      </c>
      <c r="C5" s="77" t="s">
        <v>80</v>
      </c>
      <c r="H5" s="204" t="s">
        <v>72</v>
      </c>
    </row>
    <row r="6" spans="1:9">
      <c r="B6" s="78">
        <f>SUM(B8:B51)</f>
        <v>0.55359999999999998</v>
      </c>
      <c r="C6" s="81">
        <f>SUM(C8:C51)</f>
        <v>999166.02291199996</v>
      </c>
      <c r="F6" s="76">
        <f>B4-C6</f>
        <v>805685.89708799997</v>
      </c>
      <c r="H6" s="181">
        <f>SUM(H8:H50)</f>
        <v>999166.02291199996</v>
      </c>
      <c r="I6" s="76">
        <f>C6-H6</f>
        <v>0</v>
      </c>
    </row>
    <row r="7" spans="1:9">
      <c r="A7" s="19" t="s">
        <v>5</v>
      </c>
      <c r="B7" s="19" t="s">
        <v>24</v>
      </c>
      <c r="C7" s="19" t="s">
        <v>81</v>
      </c>
      <c r="E7" s="19" t="s">
        <v>125</v>
      </c>
      <c r="F7" s="19" t="s">
        <v>138</v>
      </c>
      <c r="H7" s="19" t="s">
        <v>77</v>
      </c>
    </row>
    <row r="8" spans="1:9">
      <c r="A8" s="82">
        <v>45992</v>
      </c>
      <c r="B8" s="42">
        <v>5.2199999999999996E-2</v>
      </c>
      <c r="C8" s="141">
        <f>B8*$B$4</f>
        <v>94213.270223999993</v>
      </c>
      <c r="E8" s="36">
        <v>5.222827E-2</v>
      </c>
      <c r="F8" s="69"/>
      <c r="G8" s="69"/>
      <c r="H8" s="150">
        <v>92993.94544996148</v>
      </c>
    </row>
    <row r="9" spans="1:9">
      <c r="A9" s="82">
        <f>EDATE(A8,1)</f>
        <v>46023</v>
      </c>
      <c r="B9" s="42">
        <v>6.6400000000000001E-2</v>
      </c>
      <c r="C9" s="141">
        <f>B9*$B$4</f>
        <v>119842.16748799999</v>
      </c>
      <c r="E9" s="36">
        <v>6.6352679999999997E-2</v>
      </c>
      <c r="F9" s="69">
        <f t="shared" ref="F9:F18" si="0">E9*$B$4</f>
        <v>119756.7618951456</v>
      </c>
      <c r="G9" s="75"/>
      <c r="H9" s="150">
        <v>119807.97601575598</v>
      </c>
    </row>
    <row r="10" spans="1:9">
      <c r="A10" s="82">
        <f t="shared" ref="A10:A19" si="1">EDATE(A9,1)</f>
        <v>46054</v>
      </c>
      <c r="B10" s="42">
        <v>9.2400000000000024E-2</v>
      </c>
      <c r="C10" s="141">
        <f t="shared" ref="C10:C51" si="2">B10*$B$4</f>
        <v>166768.31740800003</v>
      </c>
      <c r="E10" s="36">
        <v>9.2425259999999995E-2</v>
      </c>
      <c r="F10" s="69">
        <f t="shared" si="0"/>
        <v>166813.9079674992</v>
      </c>
      <c r="G10" s="69"/>
      <c r="H10" s="150">
        <v>167984.15201723264</v>
      </c>
    </row>
    <row r="11" spans="1:9">
      <c r="A11" s="82">
        <f t="shared" si="1"/>
        <v>46082</v>
      </c>
      <c r="B11" s="42">
        <v>0.11949999999999995</v>
      </c>
      <c r="C11" s="141">
        <f t="shared" si="2"/>
        <v>215679.80443999992</v>
      </c>
      <c r="E11" s="36">
        <v>0.11946191</v>
      </c>
      <c r="F11" s="69">
        <f t="shared" si="0"/>
        <v>215611.0576303672</v>
      </c>
      <c r="G11" s="69"/>
      <c r="H11" s="150">
        <v>215703.30706053553</v>
      </c>
    </row>
    <row r="12" spans="1:9">
      <c r="A12" s="82">
        <f t="shared" si="1"/>
        <v>46113</v>
      </c>
      <c r="B12" s="42">
        <v>7.9000000000000056E-2</v>
      </c>
      <c r="C12" s="141">
        <f t="shared" si="2"/>
        <v>142583.30168000009</v>
      </c>
      <c r="E12" s="36">
        <v>7.9025330000000005E-2</v>
      </c>
      <c r="F12" s="69">
        <f t="shared" si="0"/>
        <v>142629.01857913361</v>
      </c>
      <c r="G12" s="69"/>
      <c r="H12" s="150">
        <v>178228.674851786</v>
      </c>
    </row>
    <row r="13" spans="1:9">
      <c r="A13" s="82">
        <f t="shared" si="1"/>
        <v>46143</v>
      </c>
      <c r="B13" s="42">
        <v>7.4599999999999944E-2</v>
      </c>
      <c r="C13" s="141">
        <f>B13*$B$4</f>
        <v>134641.95323199988</v>
      </c>
      <c r="E13" s="36">
        <v>6.6466979999999995E-2</v>
      </c>
      <c r="F13" s="69">
        <f t="shared" si="0"/>
        <v>119963.05646960158</v>
      </c>
      <c r="G13" s="69"/>
      <c r="H13" s="150">
        <v>99010.759076728253</v>
      </c>
    </row>
    <row r="14" spans="1:9">
      <c r="A14" s="168">
        <f t="shared" si="1"/>
        <v>46174</v>
      </c>
      <c r="B14" s="161">
        <v>6.9500000000000034E-2</v>
      </c>
      <c r="C14" s="169">
        <f t="shared" si="2"/>
        <v>125437.20844000006</v>
      </c>
      <c r="E14" s="36">
        <v>0.11794412999999999</v>
      </c>
      <c r="F14" s="69">
        <f t="shared" si="0"/>
        <v>212871.68948322959</v>
      </c>
      <c r="G14" s="69"/>
      <c r="H14" s="150">
        <v>125437.20844000007</v>
      </c>
    </row>
    <row r="15" spans="1:9">
      <c r="A15" s="85">
        <f t="shared" si="1"/>
        <v>46204</v>
      </c>
      <c r="B15" s="42"/>
      <c r="C15" s="141">
        <f t="shared" si="2"/>
        <v>0</v>
      </c>
      <c r="E15" s="36">
        <v>0.15264992999999999</v>
      </c>
      <c r="F15" s="69">
        <f t="shared" si="0"/>
        <v>275510.51924836554</v>
      </c>
      <c r="G15" s="69">
        <f>(E15*$F$6/(SUM($E$15:$E$31)))</f>
        <v>302854.65848242573</v>
      </c>
    </row>
    <row r="16" spans="1:9">
      <c r="A16" s="85">
        <f t="shared" si="1"/>
        <v>46235</v>
      </c>
      <c r="B16" s="42"/>
      <c r="C16" s="141">
        <f>B16*$B$4</f>
        <v>0</v>
      </c>
      <c r="E16" s="36">
        <v>0.14121407</v>
      </c>
      <c r="F16" s="69">
        <f t="shared" si="0"/>
        <v>254870.48537051439</v>
      </c>
      <c r="G16" s="69">
        <f t="shared" ref="G16:G18" si="3">(E16*$F$6/(SUM($E$15:$E$31)))</f>
        <v>280166.12220368109</v>
      </c>
    </row>
    <row r="17" spans="1:7">
      <c r="A17" s="85">
        <f t="shared" si="1"/>
        <v>46266</v>
      </c>
      <c r="B17" s="42"/>
      <c r="C17" s="141">
        <f>B17*$B$4</f>
        <v>0</v>
      </c>
      <c r="E17" s="36">
        <v>8.9512039999999876E-2</v>
      </c>
      <c r="F17" s="69">
        <f t="shared" si="0"/>
        <v>161555.97725711658</v>
      </c>
      <c r="G17" s="69">
        <f t="shared" si="3"/>
        <v>177590.24392782358</v>
      </c>
    </row>
    <row r="18" spans="1:7">
      <c r="A18" s="85">
        <f t="shared" si="1"/>
        <v>46296</v>
      </c>
      <c r="B18" s="42"/>
      <c r="C18" s="141">
        <f>B18*$B$4</f>
        <v>0</v>
      </c>
      <c r="E18" s="36">
        <v>2.2719400000000001E-2</v>
      </c>
      <c r="F18" s="69">
        <f t="shared" si="0"/>
        <v>41005.152711247996</v>
      </c>
      <c r="G18" s="69">
        <f t="shared" si="3"/>
        <v>45074.872474069423</v>
      </c>
    </row>
    <row r="19" spans="1:7">
      <c r="A19" s="85">
        <f t="shared" si="1"/>
        <v>46327</v>
      </c>
      <c r="B19" s="42"/>
      <c r="C19" s="141">
        <f>B19*$B$4</f>
        <v>0</v>
      </c>
      <c r="E19" s="36"/>
      <c r="F19" s="36"/>
      <c r="G19" s="36"/>
    </row>
    <row r="20" spans="1:7">
      <c r="A20" s="82"/>
      <c r="B20" s="42"/>
      <c r="C20" s="141">
        <f>B20*$B$4</f>
        <v>0</v>
      </c>
      <c r="E20" s="36"/>
      <c r="F20" s="36"/>
      <c r="G20" s="36"/>
    </row>
    <row r="21" spans="1:7">
      <c r="A21" s="82"/>
      <c r="B21" s="42"/>
      <c r="C21" s="141">
        <f t="shared" si="2"/>
        <v>0</v>
      </c>
      <c r="E21" s="36"/>
      <c r="F21" s="36"/>
      <c r="G21" s="36"/>
    </row>
    <row r="22" spans="1:7">
      <c r="A22" s="82"/>
      <c r="B22" s="42"/>
      <c r="C22" s="141">
        <f>B22*$B$4</f>
        <v>0</v>
      </c>
      <c r="E22" s="36"/>
      <c r="F22" s="36"/>
      <c r="G22" s="36"/>
    </row>
    <row r="23" spans="1:7">
      <c r="A23" s="82"/>
      <c r="B23" s="42"/>
      <c r="C23" s="141">
        <f t="shared" si="2"/>
        <v>0</v>
      </c>
      <c r="E23" s="36"/>
      <c r="F23" s="36"/>
      <c r="G23" s="36"/>
    </row>
    <row r="24" spans="1:7">
      <c r="A24" s="82"/>
      <c r="B24" s="42"/>
      <c r="C24" s="141">
        <f t="shared" si="2"/>
        <v>0</v>
      </c>
      <c r="E24" s="36"/>
      <c r="F24" s="36"/>
      <c r="G24" s="36"/>
    </row>
    <row r="25" spans="1:7">
      <c r="A25" s="82"/>
      <c r="B25" s="42"/>
      <c r="C25" s="141">
        <f t="shared" si="2"/>
        <v>0</v>
      </c>
      <c r="E25" s="36"/>
      <c r="F25" s="36"/>
      <c r="G25" s="36"/>
    </row>
    <row r="26" spans="1:7">
      <c r="A26" s="82"/>
      <c r="B26" s="42"/>
      <c r="C26" s="141">
        <f t="shared" si="2"/>
        <v>0</v>
      </c>
      <c r="E26" s="36"/>
      <c r="F26" s="36"/>
      <c r="G26" s="36"/>
    </row>
    <row r="27" spans="1:7">
      <c r="A27" s="82"/>
      <c r="B27" s="42"/>
      <c r="C27" s="141">
        <f t="shared" si="2"/>
        <v>0</v>
      </c>
      <c r="E27" s="36"/>
      <c r="F27" s="36"/>
      <c r="G27" s="36"/>
    </row>
    <row r="28" spans="1:7">
      <c r="A28" s="82"/>
      <c r="B28" s="42"/>
      <c r="C28" s="141">
        <f t="shared" si="2"/>
        <v>0</v>
      </c>
      <c r="E28" s="36"/>
      <c r="F28" s="36"/>
      <c r="G28" s="36"/>
    </row>
    <row r="29" spans="1:7">
      <c r="A29" s="82"/>
      <c r="B29" s="42"/>
      <c r="C29" s="141">
        <f t="shared" si="2"/>
        <v>0</v>
      </c>
      <c r="E29" s="36"/>
      <c r="F29" s="36"/>
      <c r="G29" s="36"/>
    </row>
    <row r="30" spans="1:7">
      <c r="A30" s="82"/>
      <c r="B30" s="42"/>
      <c r="C30" s="141">
        <f t="shared" si="2"/>
        <v>0</v>
      </c>
      <c r="E30" s="36"/>
      <c r="F30" s="36"/>
      <c r="G30" s="36"/>
    </row>
    <row r="31" spans="1:7">
      <c r="A31" s="82"/>
      <c r="B31" s="42"/>
      <c r="C31" s="141">
        <f>B31*$B$4</f>
        <v>0</v>
      </c>
      <c r="E31" s="36"/>
      <c r="F31" s="36"/>
      <c r="G31" s="36"/>
    </row>
    <row r="32" spans="1:7">
      <c r="A32" s="82"/>
      <c r="B32" s="42"/>
      <c r="C32" s="141">
        <f t="shared" si="2"/>
        <v>0</v>
      </c>
      <c r="E32" s="36"/>
      <c r="F32" s="36"/>
      <c r="G32" s="36"/>
    </row>
    <row r="33" spans="1:7">
      <c r="A33" s="82"/>
      <c r="B33" s="42"/>
      <c r="C33" s="141">
        <f t="shared" si="2"/>
        <v>0</v>
      </c>
      <c r="E33" s="36"/>
      <c r="F33" s="36"/>
      <c r="G33" s="36"/>
    </row>
    <row r="34" spans="1:7">
      <c r="A34" s="82"/>
      <c r="B34" s="42"/>
      <c r="C34" s="141">
        <f t="shared" si="2"/>
        <v>0</v>
      </c>
      <c r="D34" s="87"/>
      <c r="E34" s="36"/>
      <c r="F34" s="36"/>
      <c r="G34" s="36"/>
    </row>
    <row r="35" spans="1:7">
      <c r="A35" s="82"/>
      <c r="B35" s="42"/>
      <c r="C35" s="141">
        <f t="shared" si="2"/>
        <v>0</v>
      </c>
      <c r="D35" s="87"/>
      <c r="E35" s="36"/>
      <c r="F35" s="36"/>
      <c r="G35" s="36"/>
    </row>
    <row r="36" spans="1:7">
      <c r="A36" s="82"/>
      <c r="B36" s="42"/>
      <c r="C36" s="141">
        <f t="shared" si="2"/>
        <v>0</v>
      </c>
      <c r="E36" s="36"/>
      <c r="F36" s="36"/>
      <c r="G36" s="36"/>
    </row>
    <row r="37" spans="1:7">
      <c r="A37" s="82"/>
      <c r="B37" s="42"/>
      <c r="C37" s="141">
        <f t="shared" si="2"/>
        <v>0</v>
      </c>
      <c r="E37" s="36"/>
      <c r="F37" s="36"/>
      <c r="G37" s="36"/>
    </row>
    <row r="38" spans="1:7">
      <c r="A38" s="82"/>
      <c r="B38" s="42"/>
      <c r="C38" s="141">
        <f t="shared" si="2"/>
        <v>0</v>
      </c>
      <c r="E38" s="36"/>
      <c r="F38" s="36"/>
      <c r="G38" s="36"/>
    </row>
    <row r="39" spans="1:7">
      <c r="A39" s="82"/>
      <c r="B39" s="42"/>
      <c r="C39" s="141">
        <f t="shared" si="2"/>
        <v>0</v>
      </c>
      <c r="E39" s="36"/>
      <c r="F39" s="36"/>
      <c r="G39" s="36"/>
    </row>
    <row r="40" spans="1:7">
      <c r="A40" s="82"/>
      <c r="B40" s="42"/>
      <c r="C40" s="141">
        <f t="shared" si="2"/>
        <v>0</v>
      </c>
      <c r="E40" s="36"/>
      <c r="F40" s="36"/>
      <c r="G40" s="36"/>
    </row>
    <row r="41" spans="1:7">
      <c r="A41" s="82"/>
      <c r="B41" s="42"/>
      <c r="C41" s="141">
        <f t="shared" si="2"/>
        <v>0</v>
      </c>
      <c r="E41" s="36"/>
      <c r="F41" s="36"/>
      <c r="G41" s="36"/>
    </row>
    <row r="42" spans="1:7">
      <c r="A42" s="82"/>
      <c r="B42" s="42"/>
      <c r="C42" s="141">
        <f t="shared" si="2"/>
        <v>0</v>
      </c>
      <c r="E42" s="36"/>
      <c r="F42" s="36"/>
      <c r="G42" s="36"/>
    </row>
    <row r="43" spans="1:7">
      <c r="A43" s="82"/>
      <c r="B43" s="42"/>
      <c r="C43" s="141">
        <f t="shared" si="2"/>
        <v>0</v>
      </c>
      <c r="E43" s="36"/>
      <c r="F43" s="36"/>
      <c r="G43" s="36"/>
    </row>
    <row r="44" spans="1:7">
      <c r="A44" s="82"/>
      <c r="B44" s="42"/>
      <c r="C44" s="141">
        <f t="shared" si="2"/>
        <v>0</v>
      </c>
      <c r="E44" s="36"/>
      <c r="F44" s="36"/>
      <c r="G44" s="36"/>
    </row>
    <row r="45" spans="1:7">
      <c r="A45" s="82"/>
      <c r="B45" s="42"/>
      <c r="C45" s="141">
        <f t="shared" si="2"/>
        <v>0</v>
      </c>
      <c r="E45" s="36"/>
      <c r="F45" s="36"/>
      <c r="G45" s="36"/>
    </row>
    <row r="46" spans="1:7">
      <c r="A46" s="82"/>
      <c r="B46" s="42"/>
      <c r="C46" s="141">
        <f t="shared" si="2"/>
        <v>0</v>
      </c>
      <c r="E46" s="36"/>
      <c r="F46" s="36"/>
      <c r="G46" s="36"/>
    </row>
    <row r="47" spans="1:7">
      <c r="A47" s="82"/>
      <c r="B47" s="42"/>
      <c r="C47" s="141">
        <f t="shared" si="2"/>
        <v>0</v>
      </c>
      <c r="E47" s="36"/>
      <c r="F47" s="36"/>
      <c r="G47" s="36"/>
    </row>
    <row r="48" spans="1:7">
      <c r="A48" s="82"/>
      <c r="B48" s="42"/>
      <c r="C48" s="141">
        <f t="shared" si="2"/>
        <v>0</v>
      </c>
      <c r="E48" s="36"/>
      <c r="F48" s="36"/>
      <c r="G48" s="36"/>
    </row>
    <row r="49" spans="1:7">
      <c r="A49" s="82"/>
      <c r="B49" s="42"/>
      <c r="C49" s="141">
        <f t="shared" si="2"/>
        <v>0</v>
      </c>
      <c r="E49" s="36"/>
      <c r="F49" s="36"/>
      <c r="G49" s="36"/>
    </row>
    <row r="50" spans="1:7">
      <c r="A50" s="82"/>
      <c r="B50" s="42"/>
      <c r="C50" s="141">
        <f t="shared" si="2"/>
        <v>0</v>
      </c>
      <c r="E50" s="36"/>
      <c r="F50" s="36"/>
      <c r="G50" s="36"/>
    </row>
    <row r="51" spans="1:7">
      <c r="A51" s="82"/>
      <c r="B51" s="42"/>
      <c r="C51" s="141">
        <f t="shared" si="2"/>
        <v>0</v>
      </c>
      <c r="E51" s="36"/>
      <c r="F51" s="36"/>
      <c r="G51" s="36"/>
    </row>
  </sheetData>
  <mergeCells count="4">
    <mergeCell ref="B1:C1"/>
    <mergeCell ref="B2:C2"/>
    <mergeCell ref="B3:C3"/>
    <mergeCell ref="B4:C4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9626-AC21-4324-A40B-8AC21EA5A8DA}">
  <sheetPr>
    <tabColor theme="8" tint="0.39997558519241921"/>
  </sheetPr>
  <dimension ref="A1:P36"/>
  <sheetViews>
    <sheetView workbookViewId="0">
      <pane ySplit="4" topLeftCell="A20" activePane="bottomLeft" state="frozen"/>
      <selection activeCell="K19" sqref="C15:K19"/>
      <selection pane="bottomLeft" activeCell="A32" sqref="A32:D32"/>
    </sheetView>
  </sheetViews>
  <sheetFormatPr defaultRowHeight="14.4"/>
  <cols>
    <col min="1" max="1" width="10.6640625" bestFit="1" customWidth="1"/>
    <col min="2" max="2" width="12.109375" bestFit="1" customWidth="1"/>
    <col min="3" max="3" width="17.88671875" bestFit="1" customWidth="1"/>
    <col min="4" max="4" width="18.6640625" bestFit="1" customWidth="1"/>
    <col min="5" max="5" width="13.5546875" customWidth="1"/>
    <col min="7" max="7" width="18.5546875" bestFit="1" customWidth="1"/>
    <col min="8" max="9" width="15.88671875" bestFit="1" customWidth="1"/>
    <col min="10" max="10" width="14" bestFit="1" customWidth="1"/>
    <col min="12" max="12" width="12.88671875" bestFit="1" customWidth="1"/>
  </cols>
  <sheetData>
    <row r="1" spans="1:12">
      <c r="A1" s="216" t="s">
        <v>22</v>
      </c>
      <c r="B1" s="216"/>
      <c r="C1" s="216"/>
      <c r="D1" s="216"/>
      <c r="F1" t="s">
        <v>152</v>
      </c>
      <c r="G1" s="69">
        <f>G3-D3</f>
        <v>0</v>
      </c>
      <c r="H1" s="69">
        <f>G3-I3</f>
        <v>0</v>
      </c>
    </row>
    <row r="2" spans="1:12">
      <c r="A2" s="19" t="s">
        <v>1</v>
      </c>
      <c r="B2" s="19" t="s">
        <v>0</v>
      </c>
      <c r="C2" s="19" t="s">
        <v>23</v>
      </c>
      <c r="D2" s="19" t="s">
        <v>3</v>
      </c>
      <c r="G2" s="19" t="s">
        <v>127</v>
      </c>
      <c r="I2" s="19" t="s">
        <v>72</v>
      </c>
    </row>
    <row r="3" spans="1:12">
      <c r="A3" s="20">
        <v>45108</v>
      </c>
      <c r="B3" s="21">
        <f>VLOOKUP(A3,'INCC - M'!$E:$F,2,FALSE)</f>
        <v>1074.2919999999999</v>
      </c>
      <c r="C3" s="37">
        <v>1526854.38</v>
      </c>
      <c r="D3" s="22">
        <f>SUM(D5:D36)</f>
        <v>1631625.1014330022</v>
      </c>
      <c r="E3" s="68"/>
      <c r="G3" s="22">
        <f>SUM(G5:G32)</f>
        <v>1631625.1014330022</v>
      </c>
      <c r="I3" s="142">
        <f>SUM(I5:I35)</f>
        <v>1631625.1014330022</v>
      </c>
      <c r="J3" s="69">
        <f>D3-I3</f>
        <v>0</v>
      </c>
    </row>
    <row r="4" spans="1:12">
      <c r="A4" s="19" t="s">
        <v>5</v>
      </c>
      <c r="B4" s="19" t="s">
        <v>132</v>
      </c>
      <c r="C4" s="19" t="s">
        <v>24</v>
      </c>
      <c r="D4" s="19" t="s">
        <v>3</v>
      </c>
      <c r="F4" s="19" t="s">
        <v>125</v>
      </c>
      <c r="G4" s="19" t="s">
        <v>124</v>
      </c>
      <c r="I4" s="19" t="s">
        <v>72</v>
      </c>
    </row>
    <row r="5" spans="1:12">
      <c r="A5" s="16">
        <v>45170</v>
      </c>
      <c r="B5" s="14">
        <f>VLOOKUP(A5,'INCC - M'!$E:$F,2,FALSE)</f>
        <v>1077.4970000000001</v>
      </c>
      <c r="C5" s="42">
        <v>1.2788427125598393E-2</v>
      </c>
      <c r="D5" s="31">
        <f t="shared" ref="D5:D31" si="0">(C5*$C$3)*B5/$B$3</f>
        <v>19584.319258181378</v>
      </c>
      <c r="F5" s="36">
        <v>1.2788427125598393E-2</v>
      </c>
      <c r="G5" s="69">
        <f>F5*($C$3/$B$3*B5)</f>
        <v>19584.319258181375</v>
      </c>
      <c r="H5" s="114"/>
      <c r="I5" s="150">
        <v>19584.319258181378</v>
      </c>
    </row>
    <row r="6" spans="1:12">
      <c r="A6" s="16">
        <v>45200</v>
      </c>
      <c r="B6" s="14">
        <f>VLOOKUP(A6,'INCC - M'!$E:$F,2,FALSE)</f>
        <v>1080.0709999999999</v>
      </c>
      <c r="C6" s="42">
        <v>2.1628596682115305E-2</v>
      </c>
      <c r="D6" s="31">
        <f t="shared" si="0"/>
        <v>33201.363937808812</v>
      </c>
      <c r="F6" s="36">
        <v>2.1628596682115305E-2</v>
      </c>
      <c r="G6" s="69">
        <f t="shared" ref="G6:G32" si="1">F6*($C$3/$B$3*B6)</f>
        <v>33201.363937808812</v>
      </c>
      <c r="H6" s="68"/>
      <c r="I6" s="150">
        <v>33157.46608977556</v>
      </c>
      <c r="J6" s="75"/>
      <c r="K6" s="76"/>
    </row>
    <row r="7" spans="1:12">
      <c r="A7" s="16">
        <v>45231</v>
      </c>
      <c r="B7" s="14">
        <f>VLOOKUP(A7,'INCC - M'!$E:$F,2,FALSE)</f>
        <v>1082.251</v>
      </c>
      <c r="C7" s="42">
        <v>3.3472990294419531E-2</v>
      </c>
      <c r="D7" s="31">
        <f t="shared" si="0"/>
        <v>51487.02341419139</v>
      </c>
      <c r="F7" s="36">
        <v>3.3472990294419531E-2</v>
      </c>
      <c r="G7" s="69">
        <f t="shared" si="1"/>
        <v>51487.02341419139</v>
      </c>
      <c r="H7" s="68"/>
      <c r="I7" s="150">
        <v>51487.02341419139</v>
      </c>
    </row>
    <row r="8" spans="1:12">
      <c r="A8" s="16">
        <v>45261</v>
      </c>
      <c r="B8" s="14">
        <f>VLOOKUP(A8,'INCC - M'!$E:$F,2,FALSE)</f>
        <v>1083.335</v>
      </c>
      <c r="C8" s="42">
        <v>1.9473168851480038E-2</v>
      </c>
      <c r="D8" s="31">
        <f t="shared" si="0"/>
        <v>29982.972168923607</v>
      </c>
      <c r="F8" s="36">
        <v>1.9473168851480038E-2</v>
      </c>
      <c r="G8" s="69">
        <f t="shared" si="1"/>
        <v>29982.972168923607</v>
      </c>
      <c r="H8" s="68"/>
      <c r="I8" s="150">
        <v>29982.972168923607</v>
      </c>
    </row>
    <row r="9" spans="1:12">
      <c r="A9" s="16">
        <v>45292</v>
      </c>
      <c r="B9" s="14">
        <f>VLOOKUP(A9,'INCC - M'!$E:$F,2,FALSE)</f>
        <v>1086.1500000000001</v>
      </c>
      <c r="C9" s="42">
        <v>2.9123171118698919E-2</v>
      </c>
      <c r="D9" s="31">
        <f t="shared" si="0"/>
        <v>44957.664924564924</v>
      </c>
      <c r="F9" s="36">
        <v>2.9123171118698919E-2</v>
      </c>
      <c r="G9" s="69">
        <f t="shared" si="1"/>
        <v>44957.664924564924</v>
      </c>
      <c r="I9" s="150">
        <v>44957.664924564924</v>
      </c>
    </row>
    <row r="10" spans="1:12">
      <c r="A10" s="73">
        <v>45323</v>
      </c>
      <c r="B10" s="15">
        <f>VLOOKUP(A10,'INCC - M'!$E:$F,2,FALSE)</f>
        <v>1088.663</v>
      </c>
      <c r="C10" s="83">
        <v>1.3918548704347661E-2</v>
      </c>
      <c r="D10" s="31">
        <f t="shared" si="0"/>
        <v>21535.88354184922</v>
      </c>
      <c r="F10" s="36">
        <v>1.3918548704347661E-2</v>
      </c>
      <c r="G10" s="69">
        <f t="shared" si="1"/>
        <v>21535.88354184922</v>
      </c>
      <c r="I10" s="150">
        <v>21535.88354184922</v>
      </c>
    </row>
    <row r="11" spans="1:12">
      <c r="A11" s="16">
        <v>45352</v>
      </c>
      <c r="B11" s="14">
        <f>VLOOKUP(A11,'INCC - M'!$E:$F,2,FALSE)</f>
        <v>1090.8710000000001</v>
      </c>
      <c r="C11" s="42">
        <v>1.4250304954460575E-2</v>
      </c>
      <c r="D11" s="31">
        <f t="shared" si="0"/>
        <v>22093.922811214808</v>
      </c>
      <c r="F11" s="36">
        <v>1.4250304954460575E-2</v>
      </c>
      <c r="G11" s="69">
        <f t="shared" si="1"/>
        <v>22093.922811214808</v>
      </c>
      <c r="I11" s="150">
        <v>22093.922811214816</v>
      </c>
    </row>
    <row r="12" spans="1:12">
      <c r="A12" s="16">
        <v>45383</v>
      </c>
      <c r="B12" s="14">
        <f>VLOOKUP(A12,'INCC - M'!$E:$F,2,FALSE)</f>
        <v>1093.5029999999999</v>
      </c>
      <c r="C12" s="42">
        <v>2.9795405099877319E-2</v>
      </c>
      <c r="D12" s="31">
        <f t="shared" si="0"/>
        <v>46306.77660016506</v>
      </c>
      <c r="F12" s="36">
        <v>2.9795405099877319E-2</v>
      </c>
      <c r="G12" s="69">
        <f t="shared" si="1"/>
        <v>46306.776600165053</v>
      </c>
      <c r="I12" s="150">
        <v>46306.77660016506</v>
      </c>
    </row>
    <row r="13" spans="1:12">
      <c r="A13" s="16">
        <v>45413</v>
      </c>
      <c r="B13" s="14">
        <f>VLOOKUP(A13,'INCC - M'!$E:$F,2,FALSE)</f>
        <v>1097.991</v>
      </c>
      <c r="C13" s="42">
        <v>3.0693310013320253E-2</v>
      </c>
      <c r="D13" s="31">
        <f t="shared" si="0"/>
        <v>47898.044578191897</v>
      </c>
      <c r="F13" s="36">
        <v>3.0693310013320253E-2</v>
      </c>
      <c r="G13" s="69">
        <f t="shared" si="1"/>
        <v>47898.04457819189</v>
      </c>
      <c r="I13" s="150">
        <v>47898.044578191897</v>
      </c>
      <c r="L13" s="69"/>
    </row>
    <row r="14" spans="1:12">
      <c r="A14" s="16">
        <v>45444</v>
      </c>
      <c r="B14" s="14">
        <f>VLOOKUP(A14,'INCC - M'!$E:$F,2,FALSE)</f>
        <v>1104.4570000000001</v>
      </c>
      <c r="C14" s="42">
        <v>2.5690370705764815E-2</v>
      </c>
      <c r="D14" s="31">
        <f t="shared" si="0"/>
        <v>40326.864942313514</v>
      </c>
      <c r="F14" s="36">
        <v>2.5690370705764815E-2</v>
      </c>
      <c r="G14" s="69">
        <f t="shared" si="1"/>
        <v>40326.864942313514</v>
      </c>
      <c r="I14" s="150">
        <v>40326.864942313507</v>
      </c>
    </row>
    <row r="15" spans="1:12">
      <c r="A15" s="16">
        <v>45474</v>
      </c>
      <c r="B15" s="14">
        <f>VLOOKUP(A15,'INCC - M'!$E:$F,2,FALSE)</f>
        <v>1114.748</v>
      </c>
      <c r="C15" s="42">
        <v>3.6483213091226471E-2</v>
      </c>
      <c r="D15" s="31">
        <f t="shared" si="0"/>
        <v>57802.291959106376</v>
      </c>
      <c r="F15" s="36">
        <v>3.6483213091226471E-2</v>
      </c>
      <c r="G15" s="69">
        <f t="shared" si="1"/>
        <v>57802.291959106369</v>
      </c>
      <c r="I15" s="150">
        <v>57802.291959106376</v>
      </c>
    </row>
    <row r="16" spans="1:12">
      <c r="A16" s="16">
        <v>45505</v>
      </c>
      <c r="B16" s="14">
        <f>VLOOKUP(A16,'INCC - M'!$E:$F,2,FALSE)</f>
        <v>1122.452</v>
      </c>
      <c r="C16" s="42">
        <v>5.5497131536471636E-2</v>
      </c>
      <c r="D16" s="31">
        <f t="shared" si="0"/>
        <v>88534.714708509302</v>
      </c>
      <c r="F16" s="36">
        <v>5.5497131536471636E-2</v>
      </c>
      <c r="G16" s="69">
        <f t="shared" si="1"/>
        <v>88534.714708509287</v>
      </c>
      <c r="I16" s="150">
        <v>88534.714708509302</v>
      </c>
    </row>
    <row r="17" spans="1:16">
      <c r="A17" s="16">
        <v>45536</v>
      </c>
      <c r="B17" s="14">
        <f>VLOOKUP(A17,'INCC - M'!$E:$F,2,FALSE)</f>
        <v>1129.6389999999999</v>
      </c>
      <c r="C17" s="42">
        <v>2.9443579387074165E-2</v>
      </c>
      <c r="D17" s="31">
        <f t="shared" si="0"/>
        <v>47272.172344710641</v>
      </c>
      <c r="F17" s="36">
        <v>2.9443579387074165E-2</v>
      </c>
      <c r="G17" s="69">
        <f t="shared" si="1"/>
        <v>47272.172344710641</v>
      </c>
      <c r="H17" s="68"/>
      <c r="I17" s="150">
        <v>47272.172344710641</v>
      </c>
      <c r="J17" s="68"/>
      <c r="K17" s="68"/>
      <c r="L17" s="68"/>
      <c r="M17" s="68"/>
      <c r="N17" s="68"/>
      <c r="O17" s="68"/>
      <c r="P17" s="68"/>
    </row>
    <row r="18" spans="1:16">
      <c r="A18" s="16">
        <v>45566</v>
      </c>
      <c r="B18" s="14">
        <f>VLOOKUP(A18,'INCC - M'!$E:$F,2,FALSE)</f>
        <v>1136.521</v>
      </c>
      <c r="C18" s="42">
        <v>6.6549001228681418E-2</v>
      </c>
      <c r="D18" s="31">
        <f t="shared" si="0"/>
        <v>107496.4901315507</v>
      </c>
      <c r="F18" s="36">
        <v>6.6549001228681418E-2</v>
      </c>
      <c r="G18" s="69">
        <f t="shared" si="1"/>
        <v>107496.49013155069</v>
      </c>
      <c r="H18" s="75"/>
      <c r="I18" s="150">
        <v>107496.49013155067</v>
      </c>
      <c r="J18" s="75"/>
      <c r="K18" s="76"/>
    </row>
    <row r="19" spans="1:16">
      <c r="A19" s="16">
        <v>45597</v>
      </c>
      <c r="B19" s="14">
        <f>VLOOKUP(A19,'INCC - M'!$E:$F,2,FALSE)</f>
        <v>1144.136</v>
      </c>
      <c r="C19" s="42">
        <v>4.4331257433220972E-2</v>
      </c>
      <c r="D19" s="31">
        <f>(C19*$C$3)*B19/$B$3</f>
        <v>72088.000288274037</v>
      </c>
      <c r="F19" s="36">
        <v>4.4331257433220972E-2</v>
      </c>
      <c r="G19" s="69">
        <f t="shared" si="1"/>
        <v>72088.000288274023</v>
      </c>
      <c r="H19" s="75"/>
      <c r="I19" s="150">
        <v>72088.000288274052</v>
      </c>
    </row>
    <row r="20" spans="1:16">
      <c r="A20" s="16">
        <v>45627</v>
      </c>
      <c r="B20" s="14">
        <f>VLOOKUP(A20,'INCC - M'!$E:$F,2,FALSE)</f>
        <v>1149.1579999999999</v>
      </c>
      <c r="C20" s="42">
        <v>3.6640754974788851E-2</v>
      </c>
      <c r="D20" s="31">
        <f t="shared" si="0"/>
        <v>59843.837644577616</v>
      </c>
      <c r="F20" s="36">
        <v>3.6640754974788851E-2</v>
      </c>
      <c r="G20" s="69">
        <f t="shared" si="1"/>
        <v>59843.837644577608</v>
      </c>
      <c r="H20" s="75"/>
      <c r="I20" s="150">
        <v>59843.837644577608</v>
      </c>
    </row>
    <row r="21" spans="1:16">
      <c r="A21" s="16">
        <v>45658</v>
      </c>
      <c r="B21" s="14">
        <f>VLOOKUP(A21,'INCC - M'!$E:$F,2,FALSE)</f>
        <v>1154.99</v>
      </c>
      <c r="C21" s="42">
        <v>5.6170577389700993E-2</v>
      </c>
      <c r="D21" s="31">
        <f t="shared" si="0"/>
        <v>92206.68100426592</v>
      </c>
      <c r="F21" s="36">
        <v>5.6170577389700993E-2</v>
      </c>
      <c r="G21" s="69">
        <f t="shared" si="1"/>
        <v>92206.681004265905</v>
      </c>
      <c r="H21" s="75"/>
      <c r="I21" s="150">
        <v>92206.68100426592</v>
      </c>
    </row>
    <row r="22" spans="1:16">
      <c r="A22" s="16">
        <v>45689</v>
      </c>
      <c r="B22" s="14">
        <f>VLOOKUP(A22,'INCC - M'!$E:$F,2,FALSE)</f>
        <v>1163.221</v>
      </c>
      <c r="C22" s="42">
        <v>4.1028359433733785E-2</v>
      </c>
      <c r="D22" s="31">
        <f t="shared" si="0"/>
        <v>67829.975967821461</v>
      </c>
      <c r="F22" s="36">
        <v>4.1028359433733785E-2</v>
      </c>
      <c r="G22" s="69">
        <f t="shared" si="1"/>
        <v>67829.975967821447</v>
      </c>
      <c r="H22" s="75"/>
      <c r="I22" s="150">
        <v>67829.975967821461</v>
      </c>
      <c r="J22" s="69"/>
    </row>
    <row r="23" spans="1:16">
      <c r="A23" s="16">
        <v>45717</v>
      </c>
      <c r="B23" s="14">
        <f>VLOOKUP(A23,'INCC - M'!$E:$F,2,FALSE)</f>
        <v>1169.1559999999999</v>
      </c>
      <c r="C23" s="42">
        <v>6.3148702039207499E-2</v>
      </c>
      <c r="D23" s="31">
        <f t="shared" si="0"/>
        <v>104933.01920021485</v>
      </c>
      <c r="F23" s="36">
        <v>6.3148702039207499E-2</v>
      </c>
      <c r="G23" s="69">
        <f t="shared" si="1"/>
        <v>104933.01920021485</v>
      </c>
      <c r="H23" s="75"/>
      <c r="I23" s="150">
        <v>104933.01920021485</v>
      </c>
    </row>
    <row r="24" spans="1:16">
      <c r="A24" s="16">
        <v>45748</v>
      </c>
      <c r="B24" s="14">
        <f>VLOOKUP(A24,'INCC - M'!$E:$F,2,FALSE)</f>
        <v>1173.586</v>
      </c>
      <c r="C24" s="42">
        <v>6.295352731556704E-2</v>
      </c>
      <c r="D24" s="31">
        <f t="shared" si="0"/>
        <v>105005.06945063527</v>
      </c>
      <c r="F24" s="36">
        <v>6.295352731556704E-2</v>
      </c>
      <c r="G24" s="69">
        <f t="shared" si="1"/>
        <v>105005.06945063527</v>
      </c>
      <c r="H24" s="75"/>
      <c r="I24" s="150">
        <f>103892.449902629+43.9</f>
        <v>103936.34990262899</v>
      </c>
      <c r="J24" s="75"/>
      <c r="K24" s="76"/>
    </row>
    <row r="25" spans="1:16">
      <c r="A25" s="16">
        <v>45778</v>
      </c>
      <c r="B25" s="14">
        <f>VLOOKUP(A25,'INCC - M'!$E:$F,2,FALSE)</f>
        <v>1180.5640000000001</v>
      </c>
      <c r="C25" s="42">
        <v>5.9440421585610088E-2</v>
      </c>
      <c r="D25" s="31">
        <f t="shared" si="0"/>
        <v>99734.793863381827</v>
      </c>
      <c r="E25" s="69"/>
      <c r="F25" s="36">
        <v>5.9440421585610088E-2</v>
      </c>
      <c r="G25" s="69">
        <f t="shared" si="1"/>
        <v>99734.793863381827</v>
      </c>
      <c r="H25" s="75"/>
      <c r="I25" s="150">
        <v>100847.41125942138</v>
      </c>
      <c r="J25" s="69"/>
    </row>
    <row r="26" spans="1:16">
      <c r="A26" s="16">
        <v>45809</v>
      </c>
      <c r="B26" s="14">
        <f>VLOOKUP(A26,'INCC - M'!$E:$F,2,FALSE)</f>
        <v>1183.606</v>
      </c>
      <c r="C26" s="42">
        <v>4.7276530919649118E-2</v>
      </c>
      <c r="D26" s="31">
        <f t="shared" si="0"/>
        <v>79529.460583435008</v>
      </c>
      <c r="F26" s="36">
        <v>4.7276530919649118E-2</v>
      </c>
      <c r="G26" s="69">
        <f t="shared" si="1"/>
        <v>79529.460583435008</v>
      </c>
      <c r="H26" s="75"/>
      <c r="I26" s="150">
        <v>79529.460583435008</v>
      </c>
    </row>
    <row r="27" spans="1:16">
      <c r="A27" s="16">
        <v>45839</v>
      </c>
      <c r="B27" s="14">
        <f>VLOOKUP(A27,'INCC - M'!$E:$F,2,FALSE)</f>
        <v>1194.912</v>
      </c>
      <c r="C27" s="42">
        <v>4.5597000222418319E-2</v>
      </c>
      <c r="D27" s="31">
        <f t="shared" si="0"/>
        <v>77436.813221762583</v>
      </c>
      <c r="F27" s="36">
        <v>4.5597000222418319E-2</v>
      </c>
      <c r="G27" s="69">
        <f t="shared" si="1"/>
        <v>77436.813221762583</v>
      </c>
      <c r="H27" s="75"/>
      <c r="I27" s="150">
        <v>77436.813221762583</v>
      </c>
    </row>
    <row r="28" spans="1:16">
      <c r="A28" s="16">
        <v>45870</v>
      </c>
      <c r="B28" s="14">
        <f>VLOOKUP(A28,'INCC - M'!$E:$F,2,FALSE)</f>
        <v>1205.838</v>
      </c>
      <c r="C28" s="42">
        <v>5.3645764503682941E-2</v>
      </c>
      <c r="D28" s="31">
        <f t="shared" si="0"/>
        <v>91938.98020487951</v>
      </c>
      <c r="F28" s="36">
        <v>5.3645764503682941E-2</v>
      </c>
      <c r="G28" s="69">
        <f t="shared" si="1"/>
        <v>91938.98020487951</v>
      </c>
      <c r="H28" s="75"/>
      <c r="I28" s="150">
        <v>91938.98020487951</v>
      </c>
    </row>
    <row r="29" spans="1:16">
      <c r="A29" s="16">
        <v>45901</v>
      </c>
      <c r="B29" s="14">
        <f>VLOOKUP(A29,'INCC - M'!$E:$F,2,FALSE)</f>
        <v>1214.239</v>
      </c>
      <c r="C29" s="42">
        <v>4.6000672604205005E-2</v>
      </c>
      <c r="D29" s="31">
        <f t="shared" si="0"/>
        <v>79385.948344763252</v>
      </c>
      <c r="F29" s="36">
        <v>4.6000672604205005E-2</v>
      </c>
      <c r="G29" s="69">
        <f t="shared" si="1"/>
        <v>79385.948344763252</v>
      </c>
      <c r="H29" s="75"/>
      <c r="I29" s="150">
        <v>79385.948344763252</v>
      </c>
      <c r="J29" s="13"/>
    </row>
    <row r="30" spans="1:16">
      <c r="A30" s="16">
        <v>45931</v>
      </c>
      <c r="B30" s="14">
        <f>VLOOKUP(A30,'INCC - M'!$E:$F,2,FALSE)</f>
        <v>1216.825</v>
      </c>
      <c r="C30" s="42">
        <v>1.5312585179186487E-2</v>
      </c>
      <c r="D30" s="31">
        <f t="shared" si="0"/>
        <v>26482.069378111268</v>
      </c>
      <c r="F30" s="36">
        <v>1.5312585179186487E-2</v>
      </c>
      <c r="G30" s="69">
        <f t="shared" si="1"/>
        <v>26482.069378111268</v>
      </c>
      <c r="H30" s="75"/>
      <c r="I30" s="150">
        <v>26482.069378111279</v>
      </c>
      <c r="J30" s="13"/>
    </row>
    <row r="31" spans="1:16">
      <c r="A31" s="16">
        <v>45962</v>
      </c>
      <c r="B31" s="14">
        <f>VLOOKUP(A31,'INCC - M'!$E:$F,2,FALSE)</f>
        <v>1219.4069999999999</v>
      </c>
      <c r="C31" s="42">
        <v>7.334478870670502E-3</v>
      </c>
      <c r="D31" s="31">
        <f t="shared" si="0"/>
        <v>12711.395255917352</v>
      </c>
      <c r="F31" s="36">
        <v>7.334478870670502E-3</v>
      </c>
      <c r="G31" s="69">
        <f t="shared" si="1"/>
        <v>12711.395255917352</v>
      </c>
      <c r="H31" s="75"/>
      <c r="I31" s="150">
        <v>12711.39525591745</v>
      </c>
      <c r="J31" s="13"/>
    </row>
    <row r="32" spans="1:16">
      <c r="A32" s="16">
        <v>45992</v>
      </c>
      <c r="B32" s="14">
        <f>VLOOKUP(A32,'INCC - M'!$E:$F,2,FALSE)</f>
        <v>1222.865</v>
      </c>
      <c r="C32" s="42">
        <v>2.3121487348218839E-3</v>
      </c>
      <c r="D32" s="31">
        <f t="shared" ref="D32" si="2">(C32*$C$3)*B32/$B$3</f>
        <v>4018.5517036805713</v>
      </c>
      <c r="F32" s="36">
        <v>2.3121487348218839E-3</v>
      </c>
      <c r="G32" s="69">
        <f t="shared" si="1"/>
        <v>4018.5517036805718</v>
      </c>
      <c r="I32" s="150">
        <v>4018.5517036805713</v>
      </c>
      <c r="J32" s="13"/>
    </row>
    <row r="33" spans="3:3">
      <c r="C33" s="201"/>
    </row>
    <row r="34" spans="3:3">
      <c r="C34" s="203"/>
    </row>
    <row r="36" spans="3:3">
      <c r="C36" s="201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3FDD-7E3B-4ED2-815E-0C61C3A5ACD5}">
  <sheetPr>
    <tabColor theme="8" tint="0.39997558519241921"/>
  </sheetPr>
  <dimension ref="A1:C11"/>
  <sheetViews>
    <sheetView workbookViewId="0">
      <pane ySplit="4" topLeftCell="A5" activePane="bottomLeft" state="frozen"/>
      <selection activeCell="C15" sqref="C15:K19"/>
      <selection pane="bottomLeft" activeCell="C12" sqref="C12"/>
    </sheetView>
  </sheetViews>
  <sheetFormatPr defaultRowHeight="14.4"/>
  <cols>
    <col min="1" max="1" width="10.6640625" bestFit="1" customWidth="1"/>
    <col min="2" max="2" width="17.88671875" bestFit="1" customWidth="1"/>
    <col min="3" max="3" width="18.6640625" bestFit="1" customWidth="1"/>
  </cols>
  <sheetData>
    <row r="1" spans="1:3">
      <c r="A1" s="216" t="s">
        <v>168</v>
      </c>
      <c r="B1" s="216"/>
      <c r="C1" s="216"/>
    </row>
    <row r="2" spans="1:3">
      <c r="A2" s="19"/>
      <c r="B2" s="19" t="s">
        <v>18</v>
      </c>
      <c r="C2" s="19" t="s">
        <v>72</v>
      </c>
    </row>
    <row r="3" spans="1:3">
      <c r="A3" s="19"/>
      <c r="B3" s="22">
        <f>SUM(B5:B7)</f>
        <v>389884.1</v>
      </c>
      <c r="C3" s="22">
        <f>SUM(C5:C7)</f>
        <v>38988.409999999996</v>
      </c>
    </row>
    <row r="4" spans="1:3">
      <c r="A4" s="19" t="s">
        <v>5</v>
      </c>
      <c r="B4" s="19" t="s">
        <v>18</v>
      </c>
      <c r="C4" s="19" t="s">
        <v>72</v>
      </c>
    </row>
    <row r="5" spans="1:3">
      <c r="A5" s="16">
        <v>45839</v>
      </c>
      <c r="B5" s="31">
        <v>389884.1</v>
      </c>
      <c r="C5" s="99">
        <f>B5*0.1</f>
        <v>38988.409999999996</v>
      </c>
    </row>
    <row r="6" spans="1:3">
      <c r="A6" s="16">
        <v>45870</v>
      </c>
      <c r="B6" s="31"/>
      <c r="C6" s="99">
        <f t="shared" ref="C6:C11" si="0">B6*0.08</f>
        <v>0</v>
      </c>
    </row>
    <row r="7" spans="1:3">
      <c r="A7" s="16">
        <v>45901</v>
      </c>
      <c r="B7" s="17"/>
      <c r="C7" s="99">
        <f t="shared" si="0"/>
        <v>0</v>
      </c>
    </row>
    <row r="8" spans="1:3">
      <c r="A8" s="16">
        <v>45931</v>
      </c>
      <c r="B8" s="17"/>
      <c r="C8" s="99">
        <f t="shared" si="0"/>
        <v>0</v>
      </c>
    </row>
    <row r="9" spans="1:3">
      <c r="A9" s="16">
        <v>45962</v>
      </c>
      <c r="B9" s="17"/>
      <c r="C9" s="99">
        <f t="shared" si="0"/>
        <v>0</v>
      </c>
    </row>
    <row r="10" spans="1:3">
      <c r="A10" s="16">
        <v>45992</v>
      </c>
      <c r="B10" s="17"/>
      <c r="C10" s="99">
        <f t="shared" si="0"/>
        <v>0</v>
      </c>
    </row>
    <row r="11" spans="1:3">
      <c r="A11" s="16">
        <v>46023</v>
      </c>
      <c r="B11" s="17"/>
      <c r="C11" s="99">
        <f t="shared" si="0"/>
        <v>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D8DA-8518-4D5D-A057-1960DBDAA813}">
  <sheetPr>
    <tabColor theme="8" tint="0.39997558519241921"/>
  </sheetPr>
  <dimension ref="A1:J18"/>
  <sheetViews>
    <sheetView workbookViewId="0">
      <selection activeCell="H10" sqref="H10"/>
    </sheetView>
  </sheetViews>
  <sheetFormatPr defaultRowHeight="14.4"/>
  <cols>
    <col min="1" max="1" width="9.5546875" bestFit="1" customWidth="1"/>
    <col min="2" max="2" width="14.44140625" bestFit="1" customWidth="1"/>
    <col min="3" max="3" width="18.6640625" bestFit="1" customWidth="1"/>
    <col min="4" max="4" width="20" customWidth="1"/>
    <col min="5" max="5" width="16.33203125" bestFit="1" customWidth="1"/>
    <col min="6" max="6" width="18.5546875" bestFit="1" customWidth="1"/>
    <col min="7" max="8" width="15.88671875" bestFit="1" customWidth="1"/>
    <col min="9" max="9" width="17" bestFit="1" customWidth="1"/>
  </cols>
  <sheetData>
    <row r="1" spans="1:10">
      <c r="A1" s="216" t="s">
        <v>163</v>
      </c>
      <c r="B1" s="216"/>
      <c r="C1" s="216"/>
      <c r="E1" t="s">
        <v>152</v>
      </c>
      <c r="F1" s="69">
        <f>F3-C3</f>
        <v>0</v>
      </c>
      <c r="G1" s="69">
        <f>F3-H3</f>
        <v>0</v>
      </c>
    </row>
    <row r="2" spans="1:10">
      <c r="A2" s="234"/>
      <c r="B2" s="19" t="s">
        <v>23</v>
      </c>
      <c r="C2" s="19" t="s">
        <v>162</v>
      </c>
      <c r="F2" s="19" t="s">
        <v>127</v>
      </c>
      <c r="H2" s="19" t="s">
        <v>72</v>
      </c>
    </row>
    <row r="3" spans="1:10">
      <c r="A3" s="235"/>
      <c r="B3" s="37">
        <v>189972.83141550008</v>
      </c>
      <c r="C3" s="22">
        <f>SUM(C5:C15)</f>
        <v>189972.83141550008</v>
      </c>
      <c r="D3" s="68"/>
      <c r="F3" s="22">
        <f>SUM(F5:F15)</f>
        <v>189972.83141550011</v>
      </c>
      <c r="H3" s="159">
        <f>SUM(H5:H15)</f>
        <v>189972.83141550008</v>
      </c>
      <c r="I3" s="69">
        <f>C3-H3</f>
        <v>0</v>
      </c>
    </row>
    <row r="4" spans="1:10">
      <c r="A4" s="19" t="s">
        <v>5</v>
      </c>
      <c r="B4" s="19" t="s">
        <v>24</v>
      </c>
      <c r="C4" s="19" t="s">
        <v>162</v>
      </c>
      <c r="D4" s="154"/>
      <c r="E4" s="19" t="s">
        <v>125</v>
      </c>
      <c r="F4" s="19" t="s">
        <v>124</v>
      </c>
      <c r="H4" s="19" t="s">
        <v>72</v>
      </c>
    </row>
    <row r="5" spans="1:10">
      <c r="A5" s="16">
        <v>45809</v>
      </c>
      <c r="B5" s="42">
        <v>0.15042737462388731</v>
      </c>
      <c r="C5" s="30">
        <f>B5*$B$3</f>
        <v>28577.114279700018</v>
      </c>
      <c r="D5" s="154"/>
      <c r="E5" s="36">
        <v>0.16184902452416527</v>
      </c>
      <c r="F5" s="69">
        <f>E5*$B$3</f>
        <v>30746.917450692388</v>
      </c>
      <c r="G5" s="75"/>
      <c r="H5" s="150">
        <v>27356.08772383201</v>
      </c>
    </row>
    <row r="6" spans="1:10">
      <c r="A6" s="16">
        <f>EDATE(A5,1)</f>
        <v>45839</v>
      </c>
      <c r="B6" s="42">
        <v>0.18459344320001256</v>
      </c>
      <c r="C6" s="30">
        <f t="shared" ref="C6:C15" si="0">B6*$B$3</f>
        <v>35067.739065442678</v>
      </c>
      <c r="E6" s="36">
        <v>0.19360694862274641</v>
      </c>
      <c r="F6" s="69">
        <f t="shared" ref="F6:F15" si="1">E6*$B$3</f>
        <v>36780.060211578391</v>
      </c>
      <c r="G6" s="75"/>
      <c r="H6" s="150">
        <v>37510.258382695742</v>
      </c>
      <c r="I6" s="135"/>
      <c r="J6" s="136"/>
    </row>
    <row r="7" spans="1:10">
      <c r="A7" s="16">
        <f t="shared" ref="A7:A15" si="2">EDATE(A6,1)</f>
        <v>45870</v>
      </c>
      <c r="B7" s="42">
        <v>0.14861634667379864</v>
      </c>
      <c r="C7" s="30">
        <f t="shared" si="0"/>
        <v>28233.068172249066</v>
      </c>
      <c r="E7" s="36">
        <v>0.18749133915661312</v>
      </c>
      <c r="F7" s="69">
        <f t="shared" si="1"/>
        <v>35618.260565465614</v>
      </c>
      <c r="G7" s="75"/>
      <c r="H7" s="150">
        <v>27011.57541086401</v>
      </c>
      <c r="I7" s="160"/>
    </row>
    <row r="8" spans="1:10">
      <c r="A8" s="16">
        <f t="shared" si="2"/>
        <v>45901</v>
      </c>
      <c r="B8" s="42">
        <v>0.15771282149828061</v>
      </c>
      <c r="C8" s="30">
        <f t="shared" si="0"/>
        <v>29961.151250555722</v>
      </c>
      <c r="E8" s="36">
        <v>0.18062221050339591</v>
      </c>
      <c r="F8" s="69">
        <f t="shared" si="1"/>
        <v>34313.312745856601</v>
      </c>
      <c r="G8" s="75"/>
      <c r="H8" s="150">
        <v>29961.1512505557</v>
      </c>
      <c r="I8" s="76"/>
    </row>
    <row r="9" spans="1:10">
      <c r="A9" s="16">
        <f t="shared" si="2"/>
        <v>45931</v>
      </c>
      <c r="B9" s="42">
        <v>0.22679016413191047</v>
      </c>
      <c r="C9" s="30">
        <f t="shared" si="0"/>
        <v>43083.969617325019</v>
      </c>
      <c r="E9" s="36">
        <v>0.12579737497060978</v>
      </c>
      <c r="F9" s="69">
        <f t="shared" si="1"/>
        <v>23898.083507804102</v>
      </c>
      <c r="G9" s="75"/>
      <c r="H9" s="150">
        <v>43083.969617325041</v>
      </c>
    </row>
    <row r="10" spans="1:10" ht="16.2">
      <c r="A10" s="23">
        <f t="shared" si="2"/>
        <v>45962</v>
      </c>
      <c r="B10" s="161">
        <v>0.13185984987211041</v>
      </c>
      <c r="C10" s="33">
        <f t="shared" si="0"/>
        <v>25049.789030227581</v>
      </c>
      <c r="D10" s="180"/>
      <c r="E10" s="36">
        <v>0.1506331022224697</v>
      </c>
      <c r="F10" s="69">
        <f t="shared" si="1"/>
        <v>28616.196934103027</v>
      </c>
      <c r="G10" s="75"/>
      <c r="H10" s="150">
        <v>25049.789030227577</v>
      </c>
    </row>
    <row r="11" spans="1:10">
      <c r="A11" s="16">
        <f t="shared" si="2"/>
        <v>45992</v>
      </c>
      <c r="B11" s="155"/>
      <c r="C11" s="31">
        <f t="shared" si="0"/>
        <v>0</v>
      </c>
      <c r="D11" s="87"/>
      <c r="E11" s="36"/>
      <c r="F11" s="69">
        <f t="shared" si="1"/>
        <v>0</v>
      </c>
      <c r="G11" s="75"/>
    </row>
    <row r="12" spans="1:10">
      <c r="A12" s="16">
        <f t="shared" si="2"/>
        <v>46023</v>
      </c>
      <c r="B12" s="155"/>
      <c r="C12" s="31">
        <f t="shared" si="0"/>
        <v>0</v>
      </c>
      <c r="E12" s="36"/>
      <c r="F12" s="69">
        <f t="shared" si="1"/>
        <v>0</v>
      </c>
      <c r="G12" s="75"/>
    </row>
    <row r="13" spans="1:10">
      <c r="A13" s="16">
        <f t="shared" si="2"/>
        <v>46054</v>
      </c>
      <c r="B13" s="155"/>
      <c r="C13" s="31">
        <f t="shared" si="0"/>
        <v>0</v>
      </c>
      <c r="E13" s="36"/>
      <c r="F13" s="69">
        <f t="shared" si="1"/>
        <v>0</v>
      </c>
      <c r="G13" s="75"/>
    </row>
    <row r="14" spans="1:10">
      <c r="A14" s="16">
        <f t="shared" si="2"/>
        <v>46082</v>
      </c>
      <c r="B14" s="155"/>
      <c r="C14" s="31">
        <f t="shared" si="0"/>
        <v>0</v>
      </c>
      <c r="E14" s="36"/>
      <c r="F14" s="69">
        <f t="shared" si="1"/>
        <v>0</v>
      </c>
      <c r="G14" s="75"/>
    </row>
    <row r="15" spans="1:10">
      <c r="A15" s="16">
        <f t="shared" si="2"/>
        <v>46113</v>
      </c>
      <c r="B15" s="155"/>
      <c r="C15" s="31">
        <f t="shared" si="0"/>
        <v>0</v>
      </c>
      <c r="E15" s="36"/>
      <c r="F15" s="69">
        <f t="shared" si="1"/>
        <v>0</v>
      </c>
      <c r="G15" s="75"/>
    </row>
    <row r="16" spans="1:10">
      <c r="B16" s="87"/>
    </row>
    <row r="17" spans="2:2">
      <c r="B17" s="197"/>
    </row>
    <row r="18" spans="2:2">
      <c r="B18" s="87"/>
    </row>
  </sheetData>
  <mergeCells count="2">
    <mergeCell ref="A1:C1"/>
    <mergeCell ref="A2:A3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19DC-C03E-4DA8-B3AF-A4DEF75D32C5}">
  <dimension ref="A1:J31"/>
  <sheetViews>
    <sheetView workbookViewId="0">
      <pane ySplit="4" topLeftCell="A20" activePane="bottomLeft" state="frozen"/>
      <selection pane="bottomLeft" activeCell="F31" sqref="F31"/>
    </sheetView>
  </sheetViews>
  <sheetFormatPr defaultRowHeight="14.4"/>
  <cols>
    <col min="1" max="1" width="10.6640625" bestFit="1" customWidth="1"/>
    <col min="2" max="2" width="9.88671875" bestFit="1" customWidth="1"/>
    <col min="3" max="4" width="17.88671875" bestFit="1" customWidth="1"/>
    <col min="5" max="5" width="25.88671875" bestFit="1" customWidth="1"/>
    <col min="6" max="6" width="15.88671875" bestFit="1" customWidth="1"/>
    <col min="7" max="7" width="20.33203125" bestFit="1" customWidth="1"/>
    <col min="9" max="9" width="20.44140625" bestFit="1" customWidth="1"/>
    <col min="10" max="10" width="15.88671875" bestFit="1" customWidth="1"/>
  </cols>
  <sheetData>
    <row r="1" spans="1:10">
      <c r="A1" s="216" t="s">
        <v>13</v>
      </c>
      <c r="B1" s="216"/>
      <c r="C1" s="216"/>
      <c r="D1" s="216"/>
      <c r="E1" s="216"/>
      <c r="F1" s="216"/>
      <c r="H1" s="217" t="s">
        <v>33</v>
      </c>
      <c r="I1" s="217"/>
      <c r="J1" s="217"/>
    </row>
    <row r="2" spans="1:10" ht="15" customHeight="1">
      <c r="A2" s="19" t="s">
        <v>1</v>
      </c>
      <c r="B2" s="19" t="s">
        <v>0</v>
      </c>
      <c r="C2" s="19"/>
      <c r="D2" s="19" t="s">
        <v>2</v>
      </c>
      <c r="E2" s="19" t="s">
        <v>3</v>
      </c>
      <c r="F2" s="19" t="s">
        <v>10</v>
      </c>
      <c r="H2" s="217"/>
      <c r="I2" s="217"/>
      <c r="J2" s="217"/>
    </row>
    <row r="3" spans="1:10">
      <c r="A3" s="20">
        <v>44621</v>
      </c>
      <c r="B3" s="21">
        <f>VLOOKUP(A3,'INCC - M'!$A:$F,2,FALSE)</f>
        <v>978.71699999999998</v>
      </c>
      <c r="C3" s="21"/>
      <c r="D3" s="22">
        <f>SUM(D5:D30)</f>
        <v>2759290.9753223183</v>
      </c>
      <c r="E3" s="22">
        <f>SUM(E5:E30)</f>
        <v>2806222.8097254774</v>
      </c>
      <c r="F3" s="22">
        <f>SUM(F5:F30)</f>
        <v>46931.834403159082</v>
      </c>
      <c r="H3" s="217"/>
      <c r="I3" s="217"/>
      <c r="J3" s="217"/>
    </row>
    <row r="4" spans="1:10">
      <c r="A4" s="19" t="s">
        <v>5</v>
      </c>
      <c r="B4" s="19" t="s">
        <v>6</v>
      </c>
      <c r="C4" s="19" t="s">
        <v>7</v>
      </c>
      <c r="D4" s="19" t="s">
        <v>8</v>
      </c>
      <c r="E4" s="19" t="s">
        <v>9</v>
      </c>
      <c r="F4" s="19" t="s">
        <v>10</v>
      </c>
      <c r="H4" s="217"/>
      <c r="I4" s="217"/>
      <c r="J4" s="217"/>
    </row>
    <row r="5" spans="1:10">
      <c r="A5" s="27">
        <v>44621</v>
      </c>
      <c r="B5" s="14">
        <f>VLOOKUP(A5,'INCC - M'!$A:$F,2,FALSE)</f>
        <v>978.71699999999998</v>
      </c>
      <c r="C5" s="15" t="s">
        <v>12</v>
      </c>
      <c r="D5" s="28">
        <v>118649.512</v>
      </c>
      <c r="E5" s="29">
        <f>D5</f>
        <v>118649.512</v>
      </c>
      <c r="F5" s="29">
        <v>0</v>
      </c>
    </row>
    <row r="6" spans="1:10">
      <c r="A6" s="27">
        <v>44652</v>
      </c>
      <c r="B6" s="14">
        <f>VLOOKUP(A6,'INCC - M'!$A:$F,2,FALSE)</f>
        <v>987.21799999999996</v>
      </c>
      <c r="C6" s="15" t="s">
        <v>12</v>
      </c>
      <c r="D6" s="28">
        <v>41389.364999999998</v>
      </c>
      <c r="E6" s="29">
        <f t="shared" ref="E6:E13" si="0">D6</f>
        <v>41389.364999999998</v>
      </c>
      <c r="F6" s="18">
        <f>E6-D6</f>
        <v>0</v>
      </c>
    </row>
    <row r="7" spans="1:10">
      <c r="A7" s="27">
        <v>44682</v>
      </c>
      <c r="B7" s="14">
        <f>VLOOKUP(A7,'INCC - M'!$A:$F,2,FALSE)</f>
        <v>1001.923</v>
      </c>
      <c r="C7" s="15" t="s">
        <v>12</v>
      </c>
      <c r="D7" s="28">
        <v>33111.491999999998</v>
      </c>
      <c r="E7" s="29">
        <f t="shared" si="0"/>
        <v>33111.491999999998</v>
      </c>
      <c r="F7" s="18">
        <f t="shared" ref="F7:F30" si="1">E7-D7</f>
        <v>0</v>
      </c>
      <c r="J7" s="69"/>
    </row>
    <row r="8" spans="1:10">
      <c r="A8" s="27">
        <v>44713</v>
      </c>
      <c r="B8" s="14">
        <f>VLOOKUP(A8,'INCC - M'!$A:$F,2,FALSE)</f>
        <v>1030.105</v>
      </c>
      <c r="C8" s="15" t="s">
        <v>12</v>
      </c>
      <c r="D8" s="28">
        <v>35870.783000000003</v>
      </c>
      <c r="E8" s="29">
        <f t="shared" si="0"/>
        <v>35870.783000000003</v>
      </c>
      <c r="F8" s="18">
        <f t="shared" si="1"/>
        <v>0</v>
      </c>
      <c r="J8" s="69"/>
    </row>
    <row r="9" spans="1:10">
      <c r="A9" s="27">
        <v>44743</v>
      </c>
      <c r="B9" s="14">
        <f>VLOOKUP(A9,'INCC - M'!$A:$F,2,FALSE)</f>
        <v>1042.029</v>
      </c>
      <c r="C9" s="15" t="s">
        <v>12</v>
      </c>
      <c r="D9" s="28">
        <v>46907.946000000004</v>
      </c>
      <c r="E9" s="29">
        <f t="shared" si="0"/>
        <v>46907.946000000004</v>
      </c>
      <c r="F9" s="18">
        <f t="shared" si="1"/>
        <v>0</v>
      </c>
    </row>
    <row r="10" spans="1:10">
      <c r="A10" s="27">
        <v>44774</v>
      </c>
      <c r="B10" s="14">
        <f>VLOOKUP(A10,'INCC - M'!$A:$F,2,FALSE)</f>
        <v>1045.4690000000001</v>
      </c>
      <c r="C10" s="15" t="s">
        <v>12</v>
      </c>
      <c r="D10" s="30">
        <v>27592.91</v>
      </c>
      <c r="E10" s="29">
        <f t="shared" si="0"/>
        <v>27592.91</v>
      </c>
      <c r="F10" s="31">
        <f t="shared" si="1"/>
        <v>0</v>
      </c>
    </row>
    <row r="11" spans="1:10">
      <c r="A11" s="27">
        <v>44805</v>
      </c>
      <c r="B11" s="14">
        <f>VLOOKUP(A11,'INCC - M'!$A:$F,2,FALSE)</f>
        <v>1046.5070000000001</v>
      </c>
      <c r="C11" s="15" t="s">
        <v>12</v>
      </c>
      <c r="D11" s="30">
        <v>38906.002999999997</v>
      </c>
      <c r="E11" s="29">
        <f t="shared" si="0"/>
        <v>38906.002999999997</v>
      </c>
      <c r="F11" s="31">
        <f t="shared" si="1"/>
        <v>0</v>
      </c>
    </row>
    <row r="12" spans="1:10">
      <c r="A12" s="27">
        <v>44835</v>
      </c>
      <c r="B12" s="14">
        <f>VLOOKUP(A12,'INCC - M'!$A:$F,2,FALSE)</f>
        <v>1046.9559999999999</v>
      </c>
      <c r="C12" s="15" t="s">
        <v>12</v>
      </c>
      <c r="D12" s="28">
        <v>77536.076000000001</v>
      </c>
      <c r="E12" s="29">
        <f t="shared" si="0"/>
        <v>77536.076000000001</v>
      </c>
      <c r="F12" s="18">
        <f t="shared" si="1"/>
        <v>0</v>
      </c>
    </row>
    <row r="13" spans="1:10">
      <c r="A13" s="27">
        <v>44866</v>
      </c>
      <c r="B13" s="14">
        <f>VLOOKUP(A13,'INCC - M'!$A:$F,2,FALSE)</f>
        <v>1048.4290000000001</v>
      </c>
      <c r="C13" s="15" t="s">
        <v>12</v>
      </c>
      <c r="D13" s="28">
        <v>84986.161999999997</v>
      </c>
      <c r="E13" s="29">
        <f t="shared" si="0"/>
        <v>84986.161999999997</v>
      </c>
      <c r="F13" s="18">
        <f t="shared" si="1"/>
        <v>0</v>
      </c>
    </row>
    <row r="14" spans="1:10">
      <c r="A14" s="27">
        <v>44896</v>
      </c>
      <c r="B14" s="14">
        <f>VLOOKUP(A14,'INCC - M'!$A:$F,2,FALSE)</f>
        <v>1051.249</v>
      </c>
      <c r="C14" s="15">
        <f>B14</f>
        <v>1051.249</v>
      </c>
      <c r="D14" s="28">
        <v>97140.87</v>
      </c>
      <c r="E14" s="29">
        <f>D14</f>
        <v>97140.87</v>
      </c>
      <c r="F14" s="18">
        <f t="shared" si="1"/>
        <v>0</v>
      </c>
    </row>
    <row r="15" spans="1:10">
      <c r="A15" s="27">
        <v>44927</v>
      </c>
      <c r="B15" s="14">
        <f>VLOOKUP(A15,'INCC - M'!$A:$F,2,FALSE)</f>
        <v>1054.5609999999999</v>
      </c>
      <c r="C15" s="15">
        <f>B15</f>
        <v>1054.5609999999999</v>
      </c>
      <c r="D15" s="28">
        <v>134653.4</v>
      </c>
      <c r="E15" s="18">
        <v>134653.4</v>
      </c>
      <c r="F15" s="18">
        <f t="shared" si="1"/>
        <v>0</v>
      </c>
    </row>
    <row r="16" spans="1:10" ht="15" customHeight="1">
      <c r="A16" s="27">
        <v>44958</v>
      </c>
      <c r="B16" s="14">
        <f>VLOOKUP(A16,'INCC - M'!$A:$F,2,FALSE)</f>
        <v>1056.7750000000001</v>
      </c>
      <c r="C16" s="15">
        <f>B16</f>
        <v>1056.7750000000001</v>
      </c>
      <c r="D16" s="28">
        <v>144034.99</v>
      </c>
      <c r="E16" s="18">
        <v>144034.99</v>
      </c>
      <c r="F16" s="18">
        <f t="shared" si="1"/>
        <v>0</v>
      </c>
    </row>
    <row r="17" spans="1:8">
      <c r="A17" s="27">
        <v>44986</v>
      </c>
      <c r="B17" s="34">
        <f>VLOOKUP(A17,'INCC - M'!$A:$F,2,FALSE)</f>
        <v>1058.6500000000001</v>
      </c>
      <c r="C17" s="35">
        <f>B17</f>
        <v>1058.6500000000001</v>
      </c>
      <c r="D17" s="28">
        <v>181009.49</v>
      </c>
      <c r="E17" s="18">
        <v>181009.49</v>
      </c>
      <c r="F17" s="18">
        <f t="shared" si="1"/>
        <v>0</v>
      </c>
    </row>
    <row r="18" spans="1:8">
      <c r="A18" s="27">
        <v>45017</v>
      </c>
      <c r="B18" s="14">
        <f>VLOOKUP(A18,'INCC - M'!$A:$F,2,FALSE)</f>
        <v>1061.0709999999999</v>
      </c>
      <c r="C18" s="35">
        <f>B17</f>
        <v>1058.6500000000001</v>
      </c>
      <c r="D18" s="28">
        <v>122788.44828959998</v>
      </c>
      <c r="E18" s="18">
        <v>126108.61121657665</v>
      </c>
      <c r="F18" s="18">
        <f t="shared" si="1"/>
        <v>3320.1629269766709</v>
      </c>
    </row>
    <row r="19" spans="1:8">
      <c r="A19" s="27">
        <v>45047</v>
      </c>
      <c r="B19" s="14">
        <f>VLOOKUP(A19,'INCC - M'!$A:$F,2,FALSE)</f>
        <v>1065.289</v>
      </c>
      <c r="C19" s="15">
        <f t="shared" ref="C19:C30" si="2">B18</f>
        <v>1061.0709999999999</v>
      </c>
      <c r="D19" s="28">
        <v>107060.48974463998</v>
      </c>
      <c r="E19" s="18">
        <f>D19*C19/$C$14</f>
        <v>108060.77429213714</v>
      </c>
      <c r="F19" s="18">
        <f t="shared" si="1"/>
        <v>1000.2845474971546</v>
      </c>
    </row>
    <row r="20" spans="1:8">
      <c r="A20" s="27">
        <v>45078</v>
      </c>
      <c r="B20" s="14">
        <f>VLOOKUP(A20,'INCC - M'!$A:$F,2,FALSE)</f>
        <v>1074.2919999999999</v>
      </c>
      <c r="C20" s="15">
        <f t="shared" si="2"/>
        <v>1065.289</v>
      </c>
      <c r="D20" s="30">
        <v>102369.69509087999</v>
      </c>
      <c r="E20" s="18">
        <f>D20*C20/$C$14</f>
        <v>103736.89783644832</v>
      </c>
      <c r="F20" s="18">
        <f t="shared" si="1"/>
        <v>1367.2027455683274</v>
      </c>
    </row>
    <row r="21" spans="1:8">
      <c r="A21" s="27">
        <v>45108</v>
      </c>
      <c r="B21" s="14">
        <f>VLOOKUP(A21,'INCC - M'!$A:$F,2,FALSE)</f>
        <v>1074.895</v>
      </c>
      <c r="C21" s="15">
        <f t="shared" si="2"/>
        <v>1074.2919999999999</v>
      </c>
      <c r="D21" s="30">
        <v>124719.95197055998</v>
      </c>
      <c r="E21" s="18">
        <f>D21*C21/$C$14</f>
        <v>127453.76846242594</v>
      </c>
      <c r="F21" s="18">
        <f t="shared" si="1"/>
        <v>2733.8164918659604</v>
      </c>
    </row>
    <row r="22" spans="1:8">
      <c r="A22" s="27">
        <v>45139</v>
      </c>
      <c r="B22" s="34">
        <f>VLOOKUP(A22,'INCC - M'!$A:$F,2,FALSE)</f>
        <v>1077.4970000000001</v>
      </c>
      <c r="C22" s="15">
        <f t="shared" si="2"/>
        <v>1074.895</v>
      </c>
      <c r="D22" s="30">
        <v>125547.73926240001</v>
      </c>
      <c r="E22" s="18">
        <f>D22*C22/$C$14</f>
        <v>128371.71516401674</v>
      </c>
      <c r="F22" s="18">
        <f t="shared" si="1"/>
        <v>2823.9759016167372</v>
      </c>
    </row>
    <row r="23" spans="1:8">
      <c r="A23" s="27">
        <v>45170</v>
      </c>
      <c r="B23" s="14">
        <f>VLOOKUP(A23,'INCC - M'!$A:$F,2,FALSE)</f>
        <v>1080.0709999999999</v>
      </c>
      <c r="C23" s="35">
        <f>B22</f>
        <v>1077.4970000000001</v>
      </c>
      <c r="D23" s="30">
        <v>123616.23558144001</v>
      </c>
      <c r="E23" s="18">
        <f t="shared" ref="E23:E30" si="3">D23*C23/$C$14</f>
        <v>126702.7345474715</v>
      </c>
      <c r="F23" s="18">
        <f t="shared" si="1"/>
        <v>3086.4989660314895</v>
      </c>
    </row>
    <row r="24" spans="1:8">
      <c r="A24" s="27">
        <v>45200</v>
      </c>
      <c r="B24" s="14">
        <f>VLOOKUP(A24,'INCC - M'!$A:$F,2,FALSE)</f>
        <v>1082.251</v>
      </c>
      <c r="C24" s="14">
        <f>B23</f>
        <v>1080.0709999999999</v>
      </c>
      <c r="D24" s="30">
        <v>119201.37002495999</v>
      </c>
      <c r="E24" s="31">
        <f t="shared" si="3"/>
        <v>122469.50334718848</v>
      </c>
      <c r="F24" s="31">
        <f t="shared" si="1"/>
        <v>3268.1333222284884</v>
      </c>
    </row>
    <row r="25" spans="1:8">
      <c r="A25" s="27">
        <v>45231</v>
      </c>
      <c r="B25" s="14">
        <f>VLOOKUP(A25,'INCC - M'!$A:$F,2,FALSE)</f>
        <v>1083.335</v>
      </c>
      <c r="C25" s="14">
        <f t="shared" si="2"/>
        <v>1082.251</v>
      </c>
      <c r="D25" s="30">
        <v>132445.96669439998</v>
      </c>
      <c r="E25" s="31">
        <f t="shared" si="3"/>
        <v>136351.8822857202</v>
      </c>
      <c r="F25" s="31">
        <f t="shared" si="1"/>
        <v>3905.9155913202267</v>
      </c>
    </row>
    <row r="26" spans="1:8">
      <c r="A26" s="71">
        <v>45261</v>
      </c>
      <c r="B26" s="35">
        <f>VLOOKUP(A26,'INCC - M'!$A:$F,2,FALSE)</f>
        <v>1086.1500000000001</v>
      </c>
      <c r="C26" s="15">
        <f t="shared" si="2"/>
        <v>1083.335</v>
      </c>
      <c r="D26" s="72">
        <v>176318.69316191997</v>
      </c>
      <c r="E26" s="29">
        <f t="shared" si="3"/>
        <v>181700.25508377992</v>
      </c>
      <c r="F26" s="29">
        <f t="shared" si="1"/>
        <v>5381.5619218599459</v>
      </c>
    </row>
    <row r="27" spans="1:8">
      <c r="A27" s="71">
        <v>45292</v>
      </c>
      <c r="B27" s="15">
        <f>VLOOKUP(A27,'INCC - M'!$A:$F,2,FALSE)</f>
        <v>1088.663</v>
      </c>
      <c r="C27" s="15">
        <f t="shared" si="2"/>
        <v>1086.1500000000001</v>
      </c>
      <c r="D27" s="72">
        <v>204187.53198719997</v>
      </c>
      <c r="E27" s="29">
        <f>D27*C27/$C$14</f>
        <v>210966.46738108408</v>
      </c>
      <c r="F27" s="29">
        <f t="shared" si="1"/>
        <v>6778.9353938841086</v>
      </c>
    </row>
    <row r="28" spans="1:8">
      <c r="A28" s="27">
        <v>45323</v>
      </c>
      <c r="B28" s="14">
        <f>VLOOKUP(A28,'INCC - M'!$A:$F,2,FALSE)</f>
        <v>1090.8710000000001</v>
      </c>
      <c r="C28" s="14">
        <f>B27</f>
        <v>1088.663</v>
      </c>
      <c r="D28" s="30">
        <v>199220.80823615997</v>
      </c>
      <c r="E28" s="31">
        <f>D28*C28/$C$14</f>
        <v>206311.08591475722</v>
      </c>
      <c r="F28" s="31">
        <f>E28-D28</f>
        <v>7090.2776785972528</v>
      </c>
    </row>
    <row r="29" spans="1:8">
      <c r="A29" s="71">
        <v>45352</v>
      </c>
      <c r="B29" s="15">
        <f>VLOOKUP(A29,'INCC - M'!$A:$F,2,FALSE)</f>
        <v>1093.5029999999999</v>
      </c>
      <c r="C29" s="15">
        <f>B28</f>
        <v>1090.8710000000001</v>
      </c>
      <c r="D29" s="72">
        <v>102645.62418815999</v>
      </c>
      <c r="E29" s="29">
        <f>D29*C29/$C$14</f>
        <v>106514.37928003953</v>
      </c>
      <c r="F29" s="29">
        <f t="shared" si="1"/>
        <v>3868.7550918795459</v>
      </c>
    </row>
    <row r="30" spans="1:8">
      <c r="A30" s="27">
        <v>45383</v>
      </c>
      <c r="B30" s="14">
        <f>VLOOKUP(A30,'INCC - M'!$A:$F,2,FALSE)</f>
        <v>1097.991</v>
      </c>
      <c r="C30" s="14">
        <f t="shared" si="2"/>
        <v>1093.5029999999999</v>
      </c>
      <c r="D30" s="30">
        <v>57379.42208999861</v>
      </c>
      <c r="E30" s="31">
        <f t="shared" si="3"/>
        <v>59685.735913831784</v>
      </c>
      <c r="F30" s="31">
        <f t="shared" si="1"/>
        <v>2306.313823833174</v>
      </c>
      <c r="G30" s="13"/>
      <c r="H30" s="146"/>
    </row>
    <row r="31" spans="1:8">
      <c r="F31" s="93" t="s">
        <v>98</v>
      </c>
      <c r="G31" s="13"/>
    </row>
  </sheetData>
  <mergeCells count="2">
    <mergeCell ref="A1:F1"/>
    <mergeCell ref="H1:J4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46BC-5462-4859-BD5A-47DC87A0D978}">
  <dimension ref="A1:J18"/>
  <sheetViews>
    <sheetView workbookViewId="0">
      <pane ySplit="4" topLeftCell="A5" activePane="bottomLeft" state="frozen"/>
      <selection activeCell="D23" sqref="D23"/>
      <selection pane="bottomLeft" activeCell="E3" sqref="E3"/>
    </sheetView>
  </sheetViews>
  <sheetFormatPr defaultRowHeight="14.4"/>
  <cols>
    <col min="1" max="1" width="10.6640625" bestFit="1" customWidth="1"/>
    <col min="2" max="2" width="9.88671875" bestFit="1" customWidth="1"/>
    <col min="3" max="4" width="17.88671875" bestFit="1" customWidth="1"/>
    <col min="5" max="5" width="25.88671875" bestFit="1" customWidth="1"/>
    <col min="6" max="6" width="14.33203125" bestFit="1" customWidth="1"/>
    <col min="7" max="7" width="8.6640625" customWidth="1"/>
  </cols>
  <sheetData>
    <row r="1" spans="1:10">
      <c r="A1" s="216" t="s">
        <v>19</v>
      </c>
      <c r="B1" s="216"/>
      <c r="C1" s="216"/>
      <c r="D1" s="216"/>
      <c r="E1" s="216"/>
      <c r="F1" s="216"/>
      <c r="H1" s="217" t="s">
        <v>33</v>
      </c>
      <c r="I1" s="217"/>
      <c r="J1" s="217"/>
    </row>
    <row r="2" spans="1:10">
      <c r="A2" s="19" t="s">
        <v>1</v>
      </c>
      <c r="B2" s="19" t="s">
        <v>0</v>
      </c>
      <c r="C2" s="19"/>
      <c r="D2" s="19" t="s">
        <v>2</v>
      </c>
      <c r="E2" s="19" t="s">
        <v>3</v>
      </c>
      <c r="F2" s="19" t="s">
        <v>10</v>
      </c>
      <c r="H2" s="217"/>
      <c r="I2" s="217"/>
      <c r="J2" s="217"/>
    </row>
    <row r="3" spans="1:10">
      <c r="A3" s="20">
        <v>45078</v>
      </c>
      <c r="B3" s="21">
        <f>VLOOKUP(A3,'INCC - M'!$A:$F,2,FALSE)</f>
        <v>1074.2919999999999</v>
      </c>
      <c r="C3" s="21"/>
      <c r="D3" s="22">
        <f>SUM(D5:D17)</f>
        <v>554326.24731200002</v>
      </c>
      <c r="E3" s="22">
        <f>SUM(E5:E17)</f>
        <v>562363.59807113977</v>
      </c>
      <c r="F3" s="22">
        <f>SUM(F5:F17)</f>
        <v>8037.3507591397283</v>
      </c>
      <c r="H3" s="217"/>
      <c r="I3" s="217"/>
      <c r="J3" s="217"/>
    </row>
    <row r="4" spans="1:10">
      <c r="A4" s="19" t="s">
        <v>5</v>
      </c>
      <c r="B4" s="19" t="s">
        <v>6</v>
      </c>
      <c r="C4" s="19" t="s">
        <v>7</v>
      </c>
      <c r="D4" s="19" t="s">
        <v>8</v>
      </c>
      <c r="E4" s="19" t="s">
        <v>9</v>
      </c>
      <c r="F4" s="19" t="s">
        <v>10</v>
      </c>
      <c r="H4" s="217"/>
      <c r="I4" s="217"/>
      <c r="J4" s="217"/>
    </row>
    <row r="5" spans="1:10">
      <c r="A5" s="16">
        <v>45108</v>
      </c>
      <c r="B5" s="14">
        <f>VLOOKUP(A5,'INCC - M'!$A:$F,2,FALSE)</f>
        <v>1074.895</v>
      </c>
      <c r="C5" s="14"/>
      <c r="D5" s="18"/>
      <c r="E5" s="97"/>
      <c r="F5" s="17"/>
    </row>
    <row r="6" spans="1:10">
      <c r="A6" s="16">
        <v>45139</v>
      </c>
      <c r="B6" s="14">
        <f>VLOOKUP(A6,'INCC - M'!$A:$F,2,FALSE)</f>
        <v>1077.4970000000001</v>
      </c>
      <c r="C6" s="14">
        <f>B5</f>
        <v>1074.895</v>
      </c>
      <c r="D6" s="18">
        <v>33543.402508702398</v>
      </c>
      <c r="E6" s="98">
        <f>D6*C6/$B$3</f>
        <v>33562.230417420651</v>
      </c>
      <c r="F6" s="17">
        <f t="shared" ref="F6:F17" si="0">E6-D6</f>
        <v>18.827908718252729</v>
      </c>
    </row>
    <row r="7" spans="1:10">
      <c r="A7" s="16">
        <v>45170</v>
      </c>
      <c r="B7" s="14">
        <f>VLOOKUP(A7,'INCC - M'!$A:$F,2,FALSE)</f>
        <v>1080.0709999999999</v>
      </c>
      <c r="C7" s="14">
        <f t="shared" ref="C7:C17" si="1">B6</f>
        <v>1077.4970000000001</v>
      </c>
      <c r="D7" s="18">
        <v>11596.167719302701</v>
      </c>
      <c r="E7" s="98">
        <f>D7*C7/$B$3</f>
        <v>11630.763264592404</v>
      </c>
      <c r="F7" s="17">
        <f t="shared" si="0"/>
        <v>34.595545289703296</v>
      </c>
    </row>
    <row r="8" spans="1:10">
      <c r="A8" s="16">
        <v>45200</v>
      </c>
      <c r="B8" s="14">
        <f>VLOOKUP(A8,'INCC - M'!$A:$F,2,FALSE)</f>
        <v>1082.251</v>
      </c>
      <c r="C8" s="14">
        <f t="shared" si="1"/>
        <v>1080.0709999999999</v>
      </c>
      <c r="D8" s="31">
        <v>51020.723661475065</v>
      </c>
      <c r="E8" s="94">
        <f>D8*C8/$B$3</f>
        <v>51295.182339413339</v>
      </c>
      <c r="F8" s="17">
        <f>E8-D8</f>
        <v>274.45867793827347</v>
      </c>
    </row>
    <row r="9" spans="1:10">
      <c r="A9" s="16">
        <v>45231</v>
      </c>
      <c r="B9" s="14">
        <f>VLOOKUP(A9,'INCC - M'!$A:$F,2,FALSE)</f>
        <v>1083.335</v>
      </c>
      <c r="C9" s="14">
        <f t="shared" si="1"/>
        <v>1082.251</v>
      </c>
      <c r="D9" s="31">
        <v>62448.698263129692</v>
      </c>
      <c r="E9" s="94">
        <f t="shared" ref="E9:E17" si="2">D9*C9/$B$3</f>
        <v>62911.355705869886</v>
      </c>
      <c r="F9" s="17">
        <f t="shared" si="0"/>
        <v>462.6574427401938</v>
      </c>
    </row>
    <row r="10" spans="1:10">
      <c r="A10" s="73">
        <v>45261</v>
      </c>
      <c r="B10" s="15">
        <f>VLOOKUP(A10,'INCC - M'!$A:$F,2,FALSE)</f>
        <v>1086.1500000000001</v>
      </c>
      <c r="C10" s="15">
        <f t="shared" si="1"/>
        <v>1083.335</v>
      </c>
      <c r="D10" s="29">
        <v>74220.114109500981</v>
      </c>
      <c r="E10" s="95">
        <f t="shared" si="2"/>
        <v>74844.872082093367</v>
      </c>
      <c r="F10" s="74">
        <f t="shared" si="0"/>
        <v>624.75797259238607</v>
      </c>
    </row>
    <row r="11" spans="1:10">
      <c r="A11" s="16">
        <v>45292</v>
      </c>
      <c r="B11" s="14">
        <f>VLOOKUP(A11,'INCC - M'!$A:$F,2,FALSE)</f>
        <v>1088.663</v>
      </c>
      <c r="C11" s="14">
        <f t="shared" si="1"/>
        <v>1086.1500000000001</v>
      </c>
      <c r="D11" s="31">
        <v>61711.734980167465</v>
      </c>
      <c r="E11" s="94">
        <f t="shared" si="2"/>
        <v>62392.907094820497</v>
      </c>
      <c r="F11" s="17">
        <f t="shared" si="0"/>
        <v>681.17211465303262</v>
      </c>
    </row>
    <row r="12" spans="1:10">
      <c r="A12" s="16">
        <v>45323</v>
      </c>
      <c r="B12" s="14">
        <f>VLOOKUP(A12,'INCC - M'!$A:$F,2,FALSE)</f>
        <v>1090.8710000000001</v>
      </c>
      <c r="C12" s="14">
        <f>B11</f>
        <v>1088.663</v>
      </c>
      <c r="D12" s="31">
        <v>40896.71955015479</v>
      </c>
      <c r="E12" s="94">
        <f t="shared" si="2"/>
        <v>41443.802425811758</v>
      </c>
      <c r="F12" s="17">
        <f t="shared" si="0"/>
        <v>547.0828756569681</v>
      </c>
    </row>
    <row r="13" spans="1:10">
      <c r="A13" s="73">
        <v>45352</v>
      </c>
      <c r="B13" s="15">
        <f>VLOOKUP(A13,'INCC - M'!$A:$F,2,FALSE)</f>
        <v>1093.5029999999999</v>
      </c>
      <c r="C13" s="15">
        <f t="shared" si="1"/>
        <v>1090.8710000000001</v>
      </c>
      <c r="D13" s="29">
        <v>49484.776855388613</v>
      </c>
      <c r="E13" s="95">
        <f t="shared" si="2"/>
        <v>50248.450154161663</v>
      </c>
      <c r="F13" s="74">
        <f t="shared" si="0"/>
        <v>763.67329877305019</v>
      </c>
    </row>
    <row r="14" spans="1:10">
      <c r="A14" s="16">
        <v>45383</v>
      </c>
      <c r="B14" s="14">
        <f>VLOOKUP(A14,'INCC - M'!$A:$F,2,FALSE)</f>
        <v>1097.991</v>
      </c>
      <c r="C14" s="14">
        <f t="shared" si="1"/>
        <v>1093.5029999999999</v>
      </c>
      <c r="D14" s="31">
        <v>19265.095400911854</v>
      </c>
      <c r="E14" s="94">
        <f t="shared" si="2"/>
        <v>19609.602990791438</v>
      </c>
      <c r="F14" s="17">
        <f t="shared" si="0"/>
        <v>344.50758987958397</v>
      </c>
    </row>
    <row r="15" spans="1:10">
      <c r="A15" s="16">
        <v>45413</v>
      </c>
      <c r="B15" s="14">
        <f>VLOOKUP(A15,'INCC - M'!$A:$F,2,FALSE)</f>
        <v>1104.4570000000001</v>
      </c>
      <c r="C15" s="14">
        <f t="shared" si="1"/>
        <v>1097.991</v>
      </c>
      <c r="D15" s="31">
        <v>52699.3449939774</v>
      </c>
      <c r="E15" s="94">
        <f t="shared" si="2"/>
        <v>53861.898356575533</v>
      </c>
      <c r="F15" s="17">
        <f t="shared" si="0"/>
        <v>1162.5533625981334</v>
      </c>
    </row>
    <row r="16" spans="1:10">
      <c r="A16" s="16">
        <v>45444</v>
      </c>
      <c r="B16" s="14">
        <f>VLOOKUP(A16,'INCC - M'!$A:$F,2,FALSE)</f>
        <v>1114.748</v>
      </c>
      <c r="C16" s="14">
        <f t="shared" si="1"/>
        <v>1104.4570000000001</v>
      </c>
      <c r="D16" s="31">
        <v>57033.187248730632</v>
      </c>
      <c r="E16" s="94">
        <f t="shared" si="2"/>
        <v>58634.619720868533</v>
      </c>
      <c r="F16" s="17">
        <f t="shared" si="0"/>
        <v>1601.4324721379016</v>
      </c>
    </row>
    <row r="17" spans="1:6">
      <c r="A17" s="16">
        <v>45474</v>
      </c>
      <c r="B17" s="14">
        <f>VLOOKUP(A17,'INCC - M'!$A:$F,2,FALSE)</f>
        <v>1122.452</v>
      </c>
      <c r="C17" s="14">
        <f t="shared" si="1"/>
        <v>1114.748</v>
      </c>
      <c r="D17" s="31">
        <v>40406.282020558407</v>
      </c>
      <c r="E17" s="94">
        <f t="shared" si="2"/>
        <v>41927.913518720656</v>
      </c>
      <c r="F17" s="17">
        <f t="shared" si="0"/>
        <v>1521.631498162249</v>
      </c>
    </row>
    <row r="18" spans="1:6">
      <c r="E18" s="128" t="s">
        <v>98</v>
      </c>
    </row>
  </sheetData>
  <mergeCells count="2">
    <mergeCell ref="A1:F1"/>
    <mergeCell ref="H1:J4"/>
  </mergeCell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8C08-1FE1-4D59-9428-D43BE987DD67}">
  <dimension ref="A1:K17"/>
  <sheetViews>
    <sheetView workbookViewId="0">
      <pane ySplit="4" topLeftCell="A5" activePane="bottomLeft" state="frozen"/>
      <selection activeCell="D23" sqref="D23"/>
      <selection pane="bottomLeft" activeCell="D15" sqref="D15"/>
    </sheetView>
  </sheetViews>
  <sheetFormatPr defaultRowHeight="14.4"/>
  <cols>
    <col min="1" max="1" width="14.5546875" customWidth="1"/>
    <col min="2" max="4" width="17.88671875" bestFit="1" customWidth="1"/>
    <col min="5" max="5" width="8.6640625" customWidth="1"/>
    <col min="6" max="7" width="10.109375" bestFit="1" customWidth="1"/>
    <col min="8" max="8" width="12.6640625" customWidth="1"/>
    <col min="9" max="9" width="15.88671875" bestFit="1" customWidth="1"/>
  </cols>
  <sheetData>
    <row r="1" spans="1:11">
      <c r="A1" s="238" t="s">
        <v>70</v>
      </c>
      <c r="B1" s="239"/>
      <c r="C1" s="240"/>
      <c r="F1" s="217" t="s">
        <v>33</v>
      </c>
      <c r="G1" s="217"/>
      <c r="H1" s="217"/>
    </row>
    <row r="2" spans="1:11">
      <c r="A2" s="236" t="s">
        <v>71</v>
      </c>
      <c r="B2" s="19" t="s">
        <v>2</v>
      </c>
      <c r="C2" s="19" t="s">
        <v>73</v>
      </c>
      <c r="F2" s="217"/>
      <c r="G2" s="217"/>
      <c r="H2" s="217"/>
    </row>
    <row r="3" spans="1:11">
      <c r="A3" s="237"/>
      <c r="B3" s="22">
        <v>166555.46</v>
      </c>
      <c r="C3" s="22">
        <f>B3-B5-B6-B7-B8-B9</f>
        <v>3.9999998989515007E-4</v>
      </c>
      <c r="F3" s="217"/>
      <c r="G3" s="217"/>
      <c r="H3" s="217"/>
    </row>
    <row r="4" spans="1:11">
      <c r="A4" s="19" t="s">
        <v>5</v>
      </c>
      <c r="B4" s="19" t="s">
        <v>72</v>
      </c>
      <c r="C4" s="69"/>
      <c r="F4" s="217"/>
      <c r="G4" s="217"/>
      <c r="H4" s="217"/>
    </row>
    <row r="5" spans="1:11">
      <c r="A5" s="16">
        <v>45292</v>
      </c>
      <c r="B5" s="31">
        <v>38174.58</v>
      </c>
    </row>
    <row r="6" spans="1:11">
      <c r="A6" s="16">
        <v>45323</v>
      </c>
      <c r="B6" s="31">
        <v>31694.34</v>
      </c>
    </row>
    <row r="7" spans="1:11">
      <c r="A7" s="73">
        <v>45352</v>
      </c>
      <c r="B7" s="29">
        <f>D7*0.08</f>
        <v>34253.349600000001</v>
      </c>
      <c r="C7" t="s">
        <v>87</v>
      </c>
      <c r="D7" s="66">
        <f>64225.03+363941.84</f>
        <v>428166.87</v>
      </c>
      <c r="G7" t="s">
        <v>85</v>
      </c>
      <c r="I7" s="66">
        <v>2081943.29</v>
      </c>
    </row>
    <row r="8" spans="1:11">
      <c r="A8" s="16">
        <v>45383</v>
      </c>
      <c r="B8" s="31">
        <f>D8*0.08</f>
        <v>26312</v>
      </c>
      <c r="C8" t="s">
        <v>87</v>
      </c>
      <c r="D8" s="66">
        <f>49335+279565</f>
        <v>328900</v>
      </c>
      <c r="G8" s="67" t="s">
        <v>86</v>
      </c>
      <c r="I8" s="66">
        <f>I7*0.08</f>
        <v>166555.4632</v>
      </c>
    </row>
    <row r="9" spans="1:11">
      <c r="A9" s="16">
        <v>45413</v>
      </c>
      <c r="B9" s="31">
        <v>36121.19</v>
      </c>
      <c r="C9" t="s">
        <v>87</v>
      </c>
      <c r="D9" s="66">
        <f>48287.41+337378.64+11250</f>
        <v>396916.05000000005</v>
      </c>
      <c r="G9" s="67"/>
      <c r="I9" s="67"/>
    </row>
    <row r="10" spans="1:11">
      <c r="B10" s="93" t="s">
        <v>98</v>
      </c>
      <c r="G10" s="67"/>
      <c r="I10" s="67"/>
    </row>
    <row r="11" spans="1:11">
      <c r="F11" s="67"/>
      <c r="G11" s="67"/>
      <c r="I11" s="67"/>
    </row>
    <row r="12" spans="1:11">
      <c r="D12" s="67"/>
      <c r="F12" s="67"/>
      <c r="G12" s="67"/>
      <c r="I12" s="67"/>
    </row>
    <row r="13" spans="1:11">
      <c r="B13" s="13"/>
      <c r="D13" s="67"/>
      <c r="F13" s="67"/>
      <c r="G13" s="67"/>
      <c r="I13" s="67"/>
      <c r="K13" s="67"/>
    </row>
    <row r="14" spans="1:11">
      <c r="D14" s="67"/>
      <c r="I14" s="67"/>
    </row>
    <row r="15" spans="1:11">
      <c r="D15" s="67"/>
      <c r="I15" s="67"/>
    </row>
    <row r="16" spans="1:11">
      <c r="D16" s="67"/>
      <c r="I16" s="67"/>
    </row>
    <row r="17" spans="3:6">
      <c r="C17" s="75"/>
      <c r="F17" s="67"/>
    </row>
  </sheetData>
  <mergeCells count="3">
    <mergeCell ref="F1:H4"/>
    <mergeCell ref="A2:A3"/>
    <mergeCell ref="A1:C1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A878-30A5-4EC2-8858-E7F7CED6BC40}">
  <dimension ref="A1:L23"/>
  <sheetViews>
    <sheetView workbookViewId="0">
      <pane ySplit="4" topLeftCell="A14" activePane="bottomLeft" state="frozen"/>
      <selection pane="bottomLeft" activeCell="D28" sqref="D28"/>
    </sheetView>
  </sheetViews>
  <sheetFormatPr defaultRowHeight="14.4"/>
  <cols>
    <col min="1" max="1" width="10.6640625" bestFit="1" customWidth="1"/>
    <col min="2" max="2" width="9.88671875" bestFit="1" customWidth="1"/>
    <col min="3" max="4" width="17.88671875" bestFit="1" customWidth="1"/>
    <col min="5" max="5" width="25.88671875" bestFit="1" customWidth="1"/>
    <col min="6" max="6" width="15.88671875" bestFit="1" customWidth="1"/>
    <col min="10" max="10" width="14.44140625" bestFit="1" customWidth="1"/>
    <col min="11" max="11" width="11.33203125" bestFit="1" customWidth="1"/>
    <col min="12" max="12" width="14.44140625" bestFit="1" customWidth="1"/>
  </cols>
  <sheetData>
    <row r="1" spans="1:12">
      <c r="A1" s="216" t="s">
        <v>16</v>
      </c>
      <c r="B1" s="216"/>
      <c r="C1" s="216"/>
      <c r="D1" s="216"/>
      <c r="E1" s="216"/>
      <c r="F1" s="216"/>
      <c r="H1" s="217" t="s">
        <v>88</v>
      </c>
      <c r="I1" s="217"/>
      <c r="J1" s="217"/>
      <c r="K1" s="217"/>
      <c r="L1" s="217"/>
    </row>
    <row r="2" spans="1:12">
      <c r="A2" s="19" t="s">
        <v>1</v>
      </c>
      <c r="B2" s="19" t="s">
        <v>0</v>
      </c>
      <c r="C2" s="19"/>
      <c r="D2" s="19" t="s">
        <v>2</v>
      </c>
      <c r="E2" s="19" t="s">
        <v>3</v>
      </c>
      <c r="F2" s="19" t="s">
        <v>10</v>
      </c>
      <c r="H2" s="217"/>
      <c r="I2" s="217"/>
      <c r="J2" s="217"/>
      <c r="K2" s="217"/>
      <c r="L2" s="217"/>
    </row>
    <row r="3" spans="1:12">
      <c r="A3" s="20" t="s">
        <v>12</v>
      </c>
      <c r="B3" s="21" t="s">
        <v>12</v>
      </c>
      <c r="C3" s="21"/>
      <c r="D3" s="22">
        <f>SUM(D5:D21)</f>
        <v>2715452.9040000015</v>
      </c>
      <c r="E3" s="22">
        <f>SUM(E5:E21)</f>
        <v>2715452.9040000015</v>
      </c>
      <c r="F3" s="22">
        <f>SUM(F5:F14)</f>
        <v>0</v>
      </c>
      <c r="H3" s="217"/>
      <c r="I3" s="217"/>
      <c r="J3" s="217"/>
      <c r="K3" s="217"/>
      <c r="L3" s="217"/>
    </row>
    <row r="4" spans="1:12">
      <c r="A4" s="19" t="s">
        <v>5</v>
      </c>
      <c r="B4" s="19" t="s">
        <v>6</v>
      </c>
      <c r="C4" s="19" t="s">
        <v>7</v>
      </c>
      <c r="D4" s="19" t="s">
        <v>8</v>
      </c>
      <c r="E4" s="19" t="s">
        <v>9</v>
      </c>
      <c r="F4" s="19" t="s">
        <v>10</v>
      </c>
      <c r="H4" s="217"/>
      <c r="I4" s="217"/>
      <c r="J4" s="217"/>
      <c r="K4" s="217"/>
      <c r="L4" s="217"/>
    </row>
    <row r="5" spans="1:12">
      <c r="A5" s="27">
        <v>45017</v>
      </c>
      <c r="B5" s="14" t="s">
        <v>12</v>
      </c>
      <c r="C5" s="35" t="str">
        <f>B5</f>
        <v>-</v>
      </c>
      <c r="D5" s="28">
        <v>194565.88700000002</v>
      </c>
      <c r="E5" s="18">
        <f t="shared" ref="E5:E15" si="0">D5</f>
        <v>194565.88700000002</v>
      </c>
      <c r="F5" s="18">
        <f t="shared" ref="F5:F15" si="1">E5-D5</f>
        <v>0</v>
      </c>
      <c r="H5" s="217"/>
      <c r="I5" s="217"/>
      <c r="J5" s="217"/>
      <c r="K5" s="217"/>
      <c r="L5" s="217"/>
    </row>
    <row r="6" spans="1:12">
      <c r="A6" s="27">
        <v>45047</v>
      </c>
      <c r="B6" s="14" t="s">
        <v>12</v>
      </c>
      <c r="C6" s="15" t="str">
        <f>B5</f>
        <v>-</v>
      </c>
      <c r="D6" s="28">
        <v>194565.88700000002</v>
      </c>
      <c r="E6" s="18">
        <f t="shared" si="0"/>
        <v>194565.88700000002</v>
      </c>
      <c r="F6" s="18">
        <f t="shared" si="1"/>
        <v>0</v>
      </c>
      <c r="H6" s="217"/>
      <c r="I6" s="217"/>
      <c r="J6" s="217"/>
      <c r="K6" s="217"/>
      <c r="L6" s="217"/>
    </row>
    <row r="7" spans="1:12">
      <c r="A7" s="27">
        <v>45078</v>
      </c>
      <c r="B7" s="14" t="s">
        <v>12</v>
      </c>
      <c r="C7" s="15" t="str">
        <f t="shared" ref="C7:C14" si="2">B6</f>
        <v>-</v>
      </c>
      <c r="D7" s="28">
        <v>200065.89</v>
      </c>
      <c r="E7" s="18">
        <f t="shared" si="0"/>
        <v>200065.89</v>
      </c>
      <c r="F7" s="18">
        <f t="shared" si="1"/>
        <v>0</v>
      </c>
    </row>
    <row r="8" spans="1:12">
      <c r="A8" s="27">
        <v>45108</v>
      </c>
      <c r="B8" s="14" t="s">
        <v>12</v>
      </c>
      <c r="C8" s="15" t="str">
        <f t="shared" si="2"/>
        <v>-</v>
      </c>
      <c r="D8" s="28">
        <v>200065.89</v>
      </c>
      <c r="E8" s="18">
        <f t="shared" si="0"/>
        <v>200065.89</v>
      </c>
      <c r="F8" s="18">
        <f t="shared" si="1"/>
        <v>0</v>
      </c>
    </row>
    <row r="9" spans="1:12">
      <c r="A9" s="27">
        <v>45139</v>
      </c>
      <c r="B9" s="14" t="s">
        <v>12</v>
      </c>
      <c r="C9" s="15" t="str">
        <f t="shared" si="2"/>
        <v>-</v>
      </c>
      <c r="D9" s="28">
        <v>200065.89</v>
      </c>
      <c r="E9" s="18">
        <f t="shared" si="0"/>
        <v>200065.89</v>
      </c>
      <c r="F9" s="18">
        <f t="shared" si="1"/>
        <v>0</v>
      </c>
    </row>
    <row r="10" spans="1:12">
      <c r="A10" s="27">
        <v>45170</v>
      </c>
      <c r="B10" s="14" t="s">
        <v>12</v>
      </c>
      <c r="C10" s="15" t="str">
        <f t="shared" si="2"/>
        <v>-</v>
      </c>
      <c r="D10" s="28">
        <v>200065.89</v>
      </c>
      <c r="E10" s="18">
        <f t="shared" si="0"/>
        <v>200065.89</v>
      </c>
      <c r="F10" s="18">
        <f t="shared" si="1"/>
        <v>0</v>
      </c>
    </row>
    <row r="11" spans="1:12">
      <c r="A11" s="27">
        <v>45200</v>
      </c>
      <c r="B11" s="14" t="s">
        <v>12</v>
      </c>
      <c r="C11" s="14" t="str">
        <f t="shared" si="2"/>
        <v>-</v>
      </c>
      <c r="D11" s="30">
        <v>200065.89</v>
      </c>
      <c r="E11" s="31">
        <f>D11</f>
        <v>200065.89</v>
      </c>
      <c r="F11" s="31">
        <f t="shared" si="1"/>
        <v>0</v>
      </c>
      <c r="J11" s="75"/>
    </row>
    <row r="12" spans="1:12">
      <c r="A12" s="27">
        <v>45231</v>
      </c>
      <c r="B12" s="14" t="s">
        <v>12</v>
      </c>
      <c r="C12" s="14" t="str">
        <f t="shared" si="2"/>
        <v>-</v>
      </c>
      <c r="D12" s="30">
        <v>200065.89</v>
      </c>
      <c r="E12" s="31">
        <f t="shared" si="0"/>
        <v>200065.89</v>
      </c>
      <c r="F12" s="31">
        <f t="shared" si="1"/>
        <v>0</v>
      </c>
      <c r="J12" s="75"/>
    </row>
    <row r="13" spans="1:12">
      <c r="A13" s="71">
        <v>45261</v>
      </c>
      <c r="B13" s="15" t="s">
        <v>12</v>
      </c>
      <c r="C13" s="15" t="str">
        <f t="shared" si="2"/>
        <v>-</v>
      </c>
      <c r="D13" s="72">
        <v>200065.89</v>
      </c>
      <c r="E13" s="29">
        <f t="shared" si="0"/>
        <v>200065.89</v>
      </c>
      <c r="F13" s="29">
        <f t="shared" si="1"/>
        <v>0</v>
      </c>
      <c r="J13" s="75"/>
    </row>
    <row r="14" spans="1:12">
      <c r="A14" s="27">
        <v>45292</v>
      </c>
      <c r="B14" s="14" t="s">
        <v>12</v>
      </c>
      <c r="C14" s="14" t="str">
        <f t="shared" si="2"/>
        <v>-</v>
      </c>
      <c r="D14" s="30">
        <v>200065.89</v>
      </c>
      <c r="E14" s="94">
        <f t="shared" si="0"/>
        <v>200065.89</v>
      </c>
      <c r="F14" s="31">
        <f t="shared" si="1"/>
        <v>0</v>
      </c>
      <c r="J14" s="75"/>
    </row>
    <row r="15" spans="1:12">
      <c r="A15" s="71">
        <v>45323</v>
      </c>
      <c r="B15" s="15" t="s">
        <v>12</v>
      </c>
      <c r="C15" s="15" t="s">
        <v>12</v>
      </c>
      <c r="D15" s="72">
        <v>72753.84</v>
      </c>
      <c r="E15" s="95">
        <f t="shared" si="0"/>
        <v>72753.84</v>
      </c>
      <c r="F15" s="29">
        <f t="shared" si="1"/>
        <v>0</v>
      </c>
      <c r="J15" s="75"/>
    </row>
    <row r="16" spans="1:12">
      <c r="A16" s="27">
        <v>45352</v>
      </c>
      <c r="B16" s="14" t="s">
        <v>12</v>
      </c>
      <c r="C16" s="14" t="s">
        <v>12</v>
      </c>
      <c r="D16" s="30">
        <v>150468.19</v>
      </c>
      <c r="E16" s="94">
        <f t="shared" ref="E16:E21" si="3">D16</f>
        <v>150468.19</v>
      </c>
      <c r="F16" s="31">
        <f t="shared" ref="F16:F21" si="4">E16-D16</f>
        <v>0</v>
      </c>
      <c r="J16" s="75"/>
    </row>
    <row r="17" spans="1:12">
      <c r="A17" s="84">
        <v>45383</v>
      </c>
      <c r="B17" s="14" t="s">
        <v>12</v>
      </c>
      <c r="C17" s="14" t="s">
        <v>12</v>
      </c>
      <c r="D17" s="31">
        <v>150468.19</v>
      </c>
      <c r="E17" s="94">
        <f t="shared" si="3"/>
        <v>150468.19</v>
      </c>
      <c r="F17" s="31">
        <f t="shared" si="4"/>
        <v>0</v>
      </c>
      <c r="J17" s="75"/>
    </row>
    <row r="18" spans="1:12">
      <c r="A18" s="84">
        <v>45413</v>
      </c>
      <c r="B18" s="14" t="s">
        <v>12</v>
      </c>
      <c r="C18" s="14" t="s">
        <v>12</v>
      </c>
      <c r="D18" s="31">
        <v>150468.19</v>
      </c>
      <c r="E18" s="94">
        <f t="shared" si="3"/>
        <v>150468.19</v>
      </c>
      <c r="F18" s="31">
        <f t="shared" si="4"/>
        <v>0</v>
      </c>
      <c r="J18" s="75"/>
    </row>
    <row r="19" spans="1:12">
      <c r="A19" s="84">
        <v>45444</v>
      </c>
      <c r="B19" s="14" t="s">
        <v>12</v>
      </c>
      <c r="C19" s="14" t="s">
        <v>12</v>
      </c>
      <c r="D19" s="31">
        <v>66053.240000000005</v>
      </c>
      <c r="E19" s="94">
        <f t="shared" si="3"/>
        <v>66053.240000000005</v>
      </c>
      <c r="F19" s="31">
        <f t="shared" si="4"/>
        <v>0</v>
      </c>
      <c r="J19" s="75"/>
    </row>
    <row r="20" spans="1:12">
      <c r="A20" s="84">
        <v>45474</v>
      </c>
      <c r="B20" s="14" t="s">
        <v>12</v>
      </c>
      <c r="C20" s="14" t="s">
        <v>12</v>
      </c>
      <c r="D20" s="31">
        <v>67791.179999999993</v>
      </c>
      <c r="E20" s="94">
        <f t="shared" si="3"/>
        <v>67791.179999999993</v>
      </c>
      <c r="F20" s="31">
        <f t="shared" si="4"/>
        <v>0</v>
      </c>
      <c r="L20" s="76"/>
    </row>
    <row r="21" spans="1:12">
      <c r="A21" s="84">
        <v>45505</v>
      </c>
      <c r="B21" s="14" t="s">
        <v>12</v>
      </c>
      <c r="C21" s="14" t="s">
        <v>12</v>
      </c>
      <c r="D21" s="31">
        <v>67791.179999999993</v>
      </c>
      <c r="E21" s="94">
        <f t="shared" si="3"/>
        <v>67791.179999999993</v>
      </c>
      <c r="F21" s="31">
        <f t="shared" si="4"/>
        <v>0</v>
      </c>
    </row>
    <row r="22" spans="1:12">
      <c r="E22" s="13" t="s">
        <v>98</v>
      </c>
    </row>
    <row r="23" spans="1:12">
      <c r="E23" s="13"/>
    </row>
  </sheetData>
  <mergeCells count="2">
    <mergeCell ref="A1:F1"/>
    <mergeCell ref="H1:L6"/>
  </mergeCell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2F1D-89D0-4374-8A32-094CEC3D2874}">
  <dimension ref="A1:N32"/>
  <sheetViews>
    <sheetView workbookViewId="0">
      <pane ySplit="4" topLeftCell="A24" activePane="bottomLeft" state="frozen"/>
      <selection pane="bottomLeft" activeCell="E3" sqref="E3"/>
    </sheetView>
  </sheetViews>
  <sheetFormatPr defaultRowHeight="14.4"/>
  <cols>
    <col min="1" max="1" width="10.6640625" bestFit="1" customWidth="1"/>
    <col min="2" max="2" width="9.88671875" bestFit="1" customWidth="1"/>
    <col min="3" max="4" width="17.88671875" bestFit="1" customWidth="1"/>
    <col min="5" max="5" width="25.88671875" bestFit="1" customWidth="1"/>
    <col min="6" max="6" width="15.88671875" bestFit="1" customWidth="1"/>
    <col min="10" max="10" width="15.88671875" bestFit="1" customWidth="1"/>
  </cols>
  <sheetData>
    <row r="1" spans="1:14">
      <c r="A1" s="216" t="s">
        <v>11</v>
      </c>
      <c r="B1" s="216"/>
      <c r="C1" s="216"/>
      <c r="D1" s="216"/>
      <c r="E1" s="216"/>
      <c r="F1" s="216"/>
      <c r="H1" s="217" t="s">
        <v>33</v>
      </c>
      <c r="I1" s="217"/>
      <c r="J1" s="217"/>
    </row>
    <row r="2" spans="1:14" ht="15" customHeight="1">
      <c r="A2" s="19" t="s">
        <v>1</v>
      </c>
      <c r="B2" s="19" t="s">
        <v>0</v>
      </c>
      <c r="C2" s="19"/>
      <c r="D2" s="19" t="s">
        <v>2</v>
      </c>
      <c r="E2" s="19" t="s">
        <v>3</v>
      </c>
      <c r="F2" s="19" t="s">
        <v>10</v>
      </c>
      <c r="H2" s="217"/>
      <c r="I2" s="217"/>
      <c r="J2" s="217"/>
      <c r="K2" s="40"/>
      <c r="L2" s="40"/>
      <c r="M2" s="40"/>
      <c r="N2" s="40"/>
    </row>
    <row r="3" spans="1:14">
      <c r="A3" s="20">
        <v>44470</v>
      </c>
      <c r="B3" s="21">
        <f>VLOOKUP(A3,'INCC - M'!$A:$F,2,FALSE)</f>
        <v>951.24900000000002</v>
      </c>
      <c r="C3" s="21"/>
      <c r="D3" s="22">
        <f>SUM(D5:D30)</f>
        <v>2544559.8107479997</v>
      </c>
      <c r="E3" s="22">
        <f>SUM(E5:E30)</f>
        <v>2568942.6848256057</v>
      </c>
      <c r="F3" s="22">
        <f>SUM(F5:F30)</f>
        <v>24382.874077605418</v>
      </c>
      <c r="H3" s="217"/>
      <c r="I3" s="217"/>
      <c r="J3" s="217"/>
      <c r="K3" s="40"/>
      <c r="L3" s="40"/>
      <c r="M3" s="40"/>
      <c r="N3" s="40"/>
    </row>
    <row r="4" spans="1:14">
      <c r="A4" s="19" t="s">
        <v>5</v>
      </c>
      <c r="B4" s="19" t="s">
        <v>6</v>
      </c>
      <c r="C4" s="19" t="s">
        <v>7</v>
      </c>
      <c r="D4" s="19" t="s">
        <v>8</v>
      </c>
      <c r="E4" s="19" t="s">
        <v>9</v>
      </c>
      <c r="F4" s="19" t="s">
        <v>10</v>
      </c>
      <c r="H4" s="217"/>
      <c r="I4" s="217"/>
      <c r="J4" s="217"/>
      <c r="K4" s="40"/>
      <c r="L4" s="40"/>
      <c r="M4" s="40"/>
      <c r="N4" s="40"/>
    </row>
    <row r="5" spans="1:14">
      <c r="A5" s="27">
        <v>44470</v>
      </c>
      <c r="B5" s="14">
        <f>VLOOKUP(A5,'INCC - M'!$A:$F,2,FALSE)</f>
        <v>951.24900000000002</v>
      </c>
      <c r="C5" s="15" t="s">
        <v>12</v>
      </c>
      <c r="D5" s="28">
        <v>99237.831999999995</v>
      </c>
      <c r="E5" s="29">
        <f>D5</f>
        <v>99237.831999999995</v>
      </c>
      <c r="F5" s="29">
        <v>0</v>
      </c>
      <c r="K5" s="40"/>
      <c r="L5" s="40"/>
      <c r="M5" s="40"/>
      <c r="N5" s="40"/>
    </row>
    <row r="6" spans="1:14">
      <c r="A6" s="27">
        <v>44501</v>
      </c>
      <c r="B6" s="14">
        <f>VLOOKUP(A6,'INCC - M'!$A:$F,2,FALSE)</f>
        <v>957.98400000000004</v>
      </c>
      <c r="C6" s="15" t="s">
        <v>12</v>
      </c>
      <c r="D6" s="28">
        <v>66158.554999999993</v>
      </c>
      <c r="E6" s="29">
        <f t="shared" ref="E6:E18" si="0">D6</f>
        <v>66158.554999999993</v>
      </c>
      <c r="F6" s="18">
        <f>E6-D6</f>
        <v>0</v>
      </c>
      <c r="H6" s="40"/>
      <c r="I6" s="40"/>
      <c r="J6" s="40"/>
      <c r="K6" s="40"/>
      <c r="L6" s="40"/>
      <c r="M6" s="40"/>
      <c r="N6" s="40"/>
    </row>
    <row r="7" spans="1:14">
      <c r="A7" s="27">
        <v>44531</v>
      </c>
      <c r="B7" s="14">
        <f>VLOOKUP(A7,'INCC - M'!$A:$F,2,FALSE)</f>
        <v>960.89400000000001</v>
      </c>
      <c r="C7" s="15" t="s">
        <v>12</v>
      </c>
      <c r="D7" s="28">
        <v>43257.516000000003</v>
      </c>
      <c r="E7" s="29">
        <f t="shared" si="0"/>
        <v>43257.516000000003</v>
      </c>
      <c r="F7" s="18">
        <f t="shared" ref="F7:F30" si="1">E7-D7</f>
        <v>0</v>
      </c>
      <c r="H7" s="41"/>
      <c r="I7" s="41"/>
      <c r="J7" s="41"/>
      <c r="K7" s="41"/>
      <c r="L7" s="41"/>
      <c r="M7" s="41"/>
      <c r="N7" s="41"/>
    </row>
    <row r="8" spans="1:14">
      <c r="A8" s="27">
        <v>44562</v>
      </c>
      <c r="B8" s="14">
        <f>VLOOKUP(A8,'INCC - M'!$A:$F,2,FALSE)</f>
        <v>967.00300000000004</v>
      </c>
      <c r="C8" s="15" t="s">
        <v>12</v>
      </c>
      <c r="D8" s="28">
        <v>33079.277000000002</v>
      </c>
      <c r="E8" s="29">
        <f t="shared" si="0"/>
        <v>33079.277000000002</v>
      </c>
      <c r="F8" s="18">
        <f t="shared" si="1"/>
        <v>0</v>
      </c>
      <c r="H8" s="41"/>
      <c r="I8" s="41"/>
      <c r="J8" s="41"/>
      <c r="K8" s="41"/>
      <c r="L8" s="41"/>
      <c r="M8" s="41"/>
      <c r="N8" s="41"/>
    </row>
    <row r="9" spans="1:14">
      <c r="A9" s="27">
        <v>44593</v>
      </c>
      <c r="B9" s="14">
        <f>VLOOKUP(A9,'INCC - M'!$A:$F,2,FALSE)</f>
        <v>971.65099999999995</v>
      </c>
      <c r="C9" s="15" t="s">
        <v>12</v>
      </c>
      <c r="D9" s="28">
        <v>40712.957000000002</v>
      </c>
      <c r="E9" s="29">
        <f t="shared" si="0"/>
        <v>40712.957000000002</v>
      </c>
      <c r="F9" s="18">
        <f t="shared" si="1"/>
        <v>0</v>
      </c>
      <c r="H9" s="41"/>
      <c r="I9" s="41"/>
      <c r="J9" s="69"/>
      <c r="M9" s="41"/>
      <c r="N9" s="41"/>
    </row>
    <row r="10" spans="1:14">
      <c r="A10" s="27">
        <v>44621</v>
      </c>
      <c r="B10" s="14">
        <f>VLOOKUP(A10,'INCC - M'!$A:$F,2,FALSE)</f>
        <v>978.71699999999998</v>
      </c>
      <c r="C10" s="15" t="s">
        <v>12</v>
      </c>
      <c r="D10" s="30">
        <v>33079.277000000002</v>
      </c>
      <c r="E10" s="29">
        <f t="shared" si="0"/>
        <v>33079.277000000002</v>
      </c>
      <c r="F10" s="31">
        <f t="shared" si="1"/>
        <v>0</v>
      </c>
      <c r="J10" s="69"/>
    </row>
    <row r="11" spans="1:14">
      <c r="A11" s="27">
        <v>44652</v>
      </c>
      <c r="B11" s="14">
        <f>VLOOKUP(A11,'INCC - M'!$A:$F,2,FALSE)</f>
        <v>987.21799999999996</v>
      </c>
      <c r="C11" s="15" t="s">
        <v>12</v>
      </c>
      <c r="D11" s="30">
        <v>48346.635999999999</v>
      </c>
      <c r="E11" s="29">
        <f t="shared" si="0"/>
        <v>48346.635999999999</v>
      </c>
      <c r="F11" s="31">
        <f t="shared" si="1"/>
        <v>0</v>
      </c>
    </row>
    <row r="12" spans="1:14">
      <c r="A12" s="27">
        <v>44682</v>
      </c>
      <c r="B12" s="14">
        <f>VLOOKUP(A12,'INCC - M'!$A:$F,2,FALSE)</f>
        <v>1001.923</v>
      </c>
      <c r="C12" s="15" t="s">
        <v>12</v>
      </c>
      <c r="D12" s="28">
        <v>86515.032999999996</v>
      </c>
      <c r="E12" s="29">
        <f t="shared" si="0"/>
        <v>86515.032999999996</v>
      </c>
      <c r="F12" s="18">
        <f t="shared" si="1"/>
        <v>0</v>
      </c>
    </row>
    <row r="13" spans="1:14">
      <c r="A13" s="27">
        <v>44713</v>
      </c>
      <c r="B13" s="14">
        <f>VLOOKUP(A13,'INCC - M'!$A:$F,2,FALSE)</f>
        <v>1030.105</v>
      </c>
      <c r="C13" s="15" t="s">
        <v>12</v>
      </c>
      <c r="D13" s="28">
        <v>58524.875</v>
      </c>
      <c r="E13" s="29">
        <f t="shared" si="0"/>
        <v>58524.875</v>
      </c>
      <c r="F13" s="18">
        <f t="shared" si="1"/>
        <v>0</v>
      </c>
    </row>
    <row r="14" spans="1:14">
      <c r="A14" s="27">
        <v>44743</v>
      </c>
      <c r="B14" s="14">
        <f>VLOOKUP(A14,'INCC - M'!$A:$F,2,FALSE)</f>
        <v>1042.029</v>
      </c>
      <c r="C14" s="15" t="s">
        <v>12</v>
      </c>
      <c r="D14" s="28">
        <v>71247.673999999999</v>
      </c>
      <c r="E14" s="29">
        <f t="shared" si="0"/>
        <v>71247.673999999999</v>
      </c>
      <c r="F14" s="18">
        <f t="shared" si="1"/>
        <v>0</v>
      </c>
    </row>
    <row r="15" spans="1:14">
      <c r="A15" s="27">
        <v>44774</v>
      </c>
      <c r="B15" s="14">
        <f>VLOOKUP(A15,'INCC - M'!$A:$F,2,FALSE)</f>
        <v>1045.4690000000001</v>
      </c>
      <c r="C15" s="15" t="s">
        <v>12</v>
      </c>
      <c r="D15" s="28">
        <v>50891.196000000004</v>
      </c>
      <c r="E15" s="29">
        <f t="shared" si="0"/>
        <v>50891.196000000004</v>
      </c>
      <c r="F15" s="18">
        <f t="shared" si="1"/>
        <v>0</v>
      </c>
    </row>
    <row r="16" spans="1:14">
      <c r="A16" s="27">
        <v>44805</v>
      </c>
      <c r="B16" s="14">
        <f>VLOOKUP(A16,'INCC - M'!$A:$F,2,FALSE)</f>
        <v>1046.5070000000001</v>
      </c>
      <c r="C16" s="15" t="s">
        <v>12</v>
      </c>
      <c r="D16" s="28">
        <v>90331.873000000007</v>
      </c>
      <c r="E16" s="29">
        <f t="shared" si="0"/>
        <v>90331.873000000007</v>
      </c>
      <c r="F16" s="18">
        <f t="shared" si="1"/>
        <v>0</v>
      </c>
    </row>
    <row r="17" spans="1:6">
      <c r="A17" s="27">
        <v>44835</v>
      </c>
      <c r="B17" s="14">
        <f>VLOOKUP(A17,'INCC - M'!$A:$F,2,FALSE)</f>
        <v>1046.9559999999999</v>
      </c>
      <c r="C17" s="15" t="s">
        <v>12</v>
      </c>
      <c r="D17" s="28">
        <v>94148.712</v>
      </c>
      <c r="E17" s="29">
        <f t="shared" si="0"/>
        <v>94148.712</v>
      </c>
      <c r="F17" s="18">
        <f t="shared" si="1"/>
        <v>0</v>
      </c>
    </row>
    <row r="18" spans="1:6">
      <c r="A18" s="27">
        <v>44866</v>
      </c>
      <c r="B18" s="14">
        <f>VLOOKUP(A18,'INCC - M'!$A:$F,2,FALSE)</f>
        <v>1048.4290000000001</v>
      </c>
      <c r="C18" s="15" t="s">
        <v>12</v>
      </c>
      <c r="D18" s="28">
        <v>75318.97</v>
      </c>
      <c r="E18" s="29">
        <f t="shared" si="0"/>
        <v>75318.97</v>
      </c>
      <c r="F18" s="18">
        <f t="shared" si="1"/>
        <v>0</v>
      </c>
    </row>
    <row r="19" spans="1:6">
      <c r="A19" s="27">
        <v>44896</v>
      </c>
      <c r="B19" s="14">
        <f>VLOOKUP(A19,'INCC - M'!$A:$F,2,FALSE)</f>
        <v>1051.249</v>
      </c>
      <c r="C19" s="14">
        <v>1051.249</v>
      </c>
      <c r="D19" s="28">
        <v>154709.24</v>
      </c>
      <c r="E19" s="18">
        <f>D19</f>
        <v>154709.24</v>
      </c>
      <c r="F19" s="18">
        <f t="shared" si="1"/>
        <v>0</v>
      </c>
    </row>
    <row r="20" spans="1:6">
      <c r="A20" s="27">
        <v>44927</v>
      </c>
      <c r="B20" s="14">
        <f>VLOOKUP(A20,'INCC - M'!$A:$F,2,FALSE)</f>
        <v>1054.5609999999999</v>
      </c>
      <c r="C20" s="14">
        <v>1054.5609999999999</v>
      </c>
      <c r="D20" s="30">
        <v>108398.25</v>
      </c>
      <c r="E20" s="18">
        <f t="shared" ref="E20:E30" si="2">D20*C20/$C$19</f>
        <v>108739.76281380528</v>
      </c>
      <c r="F20" s="18">
        <f t="shared" si="1"/>
        <v>341.51281380528235</v>
      </c>
    </row>
    <row r="21" spans="1:6">
      <c r="A21" s="27">
        <v>44958</v>
      </c>
      <c r="B21" s="14">
        <f>VLOOKUP(A21,'INCC - M'!$A:$F,2,FALSE)</f>
        <v>1056.7750000000001</v>
      </c>
      <c r="C21" s="14">
        <v>1056.7750000000001</v>
      </c>
      <c r="D21" s="30">
        <v>130027.01</v>
      </c>
      <c r="E21" s="18">
        <f t="shared" si="2"/>
        <v>130710.51053817889</v>
      </c>
      <c r="F21" s="18">
        <f t="shared" si="1"/>
        <v>683.5005381788942</v>
      </c>
    </row>
    <row r="22" spans="1:6">
      <c r="A22" s="27">
        <v>44986</v>
      </c>
      <c r="B22" s="34">
        <f>VLOOKUP(A22,'INCC - M'!$A:$F,2,FALSE)</f>
        <v>1058.6500000000001</v>
      </c>
      <c r="C22" s="34">
        <v>1058.6500000000001</v>
      </c>
      <c r="D22" s="30">
        <v>119848.77</v>
      </c>
      <c r="E22" s="18">
        <f t="shared" si="2"/>
        <v>120692.52894461731</v>
      </c>
      <c r="F22" s="18">
        <f t="shared" si="1"/>
        <v>843.75894461730786</v>
      </c>
    </row>
    <row r="23" spans="1:6">
      <c r="A23" s="27">
        <v>45017</v>
      </c>
      <c r="B23" s="14">
        <f>VLOOKUP(A23,'INCC - M'!$A:$F,2,FALSE)</f>
        <v>1061.0709999999999</v>
      </c>
      <c r="C23" s="34">
        <f>B22</f>
        <v>1058.6500000000001</v>
      </c>
      <c r="D23" s="30">
        <v>119848.77</v>
      </c>
      <c r="E23" s="18">
        <f t="shared" si="2"/>
        <v>120692.52894461731</v>
      </c>
      <c r="F23" s="18">
        <f t="shared" si="1"/>
        <v>843.75894461730786</v>
      </c>
    </row>
    <row r="24" spans="1:6">
      <c r="A24" s="27">
        <v>45047</v>
      </c>
      <c r="B24" s="14">
        <f>VLOOKUP(A24,'INCC - M'!$A:$F,2,FALSE)</f>
        <v>1065.289</v>
      </c>
      <c r="C24" s="14">
        <f>B23</f>
        <v>1061.0709999999999</v>
      </c>
      <c r="D24" s="28">
        <v>125192.34166800001</v>
      </c>
      <c r="E24" s="18">
        <f t="shared" si="2"/>
        <v>126362.03522286958</v>
      </c>
      <c r="F24" s="18">
        <f t="shared" si="1"/>
        <v>1169.6935548695765</v>
      </c>
    </row>
    <row r="25" spans="1:6">
      <c r="A25" s="27">
        <v>45078</v>
      </c>
      <c r="B25" s="14">
        <f>VLOOKUP(A25,'INCC - M'!$A:$F,2,FALSE)</f>
        <v>1074.2919999999999</v>
      </c>
      <c r="C25" s="14">
        <f>B24</f>
        <v>1065.289</v>
      </c>
      <c r="D25" s="28">
        <v>162851.82656000002</v>
      </c>
      <c r="E25" s="18">
        <f t="shared" si="2"/>
        <v>165026.80094276034</v>
      </c>
      <c r="F25" s="18">
        <f t="shared" si="1"/>
        <v>2174.9743827603234</v>
      </c>
    </row>
    <row r="26" spans="1:6">
      <c r="A26" s="27">
        <v>45108</v>
      </c>
      <c r="B26" s="14">
        <f>VLOOKUP(A26,'INCC - M'!$A:$F,2,FALSE)</f>
        <v>1074.895</v>
      </c>
      <c r="C26" s="14">
        <f>B25</f>
        <v>1074.2919999999999</v>
      </c>
      <c r="D26" s="28">
        <v>154709.23523200001</v>
      </c>
      <c r="E26" s="18">
        <f t="shared" si="2"/>
        <v>158100.40602735957</v>
      </c>
      <c r="F26" s="18">
        <f t="shared" si="1"/>
        <v>3391.1707953595615</v>
      </c>
    </row>
    <row r="27" spans="1:6">
      <c r="A27" s="27">
        <v>45139</v>
      </c>
      <c r="B27" s="14">
        <f>VLOOKUP(A27,'INCC - M'!$A:$F,2,FALSE)</f>
        <v>1077.4970000000001</v>
      </c>
      <c r="C27" s="14">
        <v>1074.895</v>
      </c>
      <c r="D27" s="28">
        <v>142240.892261</v>
      </c>
      <c r="E27" s="18">
        <f t="shared" si="2"/>
        <v>145440.35132198705</v>
      </c>
      <c r="F27" s="18">
        <f t="shared" si="1"/>
        <v>3199.4590609870502</v>
      </c>
    </row>
    <row r="28" spans="1:6">
      <c r="A28" s="27">
        <v>45170</v>
      </c>
      <c r="B28" s="14">
        <f>VLOOKUP(A28,'INCC - M'!$A:$F,2,FALSE)</f>
        <v>1080.0709999999999</v>
      </c>
      <c r="C28" s="14">
        <f>B27</f>
        <v>1077.4970000000001</v>
      </c>
      <c r="D28" s="28">
        <v>173793.43365699999</v>
      </c>
      <c r="E28" s="18">
        <f t="shared" si="2"/>
        <v>178132.77671143232</v>
      </c>
      <c r="F28" s="18">
        <f t="shared" si="1"/>
        <v>4339.3430544323346</v>
      </c>
    </row>
    <row r="29" spans="1:6">
      <c r="A29" s="27">
        <v>45200</v>
      </c>
      <c r="B29" s="14">
        <f>VLOOKUP(A29,'INCC - M'!$A:$F,2,FALSE)</f>
        <v>1082.251</v>
      </c>
      <c r="C29" s="14">
        <f>B28</f>
        <v>1080.0709999999999</v>
      </c>
      <c r="D29" s="30">
        <v>160816.17872800003</v>
      </c>
      <c r="E29" s="31">
        <f t="shared" si="2"/>
        <v>165225.26154596073</v>
      </c>
      <c r="F29" s="31">
        <f t="shared" si="1"/>
        <v>4409.0828179607051</v>
      </c>
    </row>
    <row r="30" spans="1:6">
      <c r="A30" s="27">
        <v>45231</v>
      </c>
      <c r="B30" s="14">
        <f>VLOOKUP(A30,'INCC - M'!$A:$F,2,FALSE)</f>
        <v>1083.335</v>
      </c>
      <c r="C30" s="14">
        <f>B29</f>
        <v>1082.251</v>
      </c>
      <c r="D30" s="30">
        <v>101273.47964200001</v>
      </c>
      <c r="E30" s="31">
        <f t="shared" si="2"/>
        <v>104260.09881201708</v>
      </c>
      <c r="F30" s="31">
        <f t="shared" si="1"/>
        <v>2986.6191700170748</v>
      </c>
    </row>
    <row r="31" spans="1:6">
      <c r="F31" s="93" t="s">
        <v>98</v>
      </c>
    </row>
    <row r="32" spans="1:6">
      <c r="F32" s="13"/>
    </row>
  </sheetData>
  <mergeCells count="2">
    <mergeCell ref="A1:F1"/>
    <mergeCell ref="H1:J4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590C-3FCD-4381-AAE9-AA4A7CA7B163}">
  <dimension ref="A1:E15"/>
  <sheetViews>
    <sheetView workbookViewId="0">
      <pane ySplit="4" topLeftCell="A5" activePane="bottomLeft" state="frozen"/>
      <selection pane="bottomLeft" activeCell="H15" sqref="H15"/>
    </sheetView>
  </sheetViews>
  <sheetFormatPr defaultRowHeight="14.4"/>
  <cols>
    <col min="1" max="1" width="10.6640625" bestFit="1" customWidth="1"/>
    <col min="2" max="2" width="9.88671875" bestFit="1" customWidth="1"/>
    <col min="3" max="4" width="17.88671875" bestFit="1" customWidth="1"/>
    <col min="5" max="5" width="25.88671875" bestFit="1" customWidth="1"/>
  </cols>
  <sheetData>
    <row r="1" spans="1:5">
      <c r="A1" s="216" t="s">
        <v>17</v>
      </c>
      <c r="B1" s="216"/>
      <c r="C1" s="216"/>
      <c r="D1" s="216"/>
      <c r="E1" s="216"/>
    </row>
    <row r="2" spans="1:5">
      <c r="A2" s="19" t="s">
        <v>1</v>
      </c>
      <c r="B2" s="19" t="s">
        <v>0</v>
      </c>
      <c r="C2" s="19"/>
      <c r="D2" s="19" t="s">
        <v>2</v>
      </c>
      <c r="E2" s="19" t="s">
        <v>3</v>
      </c>
    </row>
    <row r="3" spans="1:5">
      <c r="A3" s="20" t="s">
        <v>12</v>
      </c>
      <c r="B3" s="21" t="s">
        <v>12</v>
      </c>
      <c r="C3" s="21"/>
      <c r="D3" s="22">
        <f>SUM(D5:D11)</f>
        <v>1529549.42</v>
      </c>
      <c r="E3" s="22">
        <f>SUM(E5:E11)</f>
        <v>122363.95360000001</v>
      </c>
    </row>
    <row r="4" spans="1:5">
      <c r="A4" s="19" t="s">
        <v>5</v>
      </c>
      <c r="B4" s="19" t="s">
        <v>6</v>
      </c>
      <c r="C4" s="19" t="s">
        <v>7</v>
      </c>
      <c r="D4" s="19" t="s">
        <v>18</v>
      </c>
      <c r="E4" s="19" t="s">
        <v>9</v>
      </c>
    </row>
    <row r="5" spans="1:5">
      <c r="A5" s="16">
        <v>45078</v>
      </c>
      <c r="B5" s="14" t="s">
        <v>12</v>
      </c>
      <c r="C5" s="14" t="s">
        <v>12</v>
      </c>
      <c r="D5" s="18">
        <v>266496.71000000002</v>
      </c>
      <c r="E5" s="18">
        <f>D5*0.08</f>
        <v>21319.736800000002</v>
      </c>
    </row>
    <row r="6" spans="1:5">
      <c r="A6" s="16">
        <v>45108</v>
      </c>
      <c r="B6" s="14" t="s">
        <v>12</v>
      </c>
      <c r="C6" s="15" t="str">
        <f>B5</f>
        <v>-</v>
      </c>
      <c r="D6" s="18">
        <v>357316.60000000003</v>
      </c>
      <c r="E6" s="18">
        <f>D6*0.08</f>
        <v>28585.328000000005</v>
      </c>
    </row>
    <row r="7" spans="1:5">
      <c r="A7" s="16">
        <v>45139</v>
      </c>
      <c r="B7" s="14" t="s">
        <v>12</v>
      </c>
      <c r="C7" s="15" t="str">
        <f>B6</f>
        <v>-</v>
      </c>
      <c r="D7" s="18">
        <v>379200.49000000011</v>
      </c>
      <c r="E7" s="18">
        <f>D7*0.08</f>
        <v>30336.03920000001</v>
      </c>
    </row>
    <row r="8" spans="1:5">
      <c r="A8" s="16">
        <v>45170</v>
      </c>
      <c r="B8" s="14" t="s">
        <v>12</v>
      </c>
      <c r="C8" s="15" t="str">
        <f>B7</f>
        <v>-</v>
      </c>
      <c r="D8" s="18">
        <v>217630.49</v>
      </c>
      <c r="E8" s="18">
        <f>D8*0.08</f>
        <v>17410.439200000001</v>
      </c>
    </row>
    <row r="9" spans="1:5">
      <c r="A9" s="16">
        <v>45200</v>
      </c>
      <c r="B9" s="14" t="s">
        <v>12</v>
      </c>
      <c r="C9" s="14" t="s">
        <v>12</v>
      </c>
      <c r="D9" s="31">
        <v>308905.13</v>
      </c>
      <c r="E9" s="31">
        <f>D9*0.08</f>
        <v>24712.410400000001</v>
      </c>
    </row>
    <row r="10" spans="1:5">
      <c r="A10" s="16"/>
      <c r="B10" s="14"/>
      <c r="C10" s="14"/>
      <c r="D10" s="18"/>
      <c r="E10" s="18"/>
    </row>
    <row r="11" spans="1:5">
      <c r="A11" s="16"/>
      <c r="B11" s="14"/>
      <c r="C11" s="14"/>
      <c r="D11" s="18"/>
      <c r="E11" s="18"/>
    </row>
    <row r="14" spans="1:5">
      <c r="E14" s="68"/>
    </row>
    <row r="15" spans="1:5">
      <c r="E15" s="68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E541-E35F-49B8-BC2D-35B2E85D0BB4}">
  <dimension ref="A1:Q35"/>
  <sheetViews>
    <sheetView workbookViewId="0">
      <pane ySplit="4" topLeftCell="A29" activePane="bottomLeft" state="frozen"/>
      <selection pane="bottomLeft" activeCell="G38" sqref="G38"/>
    </sheetView>
  </sheetViews>
  <sheetFormatPr defaultRowHeight="14.4"/>
  <cols>
    <col min="1" max="1" width="10.6640625" bestFit="1" customWidth="1"/>
    <col min="2" max="2" width="9.88671875" bestFit="1" customWidth="1"/>
    <col min="3" max="4" width="17.88671875" bestFit="1" customWidth="1"/>
    <col min="5" max="5" width="25.88671875" bestFit="1" customWidth="1"/>
    <col min="6" max="6" width="13.33203125" bestFit="1" customWidth="1"/>
    <col min="7" max="7" width="20.33203125" bestFit="1" customWidth="1"/>
    <col min="8" max="8" width="15.88671875" bestFit="1" customWidth="1"/>
    <col min="9" max="9" width="20.44140625" bestFit="1" customWidth="1"/>
    <col min="10" max="10" width="11.6640625" bestFit="1" customWidth="1"/>
    <col min="12" max="16" width="11.6640625" bestFit="1" customWidth="1"/>
  </cols>
  <sheetData>
    <row r="1" spans="1:10">
      <c r="A1" s="216" t="s">
        <v>14</v>
      </c>
      <c r="B1" s="216"/>
      <c r="C1" s="216"/>
      <c r="D1" s="216"/>
      <c r="E1" s="216"/>
      <c r="F1" s="216"/>
      <c r="H1" s="217" t="s">
        <v>114</v>
      </c>
      <c r="I1" s="217"/>
      <c r="J1" s="217"/>
    </row>
    <row r="2" spans="1:10" ht="15" customHeight="1">
      <c r="A2" s="19" t="s">
        <v>1</v>
      </c>
      <c r="B2" s="19" t="s">
        <v>0</v>
      </c>
      <c r="C2" s="19"/>
      <c r="D2" s="19" t="s">
        <v>2</v>
      </c>
      <c r="E2" s="19" t="s">
        <v>3</v>
      </c>
      <c r="F2" s="19" t="s">
        <v>10</v>
      </c>
      <c r="H2" s="217"/>
      <c r="I2" s="217"/>
      <c r="J2" s="217"/>
    </row>
    <row r="3" spans="1:10">
      <c r="A3" s="20">
        <v>44378</v>
      </c>
      <c r="B3" s="21">
        <f>VLOOKUP(A3,'INCC - M'!$A:$F,2,FALSE)</f>
        <v>933.23</v>
      </c>
      <c r="C3" s="21"/>
      <c r="D3" s="22">
        <f>SUM(D5:D34)</f>
        <v>4028195.1034680293</v>
      </c>
      <c r="E3" s="22">
        <f t="shared" ref="E3:F3" si="0">SUM(E5:E34)</f>
        <v>4105210.9236076865</v>
      </c>
      <c r="F3" s="22">
        <f t="shared" si="0"/>
        <v>77015.820139657648</v>
      </c>
      <c r="H3" s="217"/>
      <c r="I3" s="217"/>
      <c r="J3" s="217"/>
    </row>
    <row r="4" spans="1:10">
      <c r="A4" s="19" t="s">
        <v>5</v>
      </c>
      <c r="B4" s="19" t="s">
        <v>6</v>
      </c>
      <c r="C4" s="19" t="s">
        <v>7</v>
      </c>
      <c r="D4" s="19" t="s">
        <v>8</v>
      </c>
      <c r="E4" s="19" t="s">
        <v>9</v>
      </c>
      <c r="F4" s="19" t="s">
        <v>10</v>
      </c>
      <c r="H4" s="217"/>
      <c r="I4" s="217"/>
      <c r="J4" s="217"/>
    </row>
    <row r="5" spans="1:10">
      <c r="A5" s="27">
        <v>44682</v>
      </c>
      <c r="B5" s="14">
        <f>VLOOKUP(A5,'INCC - M'!$A:$F,2,FALSE)</f>
        <v>1001.923</v>
      </c>
      <c r="C5" s="15" t="s">
        <v>12</v>
      </c>
      <c r="D5" s="28">
        <v>32224.206999999999</v>
      </c>
      <c r="E5" s="95">
        <v>32224.206999999999</v>
      </c>
      <c r="F5" s="29">
        <v>0</v>
      </c>
    </row>
    <row r="6" spans="1:10">
      <c r="A6" s="27">
        <v>44713</v>
      </c>
      <c r="B6" s="14">
        <f>VLOOKUP(A6,'INCC - M'!$A:$F,2,FALSE)</f>
        <v>1030.105</v>
      </c>
      <c r="C6" s="15" t="s">
        <v>12</v>
      </c>
      <c r="D6" s="28">
        <v>36252.233</v>
      </c>
      <c r="E6" s="95">
        <v>36252.233</v>
      </c>
      <c r="F6" s="18">
        <f>E6-D6</f>
        <v>0</v>
      </c>
    </row>
    <row r="7" spans="1:10">
      <c r="A7" s="27">
        <v>44743</v>
      </c>
      <c r="B7" s="14">
        <f>VLOOKUP(A7,'INCC - M'!$A:$F,2,FALSE)</f>
        <v>1042.029</v>
      </c>
      <c r="C7" s="15" t="s">
        <v>12</v>
      </c>
      <c r="D7" s="28">
        <v>92644.596000000005</v>
      </c>
      <c r="E7" s="95">
        <v>92644.596000000005</v>
      </c>
      <c r="F7" s="18">
        <f t="shared" ref="F7:F31" si="1">E7-D7</f>
        <v>0</v>
      </c>
      <c r="H7" s="69"/>
    </row>
    <row r="8" spans="1:10">
      <c r="A8" s="27">
        <v>44774</v>
      </c>
      <c r="B8" s="14">
        <f>VLOOKUP(A8,'INCC - M'!$A:$F,2,FALSE)</f>
        <v>1045.4690000000001</v>
      </c>
      <c r="C8" s="15" t="s">
        <v>12</v>
      </c>
      <c r="D8" s="28">
        <v>84991.346999999994</v>
      </c>
      <c r="E8" s="95">
        <v>84991.346999999994</v>
      </c>
      <c r="F8" s="18">
        <f t="shared" si="1"/>
        <v>0</v>
      </c>
      <c r="H8" s="69"/>
    </row>
    <row r="9" spans="1:10">
      <c r="A9" s="27">
        <v>44805</v>
      </c>
      <c r="B9" s="14">
        <f>VLOOKUP(A9,'INCC - M'!$A:$F,2,FALSE)</f>
        <v>1046.5070000000001</v>
      </c>
      <c r="C9" s="15" t="s">
        <v>12</v>
      </c>
      <c r="D9" s="28">
        <v>33835.417999999998</v>
      </c>
      <c r="E9" s="95">
        <v>33835.417999999998</v>
      </c>
      <c r="F9" s="18">
        <f t="shared" si="1"/>
        <v>0</v>
      </c>
    </row>
    <row r="10" spans="1:10">
      <c r="A10" s="27">
        <v>44835</v>
      </c>
      <c r="B10" s="14">
        <f>VLOOKUP(A10,'INCC - M'!$A:$F,2,FALSE)</f>
        <v>1046.9559999999999</v>
      </c>
      <c r="C10" s="15" t="s">
        <v>12</v>
      </c>
      <c r="D10" s="30">
        <v>109965.10799999999</v>
      </c>
      <c r="E10" s="95">
        <v>109965.10799999999</v>
      </c>
      <c r="F10" s="31">
        <f t="shared" si="1"/>
        <v>0</v>
      </c>
    </row>
    <row r="11" spans="1:10">
      <c r="A11" s="27">
        <v>44866</v>
      </c>
      <c r="B11" s="14">
        <f>VLOOKUP(A11,'INCC - M'!$A:$F,2,FALSE)</f>
        <v>1048.4290000000001</v>
      </c>
      <c r="C11" s="15" t="s">
        <v>12</v>
      </c>
      <c r="D11" s="30">
        <v>174816.32500000001</v>
      </c>
      <c r="E11" s="95">
        <v>174816.32500000001</v>
      </c>
      <c r="F11" s="31">
        <f t="shared" si="1"/>
        <v>0</v>
      </c>
    </row>
    <row r="12" spans="1:10">
      <c r="A12" s="27">
        <v>44896</v>
      </c>
      <c r="B12" s="14">
        <f>VLOOKUP(A12,'INCC - M'!$A:$F,2,FALSE)</f>
        <v>1051.249</v>
      </c>
      <c r="C12" s="15">
        <f>B12</f>
        <v>1051.249</v>
      </c>
      <c r="D12" s="28">
        <v>125674.41</v>
      </c>
      <c r="E12" s="95">
        <v>125674.41</v>
      </c>
      <c r="F12" s="18">
        <f t="shared" si="1"/>
        <v>0</v>
      </c>
    </row>
    <row r="13" spans="1:10">
      <c r="A13" s="27">
        <v>44927</v>
      </c>
      <c r="B13" s="14">
        <f>VLOOKUP(A13,'INCC - M'!$A:$F,2,FALSE)</f>
        <v>1054.5609999999999</v>
      </c>
      <c r="C13" s="15">
        <f>B13</f>
        <v>1054.5609999999999</v>
      </c>
      <c r="D13" s="28">
        <v>186094.8</v>
      </c>
      <c r="E13" s="95">
        <f>D13</f>
        <v>186094.8</v>
      </c>
      <c r="F13" s="18">
        <f t="shared" si="1"/>
        <v>0</v>
      </c>
    </row>
    <row r="14" spans="1:10">
      <c r="A14" s="27">
        <v>44958</v>
      </c>
      <c r="B14" s="14">
        <f>VLOOKUP(A14,'INCC - M'!$A:$F,2,FALSE)</f>
        <v>1056.7750000000001</v>
      </c>
      <c r="C14" s="15">
        <f>B14</f>
        <v>1056.7750000000001</v>
      </c>
      <c r="D14" s="28">
        <v>178844.35</v>
      </c>
      <c r="E14" s="95">
        <f>D14</f>
        <v>178844.35</v>
      </c>
      <c r="F14" s="18">
        <f t="shared" si="1"/>
        <v>0</v>
      </c>
    </row>
    <row r="15" spans="1:10">
      <c r="A15" s="27">
        <v>44986</v>
      </c>
      <c r="B15" s="34">
        <f>VLOOKUP(A15,'INCC - M'!$A:$F,2,FALSE)</f>
        <v>1058.6500000000001</v>
      </c>
      <c r="C15" s="35">
        <f>B15</f>
        <v>1058.6500000000001</v>
      </c>
      <c r="D15" s="28">
        <v>165551.87</v>
      </c>
      <c r="E15" s="95">
        <f>D15</f>
        <v>165551.87</v>
      </c>
      <c r="F15" s="18">
        <f t="shared" si="1"/>
        <v>0</v>
      </c>
    </row>
    <row r="16" spans="1:10">
      <c r="A16" s="27">
        <v>45017</v>
      </c>
      <c r="B16" s="14">
        <f>VLOOKUP(A16,'INCC - M'!$A:$F,2,FALSE)</f>
        <v>1061.0709999999999</v>
      </c>
      <c r="C16" s="35">
        <f>B15</f>
        <v>1058.6500000000001</v>
      </c>
      <c r="D16" s="28">
        <v>193345.2440448</v>
      </c>
      <c r="E16" s="97">
        <v>197398.3631409852</v>
      </c>
      <c r="F16" s="18">
        <f t="shared" si="1"/>
        <v>4053.1190961851971</v>
      </c>
    </row>
    <row r="17" spans="1:17">
      <c r="A17" s="27">
        <v>45047</v>
      </c>
      <c r="B17" s="14">
        <f>VLOOKUP(A17,'INCC - M'!$A:$F,2,FALSE)</f>
        <v>1065.289</v>
      </c>
      <c r="C17" s="35">
        <f t="shared" ref="C17:C34" si="2">B16</f>
        <v>1061.0709999999999</v>
      </c>
      <c r="D17" s="28">
        <v>225569.45138560008</v>
      </c>
      <c r="E17" s="97">
        <f>D17*C17/$C$12</f>
        <v>227676.98552024309</v>
      </c>
      <c r="F17" s="18">
        <f t="shared" si="1"/>
        <v>2107.5341346430068</v>
      </c>
    </row>
    <row r="18" spans="1:17">
      <c r="A18" s="27">
        <v>45078</v>
      </c>
      <c r="B18" s="14">
        <f>VLOOKUP(A18,'INCC - M'!$A:$F,2,FALSE)</f>
        <v>1074.2919999999999</v>
      </c>
      <c r="C18" s="35">
        <f t="shared" si="2"/>
        <v>1065.289</v>
      </c>
      <c r="D18" s="28">
        <v>239264.73950544011</v>
      </c>
      <c r="E18" s="97">
        <f t="shared" ref="E18:E28" si="3">D18*C18/$C$12</f>
        <v>242460.24974388635</v>
      </c>
      <c r="F18" s="18">
        <f t="shared" si="1"/>
        <v>3195.5102384462371</v>
      </c>
    </row>
    <row r="19" spans="1:17">
      <c r="A19" s="27">
        <v>45108</v>
      </c>
      <c r="B19" s="14">
        <f>VLOOKUP(A19,'INCC - M'!$A:$F,2,FALSE)</f>
        <v>1074.895</v>
      </c>
      <c r="C19" s="15">
        <f>B18</f>
        <v>1074.2919999999999</v>
      </c>
      <c r="D19" s="28">
        <v>259404.86909344009</v>
      </c>
      <c r="E19" s="97">
        <f t="shared" si="3"/>
        <v>265090.93052942725</v>
      </c>
      <c r="F19" s="18">
        <f t="shared" si="1"/>
        <v>5686.0614359871543</v>
      </c>
    </row>
    <row r="20" spans="1:17">
      <c r="A20" s="27">
        <v>45139</v>
      </c>
      <c r="B20" s="14">
        <f>VLOOKUP(A20,'INCC - M'!$A:$F,2,FALSE)</f>
        <v>1077.4970000000001</v>
      </c>
      <c r="C20" s="15">
        <f t="shared" si="2"/>
        <v>1074.895</v>
      </c>
      <c r="D20" s="30">
        <v>248529.19911592008</v>
      </c>
      <c r="E20" s="97">
        <f t="shared" si="3"/>
        <v>254119.42697087646</v>
      </c>
      <c r="F20" s="18">
        <f t="shared" si="1"/>
        <v>5590.227854956378</v>
      </c>
    </row>
    <row r="21" spans="1:17">
      <c r="A21" s="27">
        <v>45170</v>
      </c>
      <c r="B21" s="14">
        <f>VLOOKUP(A21,'INCC - M'!$A:$F,2,FALSE)</f>
        <v>1080.0709999999999</v>
      </c>
      <c r="C21" s="15">
        <f>B20</f>
        <v>1077.4970000000001</v>
      </c>
      <c r="D21" s="30">
        <v>244903.97579008</v>
      </c>
      <c r="E21" s="97">
        <f t="shared" si="3"/>
        <v>251018.83493052915</v>
      </c>
      <c r="F21" s="18">
        <f t="shared" si="1"/>
        <v>6114.8591404491453</v>
      </c>
    </row>
    <row r="22" spans="1:17">
      <c r="A22" s="27">
        <v>45200</v>
      </c>
      <c r="B22" s="34">
        <f>VLOOKUP(A22,'INCC - M'!$A:$F,2,FALSE)</f>
        <v>1082.251</v>
      </c>
      <c r="C22" s="14">
        <f t="shared" si="2"/>
        <v>1080.0709999999999</v>
      </c>
      <c r="D22" s="30">
        <v>221944.22805976009</v>
      </c>
      <c r="E22" s="94">
        <f t="shared" si="3"/>
        <v>228029.2531500464</v>
      </c>
      <c r="F22" s="31">
        <f t="shared" si="1"/>
        <v>6085.0250902863045</v>
      </c>
    </row>
    <row r="23" spans="1:17">
      <c r="A23" s="27">
        <v>45231</v>
      </c>
      <c r="B23" s="14">
        <f>VLOOKUP(A23,'INCC - M'!$A:$F,2,FALSE)</f>
        <v>1083.335</v>
      </c>
      <c r="C23" s="34">
        <f t="shared" si="2"/>
        <v>1082.251</v>
      </c>
      <c r="D23" s="30">
        <v>201804.09847176008</v>
      </c>
      <c r="E23" s="94">
        <f t="shared" si="3"/>
        <v>207755.42937511552</v>
      </c>
      <c r="F23" s="31">
        <f t="shared" si="1"/>
        <v>5951.3309033554397</v>
      </c>
    </row>
    <row r="24" spans="1:17">
      <c r="A24" s="27">
        <v>45261</v>
      </c>
      <c r="B24" s="14">
        <f>VLOOKUP(A24,'INCC - M'!$A:$F,2,FALSE)</f>
        <v>1086.1500000000001</v>
      </c>
      <c r="C24" s="14">
        <f t="shared" si="2"/>
        <v>1083.335</v>
      </c>
      <c r="D24" s="30">
        <v>186900.40257664007</v>
      </c>
      <c r="E24" s="94">
        <f t="shared" si="3"/>
        <v>192604.93719886002</v>
      </c>
      <c r="F24" s="31">
        <f t="shared" si="1"/>
        <v>5704.5346222199441</v>
      </c>
    </row>
    <row r="25" spans="1:17">
      <c r="A25" s="27">
        <v>45292</v>
      </c>
      <c r="B25" s="14">
        <f>VLOOKUP(A25,'INCC - M'!$A:$F,2,FALSE)</f>
        <v>1088.663</v>
      </c>
      <c r="C25" s="34">
        <f t="shared" si="2"/>
        <v>1086.1500000000001</v>
      </c>
      <c r="D25" s="30">
        <v>188108.81035192008</v>
      </c>
      <c r="E25" s="94">
        <f t="shared" si="3"/>
        <v>194353.93932716036</v>
      </c>
      <c r="F25" s="31">
        <f t="shared" si="1"/>
        <v>6245.1289752402809</v>
      </c>
    </row>
    <row r="26" spans="1:17">
      <c r="A26" s="27">
        <v>45323</v>
      </c>
      <c r="B26" s="14">
        <f>VLOOKUP(A26,'INCC - M'!$A:$F,2,FALSE)</f>
        <v>1090.8710000000001</v>
      </c>
      <c r="C26" s="14">
        <f>B25</f>
        <v>1088.663</v>
      </c>
      <c r="D26" s="30">
        <v>140175.30193248001</v>
      </c>
      <c r="E26" s="94">
        <f>D26*C26/$C$12</f>
        <v>145164.14734065809</v>
      </c>
      <c r="F26" s="31">
        <f>E26-D26</f>
        <v>4988.8454081780801</v>
      </c>
    </row>
    <row r="27" spans="1:17">
      <c r="A27" s="71">
        <v>45352</v>
      </c>
      <c r="B27" s="15">
        <f>VLOOKUP(A27,'INCC - M'!$A:$F,2,FALSE)</f>
        <v>1093.5029999999999</v>
      </c>
      <c r="C27" s="15">
        <f>B26</f>
        <v>1090.8710000000001</v>
      </c>
      <c r="D27" s="72">
        <v>126480.01381264004</v>
      </c>
      <c r="E27" s="95">
        <f>D27*C27/$C$12</f>
        <v>131247.09668956493</v>
      </c>
      <c r="F27" s="29">
        <f t="shared" si="1"/>
        <v>4767.082876924891</v>
      </c>
      <c r="H27" s="68"/>
      <c r="L27" s="88"/>
      <c r="M27" s="88"/>
      <c r="N27" s="88"/>
      <c r="O27" s="88"/>
      <c r="P27" s="88"/>
      <c r="Q27" s="88"/>
    </row>
    <row r="28" spans="1:17">
      <c r="A28" s="27">
        <v>45383</v>
      </c>
      <c r="B28" s="14">
        <f>VLOOKUP(A28,'INCC - M'!$A:$F,2,FALSE)</f>
        <v>1097.991</v>
      </c>
      <c r="C28" s="14">
        <f t="shared" si="2"/>
        <v>1093.5029999999999</v>
      </c>
      <c r="D28" s="30">
        <v>136550.07860664005</v>
      </c>
      <c r="E28" s="94">
        <f t="shared" si="3"/>
        <v>142038.58515593995</v>
      </c>
      <c r="F28" s="31">
        <f t="shared" si="1"/>
        <v>5488.5065492998983</v>
      </c>
      <c r="L28" s="68"/>
      <c r="M28" s="68"/>
      <c r="N28" s="68"/>
      <c r="O28" s="68"/>
      <c r="P28" s="68"/>
      <c r="Q28" s="68"/>
    </row>
    <row r="29" spans="1:17">
      <c r="A29" s="71">
        <v>45413</v>
      </c>
      <c r="B29" s="15">
        <f>VLOOKUP(A29,'INCC - M'!$A:$F,2,FALSE)</f>
        <v>1104.4570000000001</v>
      </c>
      <c r="C29" s="15">
        <f>B28</f>
        <v>1097.991</v>
      </c>
      <c r="D29" s="72">
        <v>48739.113704302843</v>
      </c>
      <c r="E29" s="95">
        <f>D29*C29/$C$12</f>
        <v>50906.215554355993</v>
      </c>
      <c r="F29" s="29">
        <f t="shared" si="1"/>
        <v>2167.10185005315</v>
      </c>
    </row>
    <row r="30" spans="1:17">
      <c r="A30" s="27">
        <v>45444</v>
      </c>
      <c r="B30" s="14">
        <f>VLOOKUP(A30,'INCC - M'!$A:$F,2,FALSE)</f>
        <v>1114.748</v>
      </c>
      <c r="C30" s="14">
        <f t="shared" si="2"/>
        <v>1104.4570000000001</v>
      </c>
      <c r="D30" s="30">
        <v>45113.89037092495</v>
      </c>
      <c r="E30" s="94">
        <f>D30*C30/$C$12</f>
        <v>47397.288384959851</v>
      </c>
      <c r="F30" s="31">
        <f t="shared" si="1"/>
        <v>2283.3980140349013</v>
      </c>
      <c r="L30" s="87"/>
    </row>
    <row r="31" spans="1:17">
      <c r="A31" s="27">
        <v>45474</v>
      </c>
      <c r="B31" s="14">
        <f>VLOOKUP(A31,'INCC - M'!$A:$F,2,FALSE)</f>
        <v>1122.452</v>
      </c>
      <c r="C31" s="14">
        <f t="shared" si="2"/>
        <v>1114.748</v>
      </c>
      <c r="D31" s="30">
        <v>44308.285185729852</v>
      </c>
      <c r="E31" s="94">
        <f>D31*C31/$C$12</f>
        <v>46984.655675507878</v>
      </c>
      <c r="F31" s="31">
        <f t="shared" si="1"/>
        <v>2676.3704897780262</v>
      </c>
      <c r="H31" s="68"/>
      <c r="J31" s="36"/>
      <c r="L31" s="87"/>
    </row>
    <row r="32" spans="1:17">
      <c r="A32" s="27">
        <v>45505</v>
      </c>
      <c r="B32" s="14">
        <f>VLOOKUP(A32,'INCC - M'!$A:$F,2,FALSE)</f>
        <v>1129.6389999999999</v>
      </c>
      <c r="C32" s="14">
        <f t="shared" si="2"/>
        <v>1122.452</v>
      </c>
      <c r="D32" s="30">
        <v>40634.725541240259</v>
      </c>
      <c r="E32" s="94">
        <f>D32*C32/$C$12</f>
        <v>43386.9891464498</v>
      </c>
      <c r="F32" s="31">
        <f t="shared" ref="F32:F34" si="4">E32-D32</f>
        <v>2752.2636052095404</v>
      </c>
    </row>
    <row r="33" spans="1:6">
      <c r="A33" s="27">
        <v>45536</v>
      </c>
      <c r="B33" s="14">
        <f>VLOOKUP(A33,'INCC - M'!$A:$F,2,FALSE)</f>
        <v>1136.521</v>
      </c>
      <c r="C33" s="14">
        <f>B32</f>
        <v>1129.6389999999999</v>
      </c>
      <c r="D33" s="30">
        <v>15322.610622410581</v>
      </c>
      <c r="E33" s="94">
        <f>D33*C33/$C$12</f>
        <v>16465.193822671186</v>
      </c>
      <c r="F33" s="31">
        <f t="shared" si="4"/>
        <v>1142.5832002606057</v>
      </c>
    </row>
    <row r="34" spans="1:6">
      <c r="A34" s="122">
        <v>45566</v>
      </c>
      <c r="B34" s="123">
        <f>VLOOKUP(A34,'INCC - M'!$A:$F,2,FALSE)</f>
        <v>1144.136</v>
      </c>
      <c r="C34" s="123">
        <f t="shared" si="2"/>
        <v>1136.521</v>
      </c>
      <c r="D34" s="124">
        <v>201.40129629877208</v>
      </c>
      <c r="E34" s="125">
        <f t="shared" ref="E34" si="5">D34*C34/$C$12</f>
        <v>217.73795044825414</v>
      </c>
      <c r="F34" s="126">
        <f t="shared" si="4"/>
        <v>16.336654149482058</v>
      </c>
    </row>
    <row r="35" spans="1:6">
      <c r="E35" s="69"/>
      <c r="F35" s="93" t="s">
        <v>98</v>
      </c>
    </row>
  </sheetData>
  <mergeCells count="2">
    <mergeCell ref="A1:F1"/>
    <mergeCell ref="H1:J4"/>
  </mergeCell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E51A-92A8-4E9D-9B58-EFA3C669890A}">
  <sheetPr>
    <tabColor theme="8" tint="0.39997558519241921"/>
  </sheetPr>
  <dimension ref="A1:K20"/>
  <sheetViews>
    <sheetView workbookViewId="0">
      <selection activeCell="K7" sqref="K7"/>
    </sheetView>
  </sheetViews>
  <sheetFormatPr defaultRowHeight="14.4"/>
  <cols>
    <col min="1" max="1" width="9.5546875" bestFit="1" customWidth="1"/>
    <col min="2" max="2" width="12.33203125" bestFit="1" customWidth="1"/>
    <col min="3" max="3" width="14.44140625" bestFit="1" customWidth="1"/>
    <col min="4" max="4" width="18.6640625" bestFit="1" customWidth="1"/>
    <col min="5" max="5" width="20" customWidth="1"/>
    <col min="6" max="6" width="16.33203125" bestFit="1" customWidth="1"/>
    <col min="7" max="7" width="18.5546875" bestFit="1" customWidth="1"/>
    <col min="8" max="9" width="15.88671875" bestFit="1" customWidth="1"/>
    <col min="10" max="10" width="17" bestFit="1" customWidth="1"/>
  </cols>
  <sheetData>
    <row r="1" spans="1:11">
      <c r="A1" s="216" t="s">
        <v>164</v>
      </c>
      <c r="B1" s="216"/>
      <c r="C1" s="216"/>
      <c r="D1" s="216"/>
      <c r="G1" s="69"/>
      <c r="H1" s="69"/>
    </row>
    <row r="2" spans="1:11">
      <c r="A2" s="19" t="s">
        <v>1</v>
      </c>
      <c r="B2" s="19" t="s">
        <v>0</v>
      </c>
      <c r="C2" s="19" t="s">
        <v>23</v>
      </c>
      <c r="D2" s="19" t="s">
        <v>3</v>
      </c>
      <c r="G2" s="19" t="s">
        <v>127</v>
      </c>
      <c r="I2" s="19" t="s">
        <v>72</v>
      </c>
    </row>
    <row r="3" spans="1:11">
      <c r="A3" s="20">
        <v>44986</v>
      </c>
      <c r="B3" s="140">
        <v>1065.289</v>
      </c>
      <c r="C3" s="37">
        <v>69146.988256236858</v>
      </c>
      <c r="D3" s="22">
        <f>SUM(D5:D15)</f>
        <v>78561.512883486066</v>
      </c>
      <c r="E3" s="68"/>
      <c r="G3" s="22">
        <f>SUM(G5:G15)</f>
        <v>78267.974467669541</v>
      </c>
      <c r="I3" s="159">
        <f>SUM(I5:I15)</f>
        <v>78561.512883486066</v>
      </c>
      <c r="J3" s="69">
        <f>D3-I3</f>
        <v>0</v>
      </c>
    </row>
    <row r="4" spans="1:11">
      <c r="A4" s="19" t="s">
        <v>5</v>
      </c>
      <c r="B4" s="19" t="s">
        <v>132</v>
      </c>
      <c r="C4" s="19" t="s">
        <v>24</v>
      </c>
      <c r="D4" s="19" t="s">
        <v>3</v>
      </c>
      <c r="E4" s="154"/>
      <c r="F4" s="19" t="s">
        <v>125</v>
      </c>
      <c r="G4" s="19" t="s">
        <v>124</v>
      </c>
      <c r="I4" s="19" t="s">
        <v>72</v>
      </c>
    </row>
    <row r="5" spans="1:11">
      <c r="A5" s="16">
        <v>45809</v>
      </c>
      <c r="B5" s="34">
        <f>VLOOKUP(A5,'INCC - M'!$E:$F,2,FALSE)</f>
        <v>1183.606</v>
      </c>
      <c r="C5" s="155">
        <v>0.19240751997503402</v>
      </c>
      <c r="D5" s="30">
        <f>(C5*$C$3)*B5/$B$3</f>
        <v>14782.062226079395</v>
      </c>
      <c r="E5" s="154"/>
      <c r="F5" s="36">
        <v>0.19240751997503402</v>
      </c>
      <c r="G5" s="69">
        <f>F5*($C$3/$B$3*B5)</f>
        <v>14782.062226079395</v>
      </c>
      <c r="H5" s="75"/>
      <c r="I5" s="150">
        <v>14782.062226079395</v>
      </c>
    </row>
    <row r="6" spans="1:11">
      <c r="A6" s="16">
        <f>EDATE(A5,1)</f>
        <v>45839</v>
      </c>
      <c r="B6" s="34">
        <f>VLOOKUP(A6,'INCC - M'!$E:$F,2,FALSE)</f>
        <v>1194.912</v>
      </c>
      <c r="C6" s="155">
        <v>5.0599827530223865E-2</v>
      </c>
      <c r="D6" s="30">
        <f t="shared" ref="D6:D15" si="0">(C6*$C$3)*B6/$B$3</f>
        <v>3924.5583038407044</v>
      </c>
      <c r="F6" s="36">
        <v>5.0599827530223865E-2</v>
      </c>
      <c r="G6" s="69">
        <f t="shared" ref="G6:G15" si="1">F6*($C$3/$B$3*B6)</f>
        <v>3924.5583038407044</v>
      </c>
      <c r="H6" s="75"/>
      <c r="I6" s="150">
        <v>18706.62</v>
      </c>
      <c r="J6" s="135"/>
      <c r="K6" s="136"/>
    </row>
    <row r="7" spans="1:11">
      <c r="A7" s="16">
        <f t="shared" ref="A7:A15" si="2">EDATE(A6,1)</f>
        <v>45870</v>
      </c>
      <c r="B7" s="34">
        <f>VLOOKUP(A7,'INCC - M'!$E:$F,2,FALSE)</f>
        <v>1205.838</v>
      </c>
      <c r="C7" s="155">
        <v>8.7929500562789836E-2</v>
      </c>
      <c r="D7" s="30">
        <f t="shared" si="0"/>
        <v>6882.2334244172425</v>
      </c>
      <c r="F7" s="36">
        <v>0.23602547482617908</v>
      </c>
      <c r="G7" s="69">
        <f t="shared" si="1"/>
        <v>18473.690871276136</v>
      </c>
      <c r="H7" s="75"/>
      <c r="I7" s="150">
        <v>0</v>
      </c>
      <c r="J7" s="160"/>
    </row>
    <row r="8" spans="1:11">
      <c r="A8" s="16">
        <f t="shared" si="2"/>
        <v>45901</v>
      </c>
      <c r="B8" s="34">
        <f>VLOOKUP(A8,'INCC - M'!$E:$F,2,FALSE)</f>
        <v>1214.239</v>
      </c>
      <c r="C8" s="155">
        <v>9.9331674006502862E-2</v>
      </c>
      <c r="D8" s="30">
        <f t="shared" si="0"/>
        <v>7828.8461522844473</v>
      </c>
      <c r="F8" s="36">
        <v>0.35696451052530398</v>
      </c>
      <c r="G8" s="69">
        <f t="shared" si="1"/>
        <v>28134.230724282104</v>
      </c>
      <c r="H8" s="75"/>
      <c r="I8" s="150">
        <v>0</v>
      </c>
      <c r="J8" s="76"/>
    </row>
    <row r="9" spans="1:11">
      <c r="A9" s="16">
        <f t="shared" si="2"/>
        <v>45931</v>
      </c>
      <c r="B9" s="34">
        <f>VLOOKUP(A9,'INCC - M'!$E:$F,2,FALSE)</f>
        <v>1216.825</v>
      </c>
      <c r="C9" s="155">
        <v>0.26634203321625249</v>
      </c>
      <c r="D9" s="30">
        <f t="shared" si="0"/>
        <v>21036.508535161185</v>
      </c>
      <c r="F9" s="36">
        <v>0.16400266714325903</v>
      </c>
      <c r="G9" s="69">
        <f t="shared" si="1"/>
        <v>12953.432342191199</v>
      </c>
      <c r="H9" s="75"/>
      <c r="I9" s="150">
        <v>20965.526415703578</v>
      </c>
    </row>
    <row r="10" spans="1:11" ht="16.2">
      <c r="A10" s="16">
        <f t="shared" si="2"/>
        <v>45962</v>
      </c>
      <c r="B10" s="34">
        <f>VLOOKUP(A10,'INCC - M'!$E:$F,2,FALSE)</f>
        <v>1219.4069999999999</v>
      </c>
      <c r="C10" s="155">
        <v>7.7445684709196883E-2</v>
      </c>
      <c r="D10" s="30">
        <f t="shared" si="0"/>
        <v>6129.8766276208999</v>
      </c>
      <c r="E10" s="180"/>
      <c r="F10" s="36"/>
      <c r="G10" s="69">
        <f t="shared" si="1"/>
        <v>0</v>
      </c>
      <c r="H10" s="75"/>
      <c r="I10" s="150">
        <v>6129.8766276208989</v>
      </c>
    </row>
    <row r="11" spans="1:11">
      <c r="A11" s="16">
        <f t="shared" si="2"/>
        <v>45992</v>
      </c>
      <c r="B11" s="34">
        <f>VLOOKUP(A11,'INCC - M'!$E:$F,2,FALSE)</f>
        <v>1222.865</v>
      </c>
      <c r="C11" s="155">
        <v>0.12271396000000001</v>
      </c>
      <c r="D11" s="30">
        <f t="shared" si="0"/>
        <v>9740.4341008563097</v>
      </c>
      <c r="E11" s="87"/>
      <c r="F11" s="36"/>
      <c r="G11" s="69">
        <f t="shared" si="1"/>
        <v>0</v>
      </c>
      <c r="H11" s="75"/>
      <c r="I11" s="150">
        <v>9740.4341008563133</v>
      </c>
    </row>
    <row r="12" spans="1:11">
      <c r="A12" s="16">
        <f t="shared" si="2"/>
        <v>46023</v>
      </c>
      <c r="B12" s="34">
        <f>VLOOKUP(A12,'INCC - M'!$E:$F,2,FALSE)</f>
        <v>1225.3979999999999</v>
      </c>
      <c r="C12" s="155">
        <v>7.8554050000000042E-2</v>
      </c>
      <c r="D12" s="30">
        <f t="shared" si="0"/>
        <v>6248.1518288030265</v>
      </c>
      <c r="F12" s="36"/>
      <c r="G12" s="69">
        <f t="shared" si="1"/>
        <v>0</v>
      </c>
      <c r="H12" s="75"/>
      <c r="I12" s="150">
        <v>6248.1518288030202</v>
      </c>
    </row>
    <row r="13" spans="1:11">
      <c r="A13" s="16">
        <f t="shared" si="2"/>
        <v>46054</v>
      </c>
      <c r="B13" s="34">
        <f>VLOOKUP(A13,'INCC - M'!$E:$F,2,FALSE)</f>
        <v>1233.096</v>
      </c>
      <c r="C13" s="155">
        <v>0</v>
      </c>
      <c r="D13" s="30">
        <f t="shared" si="0"/>
        <v>0</v>
      </c>
      <c r="F13" s="36"/>
      <c r="G13" s="69">
        <f t="shared" si="1"/>
        <v>0</v>
      </c>
      <c r="H13" s="75"/>
      <c r="I13" s="150">
        <v>0</v>
      </c>
    </row>
    <row r="14" spans="1:11">
      <c r="A14" s="16">
        <f t="shared" si="2"/>
        <v>46082</v>
      </c>
      <c r="B14" s="34">
        <f>VLOOKUP(A14,'INCC - M'!$E:$F,2,FALSE)</f>
        <v>1237.3119999999999</v>
      </c>
      <c r="C14" s="155">
        <v>0</v>
      </c>
      <c r="D14" s="30">
        <f t="shared" si="0"/>
        <v>0</v>
      </c>
      <c r="F14" s="36"/>
      <c r="G14" s="69">
        <f t="shared" si="1"/>
        <v>0</v>
      </c>
      <c r="H14" s="75"/>
      <c r="I14" s="150">
        <v>0</v>
      </c>
    </row>
    <row r="15" spans="1:11">
      <c r="A15" s="23">
        <f t="shared" si="2"/>
        <v>46113</v>
      </c>
      <c r="B15" s="174">
        <f>VLOOKUP(A15,'INCC - M'!$E:$F,2,FALSE)</f>
        <v>1241.721</v>
      </c>
      <c r="C15" s="161">
        <v>2.4675749999999996E-2</v>
      </c>
      <c r="D15" s="33">
        <f t="shared" si="0"/>
        <v>1988.8416844228661</v>
      </c>
      <c r="F15" s="36"/>
      <c r="G15" s="69">
        <f t="shared" si="1"/>
        <v>0</v>
      </c>
      <c r="H15" s="75"/>
      <c r="I15" s="150">
        <v>1988.8416844228632</v>
      </c>
    </row>
    <row r="16" spans="1:11">
      <c r="C16" s="87"/>
    </row>
    <row r="17" spans="3:3">
      <c r="C17" s="197"/>
    </row>
    <row r="18" spans="3:3">
      <c r="C18" s="87"/>
    </row>
    <row r="19" spans="3:3">
      <c r="C19" s="201"/>
    </row>
    <row r="20" spans="3:3">
      <c r="C20" s="87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90E3-98BD-4DCF-8E3F-88F8DC712528}">
  <sheetPr>
    <tabColor theme="8" tint="0.39997558519241921"/>
  </sheetPr>
  <dimension ref="A1:R37"/>
  <sheetViews>
    <sheetView workbookViewId="0">
      <selection activeCell="G12" sqref="F12:G13"/>
    </sheetView>
  </sheetViews>
  <sheetFormatPr defaultRowHeight="14.4"/>
  <cols>
    <col min="1" max="1" width="9.5546875" bestFit="1" customWidth="1"/>
    <col min="2" max="2" width="12.33203125" bestFit="1" customWidth="1"/>
    <col min="3" max="3" width="17" customWidth="1"/>
    <col min="4" max="6" width="18.6640625" customWidth="1"/>
    <col min="7" max="7" width="20.33203125" bestFit="1" customWidth="1"/>
    <col min="8" max="8" width="16.33203125" bestFit="1" customWidth="1"/>
    <col min="9" max="9" width="18.5546875" bestFit="1" customWidth="1"/>
    <col min="10" max="10" width="15.88671875" bestFit="1" customWidth="1"/>
    <col min="11" max="11" width="20.44140625" bestFit="1" customWidth="1"/>
    <col min="12" max="12" width="21.33203125" bestFit="1" customWidth="1"/>
    <col min="13" max="13" width="21.33203125" customWidth="1"/>
    <col min="14" max="14" width="14.33203125" bestFit="1" customWidth="1"/>
    <col min="15" max="16" width="14.33203125" customWidth="1"/>
    <col min="17" max="17" width="17.77734375" bestFit="1" customWidth="1"/>
    <col min="18" max="18" width="16.77734375" bestFit="1" customWidth="1"/>
  </cols>
  <sheetData>
    <row r="1" spans="1:18" ht="16.8" thickBot="1">
      <c r="A1" s="216" t="s">
        <v>203</v>
      </c>
      <c r="B1" s="216"/>
      <c r="C1" s="216"/>
      <c r="D1" s="216"/>
      <c r="E1" s="213"/>
      <c r="F1" s="213"/>
      <c r="H1" t="s">
        <v>152</v>
      </c>
      <c r="I1" s="69">
        <f>I3-D3</f>
        <v>4425155.0936166085</v>
      </c>
      <c r="J1" s="69">
        <f>I3-K3</f>
        <v>4424539.5835203361</v>
      </c>
      <c r="Q1" s="210"/>
      <c r="R1" s="211" t="s">
        <v>55</v>
      </c>
    </row>
    <row r="2" spans="1:18" ht="15" thickBot="1">
      <c r="A2" s="19" t="s">
        <v>1</v>
      </c>
      <c r="B2" s="19" t="s">
        <v>0</v>
      </c>
      <c r="C2" s="19" t="s">
        <v>136</v>
      </c>
      <c r="D2" s="19" t="s">
        <v>3</v>
      </c>
      <c r="E2" s="19" t="s">
        <v>210</v>
      </c>
      <c r="F2" s="19" t="s">
        <v>211</v>
      </c>
      <c r="I2" s="19" t="s">
        <v>127</v>
      </c>
      <c r="K2" s="19" t="s">
        <v>72</v>
      </c>
      <c r="L2" s="19" t="s">
        <v>208</v>
      </c>
      <c r="M2" s="19" t="s">
        <v>209</v>
      </c>
      <c r="Q2" s="212" t="s">
        <v>23</v>
      </c>
      <c r="R2" s="208">
        <v>4369316.97</v>
      </c>
    </row>
    <row r="3" spans="1:18" ht="15" thickBot="1">
      <c r="A3" s="20">
        <v>45931</v>
      </c>
      <c r="B3" s="21">
        <f>VLOOKUP(A3,'INCC - M'!$E:$F,2,FALSE)</f>
        <v>1216.825</v>
      </c>
      <c r="C3" s="37">
        <v>4369316.97</v>
      </c>
      <c r="D3" s="22">
        <f>SUM(D5:D34)</f>
        <v>114617.68761171566</v>
      </c>
      <c r="E3" s="22">
        <f>SUM(E5:E34)</f>
        <v>56247.086076736123</v>
      </c>
      <c r="F3" s="22">
        <f>SUM(F5:F34)</f>
        <v>58370.601534979542</v>
      </c>
      <c r="G3" s="68"/>
      <c r="I3" s="22">
        <f>SUM(I5:I34)</f>
        <v>4539772.7812283244</v>
      </c>
      <c r="K3" s="142">
        <f>SUM(K5:K34)</f>
        <v>115233.19770798818</v>
      </c>
      <c r="L3" s="142">
        <f>SUM(L5:L34)</f>
        <v>56247.41</v>
      </c>
      <c r="M3" s="142">
        <f>SUM(M5:M34)</f>
        <v>58985.799999999996</v>
      </c>
      <c r="N3" s="69">
        <f>D3-K3</f>
        <v>-615.51009627251187</v>
      </c>
      <c r="O3" s="69">
        <f>E3-L3</f>
        <v>-0.32392326388071524</v>
      </c>
      <c r="P3" s="69">
        <f>F3-M3</f>
        <v>-615.19846502045402</v>
      </c>
      <c r="Q3" s="212" t="s">
        <v>207</v>
      </c>
      <c r="R3" s="208">
        <v>2144183.44</v>
      </c>
    </row>
    <row r="4" spans="1:18" ht="15" thickBot="1">
      <c r="A4" s="19" t="s">
        <v>5</v>
      </c>
      <c r="B4" s="19" t="s">
        <v>128</v>
      </c>
      <c r="C4" s="19" t="s">
        <v>24</v>
      </c>
      <c r="D4" s="19" t="s">
        <v>3</v>
      </c>
      <c r="E4" s="19" t="s">
        <v>210</v>
      </c>
      <c r="F4" s="19" t="s">
        <v>211</v>
      </c>
      <c r="H4" s="19" t="s">
        <v>125</v>
      </c>
      <c r="I4" s="19" t="s">
        <v>124</v>
      </c>
      <c r="K4" s="19" t="s">
        <v>72</v>
      </c>
      <c r="L4" s="19" t="s">
        <v>208</v>
      </c>
      <c r="M4" s="19" t="s">
        <v>209</v>
      </c>
      <c r="Q4" s="212" t="s">
        <v>68</v>
      </c>
      <c r="R4" s="209">
        <f>R3/R2</f>
        <v>0.49073652809400092</v>
      </c>
    </row>
    <row r="5" spans="1:18">
      <c r="A5" s="16">
        <v>46143</v>
      </c>
      <c r="B5" s="14">
        <f>VLOOKUP(A5,'INCC - M'!$E:$F,2,FALSE)</f>
        <v>1254.655</v>
      </c>
      <c r="C5" s="42">
        <v>6.9999999999999993E-3</v>
      </c>
      <c r="D5" s="139">
        <f>(C5*$C$3)*B5/$B$3</f>
        <v>31536.085863593729</v>
      </c>
      <c r="E5" s="139">
        <f>D5*$R$4</f>
        <v>15475.90928637429</v>
      </c>
      <c r="F5" s="139">
        <f>D5-E5</f>
        <v>16060.176577219439</v>
      </c>
      <c r="G5" s="110"/>
      <c r="H5" s="36">
        <v>5.8999999999999999E-3</v>
      </c>
      <c r="I5" s="69">
        <f>H5*($C$3/$B$3*B5)</f>
        <v>26580.415227886144</v>
      </c>
      <c r="J5" s="75"/>
      <c r="K5" s="150">
        <v>31705.257707988181</v>
      </c>
      <c r="L5" s="150">
        <v>15475.91</v>
      </c>
      <c r="M5" s="150">
        <v>16229.35</v>
      </c>
    </row>
    <row r="6" spans="1:18">
      <c r="A6" s="16">
        <f>EDATE(A5,1)</f>
        <v>46174</v>
      </c>
      <c r="B6" s="14">
        <f>VLOOKUP(A6,'INCC - M'!$E:$F,2,FALSE)</f>
        <v>1264.3530000000001</v>
      </c>
      <c r="C6" s="42">
        <v>1.8299999999999997E-2</v>
      </c>
      <c r="D6" s="139">
        <f t="shared" ref="D6:D34" si="0">(C6*$C$3)*B6/$B$3</f>
        <v>83081.601748121931</v>
      </c>
      <c r="E6" s="139">
        <f t="shared" ref="E6:E34" si="1">D6*$R$4</f>
        <v>40771.176790361831</v>
      </c>
      <c r="F6" s="139">
        <f t="shared" ref="F6:F34" si="2">D6-E6</f>
        <v>42310.4249577601</v>
      </c>
      <c r="G6" s="110"/>
      <c r="H6" s="36">
        <v>1.89E-2</v>
      </c>
      <c r="I6" s="69">
        <f t="shared" ref="I6:I34" si="3">H6*($C$3/$B$3*B6)</f>
        <v>85805.588690683333</v>
      </c>
      <c r="J6" s="75"/>
      <c r="K6" s="150">
        <v>83527.94</v>
      </c>
      <c r="L6" s="150">
        <v>40771.5</v>
      </c>
      <c r="M6" s="150">
        <v>42756.45</v>
      </c>
      <c r="Q6" s="136"/>
    </row>
    <row r="7" spans="1:18">
      <c r="A7" s="16">
        <f t="shared" ref="A7:A34" si="4">EDATE(A6,1)</f>
        <v>46204</v>
      </c>
      <c r="B7" s="14">
        <f>VLOOKUP(A7,'INCC - M'!$E:$F,2,FALSE)</f>
        <v>1264.3530000000001</v>
      </c>
      <c r="C7" s="42"/>
      <c r="D7" s="139">
        <f t="shared" si="0"/>
        <v>0</v>
      </c>
      <c r="E7" s="139">
        <f t="shared" si="1"/>
        <v>0</v>
      </c>
      <c r="F7" s="139">
        <f t="shared" si="2"/>
        <v>0</v>
      </c>
      <c r="G7" s="110"/>
      <c r="H7" s="36">
        <v>1.9099999999999995E-2</v>
      </c>
      <c r="I7" s="69">
        <f t="shared" si="3"/>
        <v>86713.584338203771</v>
      </c>
      <c r="J7" s="75">
        <f>(H7*$I$1/(SUM($H$7:$H$34)))</f>
        <v>86669.875192860127</v>
      </c>
    </row>
    <row r="8" spans="1:18">
      <c r="A8" s="16">
        <f t="shared" si="4"/>
        <v>46235</v>
      </c>
      <c r="B8" s="14">
        <f>VLOOKUP(A8,'INCC - M'!$E:$F,2,FALSE)</f>
        <v>1264.3530000000001</v>
      </c>
      <c r="C8" s="42"/>
      <c r="D8" s="139">
        <f>(C8*$C$3)*B8/$B$3</f>
        <v>0</v>
      </c>
      <c r="E8" s="139">
        <f t="shared" si="1"/>
        <v>0</v>
      </c>
      <c r="F8" s="139">
        <f t="shared" si="2"/>
        <v>0</v>
      </c>
      <c r="G8" s="13"/>
      <c r="H8" s="36">
        <v>1.7800000000000003E-2</v>
      </c>
      <c r="I8" s="69">
        <f t="shared" si="3"/>
        <v>80811.612629320822</v>
      </c>
      <c r="J8" s="75">
        <f t="shared" ref="J8:J34" si="5">(H8*$I$1/(SUM($H$6:$H$35)))</f>
        <v>79235.248633312178</v>
      </c>
    </row>
    <row r="9" spans="1:18">
      <c r="A9" s="16">
        <f t="shared" si="4"/>
        <v>46266</v>
      </c>
      <c r="B9" s="14">
        <f>VLOOKUP(A9,'INCC - M'!$E:$F,2,FALSE)</f>
        <v>1264.3530000000001</v>
      </c>
      <c r="C9" s="42"/>
      <c r="D9" s="139">
        <f t="shared" si="0"/>
        <v>0</v>
      </c>
      <c r="E9" s="139">
        <f t="shared" si="1"/>
        <v>0</v>
      </c>
      <c r="F9" s="139">
        <f t="shared" si="2"/>
        <v>0</v>
      </c>
      <c r="G9" s="110"/>
      <c r="H9" s="36">
        <v>1.29E-2</v>
      </c>
      <c r="I9" s="69">
        <f t="shared" si="3"/>
        <v>58565.719265069572</v>
      </c>
      <c r="J9" s="75">
        <f t="shared" si="5"/>
        <v>57423.298166838591</v>
      </c>
    </row>
    <row r="10" spans="1:18">
      <c r="A10" s="16">
        <f t="shared" si="4"/>
        <v>46296</v>
      </c>
      <c r="B10" s="14">
        <f>VLOOKUP(A10,'INCC - M'!$E:$F,2,FALSE)</f>
        <v>1264.3530000000001</v>
      </c>
      <c r="C10" s="42"/>
      <c r="D10" s="139">
        <f t="shared" si="0"/>
        <v>0</v>
      </c>
      <c r="E10" s="139">
        <f t="shared" si="1"/>
        <v>0</v>
      </c>
      <c r="F10" s="139">
        <f t="shared" si="2"/>
        <v>0</v>
      </c>
      <c r="G10" s="110"/>
      <c r="H10" s="36">
        <v>1.38E-2</v>
      </c>
      <c r="I10" s="69">
        <f t="shared" si="3"/>
        <v>62651.699678911638</v>
      </c>
      <c r="J10" s="75">
        <f t="shared" si="5"/>
        <v>61429.574783129654</v>
      </c>
    </row>
    <row r="11" spans="1:18">
      <c r="A11" s="16">
        <f t="shared" si="4"/>
        <v>46327</v>
      </c>
      <c r="B11" s="14">
        <f>VLOOKUP(A11,'INCC - M'!$E:$F,2,FALSE)</f>
        <v>1264.3530000000001</v>
      </c>
      <c r="C11" s="42"/>
      <c r="D11" s="139">
        <f t="shared" si="0"/>
        <v>0</v>
      </c>
      <c r="E11" s="139">
        <f t="shared" si="1"/>
        <v>0</v>
      </c>
      <c r="F11" s="139">
        <f t="shared" si="2"/>
        <v>0</v>
      </c>
      <c r="G11" s="110"/>
      <c r="H11" s="36">
        <v>2.4399999999999995E-2</v>
      </c>
      <c r="I11" s="69">
        <f t="shared" si="3"/>
        <v>110775.46899749592</v>
      </c>
      <c r="J11" s="75">
        <f t="shared" si="5"/>
        <v>108614.61048611326</v>
      </c>
      <c r="N11" s="69"/>
      <c r="O11" s="69"/>
      <c r="P11" s="69"/>
    </row>
    <row r="12" spans="1:18">
      <c r="A12" s="16">
        <f t="shared" si="4"/>
        <v>46357</v>
      </c>
      <c r="B12" s="14">
        <f>VLOOKUP(A12,'INCC - M'!$E:$F,2,FALSE)</f>
        <v>1264.3530000000001</v>
      </c>
      <c r="C12" s="42"/>
      <c r="D12" s="139">
        <f t="shared" si="0"/>
        <v>0</v>
      </c>
      <c r="E12" s="139">
        <f t="shared" si="1"/>
        <v>0</v>
      </c>
      <c r="F12" s="139">
        <f t="shared" si="2"/>
        <v>0</v>
      </c>
      <c r="G12" s="110"/>
      <c r="H12" s="36">
        <v>2.1600000000000001E-2</v>
      </c>
      <c r="I12" s="69">
        <f t="shared" si="3"/>
        <v>98063.529932209523</v>
      </c>
      <c r="J12" s="75">
        <f t="shared" si="5"/>
        <v>96150.63879098554</v>
      </c>
      <c r="N12" s="76"/>
      <c r="O12" s="76"/>
      <c r="P12" s="76"/>
    </row>
    <row r="13" spans="1:18">
      <c r="A13" s="16">
        <f t="shared" si="4"/>
        <v>46388</v>
      </c>
      <c r="B13" s="14">
        <f>VLOOKUP(A13,'INCC - M'!$E:$F,2,FALSE)</f>
        <v>1264.3530000000001</v>
      </c>
      <c r="C13" s="42"/>
      <c r="D13" s="139">
        <f t="shared" si="0"/>
        <v>0</v>
      </c>
      <c r="E13" s="139">
        <f t="shared" si="1"/>
        <v>0</v>
      </c>
      <c r="F13" s="139">
        <f t="shared" si="2"/>
        <v>0</v>
      </c>
      <c r="G13" s="110"/>
      <c r="H13" s="36">
        <v>2.0999999999999998E-2</v>
      </c>
      <c r="I13" s="69">
        <f t="shared" si="3"/>
        <v>95339.542989648136</v>
      </c>
      <c r="J13" s="75">
        <f t="shared" si="5"/>
        <v>93479.78771345815</v>
      </c>
    </row>
    <row r="14" spans="1:18">
      <c r="A14" s="16">
        <f t="shared" si="4"/>
        <v>46419</v>
      </c>
      <c r="B14" s="14">
        <f>VLOOKUP(A14,'INCC - M'!$E:$F,2,FALSE)</f>
        <v>1264.3530000000001</v>
      </c>
      <c r="C14" s="42"/>
      <c r="D14" s="139">
        <f t="shared" si="0"/>
        <v>0</v>
      </c>
      <c r="E14" s="139">
        <f t="shared" si="1"/>
        <v>0</v>
      </c>
      <c r="F14" s="139">
        <f t="shared" si="2"/>
        <v>0</v>
      </c>
      <c r="G14" s="110"/>
      <c r="H14" s="36">
        <v>2.4200000000000017E-2</v>
      </c>
      <c r="I14" s="69">
        <f t="shared" si="3"/>
        <v>109867.47334997555</v>
      </c>
      <c r="J14" s="75">
        <f t="shared" si="5"/>
        <v>107724.32679360424</v>
      </c>
    </row>
    <row r="15" spans="1:18">
      <c r="A15" s="16">
        <f t="shared" si="4"/>
        <v>46447</v>
      </c>
      <c r="B15" s="14">
        <f>VLOOKUP(A15,'INCC - M'!$E:$F,2,FALSE)</f>
        <v>1264.3530000000001</v>
      </c>
      <c r="C15" s="42"/>
      <c r="D15" s="139">
        <f t="shared" si="0"/>
        <v>0</v>
      </c>
      <c r="E15" s="139">
        <f t="shared" si="1"/>
        <v>0</v>
      </c>
      <c r="F15" s="139">
        <f t="shared" si="2"/>
        <v>0</v>
      </c>
      <c r="G15" s="110"/>
      <c r="H15" s="36">
        <v>2.9800000000000004E-2</v>
      </c>
      <c r="I15" s="69">
        <f t="shared" si="3"/>
        <v>135291.35148054833</v>
      </c>
      <c r="J15" s="75">
        <f t="shared" si="5"/>
        <v>132652.27018385968</v>
      </c>
      <c r="N15" s="67"/>
      <c r="O15" s="67"/>
      <c r="P15" s="67"/>
    </row>
    <row r="16" spans="1:18">
      <c r="A16" s="16">
        <f t="shared" si="4"/>
        <v>46478</v>
      </c>
      <c r="B16" s="14">
        <f>VLOOKUP(A16,'INCC - M'!$E:$F,2,FALSE)</f>
        <v>1264.3530000000001</v>
      </c>
      <c r="C16" s="42"/>
      <c r="D16" s="139">
        <f t="shared" si="0"/>
        <v>0</v>
      </c>
      <c r="E16" s="139">
        <f t="shared" si="1"/>
        <v>0</v>
      </c>
      <c r="F16" s="139">
        <f t="shared" si="2"/>
        <v>0</v>
      </c>
      <c r="G16" s="110"/>
      <c r="H16" s="36">
        <v>1.599999999999998E-2</v>
      </c>
      <c r="I16" s="69">
        <f t="shared" si="3"/>
        <v>72639.651801636588</v>
      </c>
      <c r="J16" s="75">
        <f t="shared" si="5"/>
        <v>71222.695400729935</v>
      </c>
      <c r="N16" s="67"/>
      <c r="O16" s="67"/>
      <c r="P16" s="67"/>
    </row>
    <row r="17" spans="1:16">
      <c r="A17" s="16">
        <f t="shared" si="4"/>
        <v>46508</v>
      </c>
      <c r="B17" s="14">
        <f>VLOOKUP(A17,'INCC - M'!$E:$F,2,FALSE)</f>
        <v>1264.3530000000001</v>
      </c>
      <c r="C17" s="42"/>
      <c r="D17" s="139">
        <f t="shared" si="0"/>
        <v>0</v>
      </c>
      <c r="E17" s="139">
        <f t="shared" si="1"/>
        <v>0</v>
      </c>
      <c r="F17" s="139">
        <f t="shared" si="2"/>
        <v>0</v>
      </c>
      <c r="G17" s="110"/>
      <c r="H17" s="36">
        <v>2.8000000000000008E-2</v>
      </c>
      <c r="I17" s="69">
        <f t="shared" si="3"/>
        <v>127119.39065286423</v>
      </c>
      <c r="J17" s="75">
        <f t="shared" si="5"/>
        <v>124639.71695127757</v>
      </c>
    </row>
    <row r="18" spans="1:16">
      <c r="A18" s="16">
        <f t="shared" si="4"/>
        <v>46539</v>
      </c>
      <c r="B18" s="14">
        <f>VLOOKUP(A18,'INCC - M'!$E:$F,2,FALSE)</f>
        <v>1264.3530000000001</v>
      </c>
      <c r="C18" s="42"/>
      <c r="D18" s="139">
        <f t="shared" si="0"/>
        <v>0</v>
      </c>
      <c r="E18" s="139">
        <f t="shared" si="1"/>
        <v>0</v>
      </c>
      <c r="F18" s="139">
        <f t="shared" si="2"/>
        <v>0</v>
      </c>
      <c r="G18" s="110"/>
      <c r="H18" s="36">
        <v>4.0500000000000008E-2</v>
      </c>
      <c r="I18" s="69">
        <f t="shared" si="3"/>
        <v>183869.11862289289</v>
      </c>
      <c r="J18" s="75">
        <f t="shared" si="5"/>
        <v>180282.44773309791</v>
      </c>
      <c r="N18" s="67"/>
      <c r="O18" s="67"/>
      <c r="P18" s="67"/>
    </row>
    <row r="19" spans="1:16">
      <c r="A19" s="16">
        <f t="shared" si="4"/>
        <v>46569</v>
      </c>
      <c r="B19" s="14">
        <f>VLOOKUP(A19,'INCC - M'!$E:$F,2,FALSE)</f>
        <v>1264.3530000000001</v>
      </c>
      <c r="C19" s="42"/>
      <c r="D19" s="139">
        <f t="shared" si="0"/>
        <v>0</v>
      </c>
      <c r="E19" s="139">
        <f t="shared" si="1"/>
        <v>0</v>
      </c>
      <c r="F19" s="139">
        <f t="shared" si="2"/>
        <v>0</v>
      </c>
      <c r="G19" s="110"/>
      <c r="H19" s="36">
        <v>4.1599999999999963E-2</v>
      </c>
      <c r="I19" s="69">
        <f t="shared" si="3"/>
        <v>188863.09468425519</v>
      </c>
      <c r="J19" s="75">
        <f t="shared" si="5"/>
        <v>185179.00804189791</v>
      </c>
    </row>
    <row r="20" spans="1:16">
      <c r="A20" s="16">
        <f t="shared" si="4"/>
        <v>46600</v>
      </c>
      <c r="B20" s="14">
        <f>VLOOKUP(A20,'INCC - M'!$E:$F,2,FALSE)</f>
        <v>1264.3530000000001</v>
      </c>
      <c r="C20" s="42"/>
      <c r="D20" s="139">
        <f t="shared" si="0"/>
        <v>0</v>
      </c>
      <c r="E20" s="139">
        <f t="shared" si="1"/>
        <v>0</v>
      </c>
      <c r="F20" s="139">
        <f t="shared" si="2"/>
        <v>0</v>
      </c>
      <c r="G20" s="110"/>
      <c r="H20" s="36">
        <v>5.0400000000000063E-2</v>
      </c>
      <c r="I20" s="69">
        <f t="shared" si="3"/>
        <v>228814.90317515584</v>
      </c>
      <c r="J20" s="75">
        <f t="shared" si="5"/>
        <v>224351.49051229988</v>
      </c>
    </row>
    <row r="21" spans="1:16">
      <c r="A21" s="16">
        <f t="shared" si="4"/>
        <v>46631</v>
      </c>
      <c r="B21" s="14">
        <f>VLOOKUP(A21,'INCC - M'!$E:$F,2,FALSE)</f>
        <v>1264.3530000000001</v>
      </c>
      <c r="C21" s="42"/>
      <c r="D21" s="139">
        <f t="shared" si="0"/>
        <v>0</v>
      </c>
      <c r="E21" s="139">
        <f t="shared" si="1"/>
        <v>0</v>
      </c>
      <c r="F21" s="139">
        <f t="shared" si="2"/>
        <v>0</v>
      </c>
      <c r="G21" s="110"/>
      <c r="H21" s="36">
        <v>3.8499999999999944E-2</v>
      </c>
      <c r="I21" s="69">
        <f t="shared" si="3"/>
        <v>174789.16214768801</v>
      </c>
      <c r="J21" s="75">
        <f t="shared" si="5"/>
        <v>171379.61080800637</v>
      </c>
      <c r="N21" s="67"/>
      <c r="O21" s="67"/>
      <c r="P21" s="67"/>
    </row>
    <row r="22" spans="1:16">
      <c r="A22" s="16">
        <f t="shared" si="4"/>
        <v>46661</v>
      </c>
      <c r="B22" s="14">
        <f>VLOOKUP(A22,'INCC - M'!$E:$F,2,FALSE)</f>
        <v>1264.3530000000001</v>
      </c>
      <c r="C22" s="42"/>
      <c r="D22" s="139">
        <f t="shared" si="0"/>
        <v>0</v>
      </c>
      <c r="E22" s="139">
        <f t="shared" si="1"/>
        <v>0</v>
      </c>
      <c r="F22" s="139">
        <f t="shared" si="2"/>
        <v>0</v>
      </c>
      <c r="G22" s="110"/>
      <c r="H22" s="36">
        <v>3.9699999999999985E-2</v>
      </c>
      <c r="I22" s="69">
        <f t="shared" si="3"/>
        <v>180237.13603281096</v>
      </c>
      <c r="J22" s="75">
        <f t="shared" si="5"/>
        <v>176721.31296306133</v>
      </c>
    </row>
    <row r="23" spans="1:16">
      <c r="A23" s="16">
        <f t="shared" si="4"/>
        <v>46692</v>
      </c>
      <c r="B23" s="14">
        <f>VLOOKUP(A23,'INCC - M'!$E:$F,2,FALSE)</f>
        <v>1264.3530000000001</v>
      </c>
      <c r="C23" s="42"/>
      <c r="D23" s="139">
        <f t="shared" si="0"/>
        <v>0</v>
      </c>
      <c r="E23" s="139">
        <f t="shared" si="1"/>
        <v>0</v>
      </c>
      <c r="F23" s="139">
        <f t="shared" si="2"/>
        <v>0</v>
      </c>
      <c r="G23" s="110"/>
      <c r="H23" s="36">
        <v>5.6300000000000024E-2</v>
      </c>
      <c r="I23" s="69">
        <f t="shared" si="3"/>
        <v>255600.77477700918</v>
      </c>
      <c r="J23" s="75">
        <f t="shared" si="5"/>
        <v>250614.85944131887</v>
      </c>
    </row>
    <row r="24" spans="1:16">
      <c r="A24" s="16">
        <f t="shared" si="4"/>
        <v>46722</v>
      </c>
      <c r="B24" s="14">
        <f>VLOOKUP(A24,'INCC - M'!$E:$F,2,FALSE)</f>
        <v>1264.3530000000001</v>
      </c>
      <c r="C24" s="42"/>
      <c r="D24" s="139">
        <f t="shared" si="0"/>
        <v>0</v>
      </c>
      <c r="E24" s="139">
        <f t="shared" si="1"/>
        <v>0</v>
      </c>
      <c r="F24" s="139">
        <f t="shared" si="2"/>
        <v>0</v>
      </c>
      <c r="G24" s="110"/>
      <c r="H24" s="36">
        <v>3.6000000000000011E-2</v>
      </c>
      <c r="I24" s="69">
        <f t="shared" si="3"/>
        <v>163439.21655368258</v>
      </c>
      <c r="J24" s="75">
        <f t="shared" si="5"/>
        <v>160251.06465164261</v>
      </c>
    </row>
    <row r="25" spans="1:16">
      <c r="A25" s="16">
        <f t="shared" si="4"/>
        <v>46753</v>
      </c>
      <c r="B25" s="14">
        <f>VLOOKUP(A25,'INCC - M'!$E:$F,2,FALSE)</f>
        <v>1264.3530000000001</v>
      </c>
      <c r="C25" s="42"/>
      <c r="D25" s="139">
        <f t="shared" si="0"/>
        <v>0</v>
      </c>
      <c r="E25" s="139">
        <f t="shared" si="1"/>
        <v>0</v>
      </c>
      <c r="F25" s="139">
        <f t="shared" si="2"/>
        <v>0</v>
      </c>
      <c r="G25" s="110"/>
      <c r="H25" s="36">
        <v>6.4399999999999971E-2</v>
      </c>
      <c r="I25" s="69">
        <f t="shared" si="3"/>
        <v>292374.59850158752</v>
      </c>
      <c r="J25" s="75">
        <f t="shared" si="5"/>
        <v>286671.34898793825</v>
      </c>
    </row>
    <row r="26" spans="1:16">
      <c r="A26" s="16">
        <f t="shared" si="4"/>
        <v>46784</v>
      </c>
      <c r="B26" s="14">
        <f>VLOOKUP(A26,'INCC - M'!$E:$F,2,FALSE)</f>
        <v>1264.3530000000001</v>
      </c>
      <c r="C26" s="42"/>
      <c r="D26" s="139">
        <f t="shared" si="0"/>
        <v>0</v>
      </c>
      <c r="E26" s="139">
        <f t="shared" si="1"/>
        <v>0</v>
      </c>
      <c r="F26" s="139">
        <f t="shared" si="2"/>
        <v>0</v>
      </c>
      <c r="G26" s="110"/>
      <c r="H26" s="36">
        <v>6.730000000000004E-2</v>
      </c>
      <c r="I26" s="69">
        <f t="shared" si="3"/>
        <v>305540.5353906345</v>
      </c>
      <c r="J26" s="75">
        <f t="shared" si="5"/>
        <v>299580.46252932085</v>
      </c>
    </row>
    <row r="27" spans="1:16">
      <c r="A27" s="16">
        <f t="shared" si="4"/>
        <v>46813</v>
      </c>
      <c r="B27" s="14">
        <f>VLOOKUP(A27,'INCC - M'!$E:$F,2,FALSE)</f>
        <v>1264.3530000000001</v>
      </c>
      <c r="C27" s="42"/>
      <c r="D27" s="139">
        <f t="shared" si="0"/>
        <v>0</v>
      </c>
      <c r="E27" s="139">
        <f t="shared" si="1"/>
        <v>0</v>
      </c>
      <c r="F27" s="139">
        <f t="shared" si="2"/>
        <v>0</v>
      </c>
      <c r="G27" s="110"/>
      <c r="H27" s="36">
        <v>6.9800000000000043E-2</v>
      </c>
      <c r="I27" s="69">
        <f t="shared" si="3"/>
        <v>316890.48098464019</v>
      </c>
      <c r="J27" s="75">
        <f t="shared" si="5"/>
        <v>310709.00868568494</v>
      </c>
    </row>
    <row r="28" spans="1:16">
      <c r="A28" s="16">
        <f t="shared" si="4"/>
        <v>46844</v>
      </c>
      <c r="B28" s="14">
        <f>VLOOKUP(A28,'INCC - M'!$E:$F,2,FALSE)</f>
        <v>1264.3530000000001</v>
      </c>
      <c r="C28" s="42"/>
      <c r="D28" s="139">
        <f t="shared" si="0"/>
        <v>0</v>
      </c>
      <c r="E28" s="139">
        <f t="shared" si="1"/>
        <v>0</v>
      </c>
      <c r="F28" s="139">
        <f t="shared" si="2"/>
        <v>0</v>
      </c>
      <c r="G28" s="110"/>
      <c r="H28" s="36">
        <v>5.3499999999999943E-2</v>
      </c>
      <c r="I28" s="69">
        <f t="shared" si="3"/>
        <v>242888.83571172241</v>
      </c>
      <c r="J28" s="75">
        <f t="shared" si="5"/>
        <v>238150.88774619077</v>
      </c>
    </row>
    <row r="29" spans="1:16">
      <c r="A29" s="16">
        <f t="shared" si="4"/>
        <v>46874</v>
      </c>
      <c r="B29" s="14">
        <f>VLOOKUP(A29,'INCC - M'!$E:$F,2,FALSE)</f>
        <v>1264.3530000000001</v>
      </c>
      <c r="C29" s="42"/>
      <c r="D29" s="139">
        <f t="shared" si="0"/>
        <v>0</v>
      </c>
      <c r="E29" s="139">
        <f t="shared" si="1"/>
        <v>0</v>
      </c>
      <c r="F29" s="139">
        <f t="shared" si="2"/>
        <v>0</v>
      </c>
      <c r="G29" s="110"/>
      <c r="H29" s="36">
        <v>6.3900000000000012E-2</v>
      </c>
      <c r="I29" s="69">
        <f t="shared" si="3"/>
        <v>290104.60938278656</v>
      </c>
      <c r="J29" s="75">
        <f t="shared" si="5"/>
        <v>284445.63975666557</v>
      </c>
    </row>
    <row r="30" spans="1:16">
      <c r="A30" s="16">
        <f t="shared" si="4"/>
        <v>46905</v>
      </c>
      <c r="B30" s="14">
        <f>VLOOKUP(A30,'INCC - M'!$E:$F,2,FALSE)</f>
        <v>1264.3530000000001</v>
      </c>
      <c r="C30" s="42"/>
      <c r="D30" s="139">
        <f t="shared" si="0"/>
        <v>0</v>
      </c>
      <c r="E30" s="139">
        <f t="shared" si="1"/>
        <v>0</v>
      </c>
      <c r="F30" s="139">
        <f t="shared" si="2"/>
        <v>0</v>
      </c>
      <c r="G30" s="110"/>
      <c r="H30" s="36">
        <v>5.2000000000000025E-2</v>
      </c>
      <c r="I30" s="69">
        <f t="shared" si="3"/>
        <v>236078.86835531934</v>
      </c>
      <c r="J30" s="75">
        <f t="shared" si="5"/>
        <v>231473.7600523727</v>
      </c>
    </row>
    <row r="31" spans="1:16">
      <c r="A31" s="16">
        <f t="shared" si="4"/>
        <v>46935</v>
      </c>
      <c r="B31" s="14">
        <f>VLOOKUP(A31,'INCC - M'!$E:$F,2,FALSE)</f>
        <v>1264.3530000000001</v>
      </c>
      <c r="C31" s="42"/>
      <c r="D31" s="139">
        <f t="shared" si="0"/>
        <v>0</v>
      </c>
      <c r="E31" s="139">
        <f t="shared" si="1"/>
        <v>0</v>
      </c>
      <c r="F31" s="139">
        <f t="shared" si="2"/>
        <v>0</v>
      </c>
      <c r="G31" s="110"/>
      <c r="H31" s="36">
        <v>5.0799999999999984E-2</v>
      </c>
      <c r="I31" s="69">
        <f t="shared" si="3"/>
        <v>230630.89447019639</v>
      </c>
      <c r="J31" s="75">
        <f t="shared" si="5"/>
        <v>226132.05789731778</v>
      </c>
    </row>
    <row r="32" spans="1:16">
      <c r="A32" s="16">
        <f t="shared" si="4"/>
        <v>46966</v>
      </c>
      <c r="B32" s="14">
        <f>VLOOKUP(A32,'INCC - M'!$E:$F,2,FALSE)</f>
        <v>1264.3530000000001</v>
      </c>
      <c r="C32" s="42"/>
      <c r="D32" s="139">
        <f t="shared" si="0"/>
        <v>0</v>
      </c>
      <c r="E32" s="139">
        <f t="shared" si="1"/>
        <v>0</v>
      </c>
      <c r="F32" s="139">
        <f t="shared" si="2"/>
        <v>0</v>
      </c>
      <c r="G32" s="110"/>
      <c r="H32" s="36">
        <v>2.0199999999999961E-2</v>
      </c>
      <c r="I32" s="69">
        <f t="shared" si="3"/>
        <v>91707.560399566137</v>
      </c>
      <c r="J32" s="75">
        <f t="shared" si="5"/>
        <v>89918.652943421475</v>
      </c>
    </row>
    <row r="33" spans="1:10">
      <c r="A33" s="16">
        <f t="shared" si="4"/>
        <v>46997</v>
      </c>
      <c r="B33" s="14">
        <f>VLOOKUP(A33,'INCC - M'!$E:$F,2,FALSE)</f>
        <v>1264.3530000000001</v>
      </c>
      <c r="C33" s="42"/>
      <c r="D33" s="139">
        <f t="shared" si="0"/>
        <v>0</v>
      </c>
      <c r="E33" s="139">
        <f t="shared" si="1"/>
        <v>0</v>
      </c>
      <c r="F33" s="139">
        <f t="shared" si="2"/>
        <v>0</v>
      </c>
      <c r="G33" s="110"/>
      <c r="H33" s="36">
        <v>1.5999999999999658E-3</v>
      </c>
      <c r="I33" s="69">
        <f t="shared" si="3"/>
        <v>7263.9651801635127</v>
      </c>
      <c r="J33" s="75">
        <f t="shared" si="5"/>
        <v>7122.2695400728508</v>
      </c>
    </row>
    <row r="34" spans="1:10">
      <c r="A34" s="16">
        <f t="shared" si="4"/>
        <v>47027</v>
      </c>
      <c r="B34" s="14">
        <f>VLOOKUP(A34,'INCC - M'!$E:$F,2,FALSE)</f>
        <v>1264.3530000000001</v>
      </c>
      <c r="C34" s="42"/>
      <c r="D34" s="139">
        <f t="shared" si="0"/>
        <v>0</v>
      </c>
      <c r="E34" s="139">
        <f t="shared" si="1"/>
        <v>0</v>
      </c>
      <c r="F34" s="139">
        <f t="shared" si="2"/>
        <v>0</v>
      </c>
      <c r="G34" s="110"/>
      <c r="H34" s="36">
        <v>1.0000000000005117E-4</v>
      </c>
      <c r="I34" s="69">
        <f t="shared" si="3"/>
        <v>453.99782376046153</v>
      </c>
      <c r="J34" s="75">
        <f t="shared" si="5"/>
        <v>445.14184625479044</v>
      </c>
    </row>
    <row r="35" spans="1:10">
      <c r="C35" s="87">
        <f>SUM(C5:C34)</f>
        <v>2.5299999999999996E-2</v>
      </c>
    </row>
    <row r="36" spans="1:10">
      <c r="C36" s="197">
        <v>0.45237181999999998</v>
      </c>
    </row>
    <row r="37" spans="1:10">
      <c r="C37" s="87">
        <f>C36-C35</f>
        <v>0.42707181999999999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9F39-BEF6-45EB-931D-045A1D727581}">
  <sheetPr>
    <tabColor theme="8" tint="0.39997558519241921"/>
  </sheetPr>
  <dimension ref="A1:M32"/>
  <sheetViews>
    <sheetView workbookViewId="0">
      <pane ySplit="4" topLeftCell="A5" activePane="bottomLeft" state="frozen"/>
      <selection activeCell="C15" sqref="C15:K19"/>
      <selection pane="bottomLeft" activeCell="I17" sqref="I17"/>
    </sheetView>
  </sheetViews>
  <sheetFormatPr defaultRowHeight="14.4"/>
  <cols>
    <col min="1" max="1" width="10.6640625" bestFit="1" customWidth="1"/>
    <col min="2" max="2" width="10.6640625" customWidth="1"/>
    <col min="3" max="3" width="17.88671875" bestFit="1" customWidth="1"/>
    <col min="4" max="4" width="18.33203125" bestFit="1" customWidth="1"/>
    <col min="5" max="5" width="18.33203125" style="75" bestFit="1" customWidth="1"/>
    <col min="6" max="6" width="3" customWidth="1"/>
    <col min="7" max="9" width="15.5546875" bestFit="1" customWidth="1"/>
    <col min="12" max="12" width="14" bestFit="1" customWidth="1"/>
    <col min="13" max="13" width="12.88671875" bestFit="1" customWidth="1"/>
  </cols>
  <sheetData>
    <row r="1" spans="1:13">
      <c r="A1" s="214" t="s">
        <v>170</v>
      </c>
      <c r="B1" s="215"/>
      <c r="C1" s="215"/>
      <c r="D1" s="215"/>
      <c r="E1" s="215"/>
      <c r="G1" s="194" t="s">
        <v>172</v>
      </c>
      <c r="H1" s="194" t="s">
        <v>173</v>
      </c>
      <c r="I1" s="194" t="s">
        <v>174</v>
      </c>
    </row>
    <row r="2" spans="1:13">
      <c r="A2" s="19" t="s">
        <v>1</v>
      </c>
      <c r="B2" s="19" t="s">
        <v>0</v>
      </c>
      <c r="C2" s="190" t="s">
        <v>171</v>
      </c>
      <c r="D2" s="19" t="s">
        <v>175</v>
      </c>
      <c r="E2" s="195" t="s">
        <v>176</v>
      </c>
      <c r="G2" s="18">
        <v>1908100</v>
      </c>
      <c r="H2" s="162">
        <f>G2/B3</f>
        <v>1619.2487011895932</v>
      </c>
      <c r="I2" s="193">
        <f>H2-E3</f>
        <v>1254.323302398868</v>
      </c>
      <c r="L2" s="19" t="s">
        <v>72</v>
      </c>
    </row>
    <row r="3" spans="1:13">
      <c r="A3" s="20">
        <v>45748</v>
      </c>
      <c r="B3" s="140">
        <f>VLOOKUP(A3,'INCC - DI'!$E:$F,2,FALSE)</f>
        <v>1178.386</v>
      </c>
      <c r="C3" s="191">
        <f>SUM(C5:C31)</f>
        <v>4447517.3500000006</v>
      </c>
      <c r="D3" s="22">
        <f>SUM(D5:D31)</f>
        <v>444751.7350000001</v>
      </c>
      <c r="E3" s="81">
        <f>SUM(E5:E31)</f>
        <v>364.92539879072524</v>
      </c>
      <c r="L3" s="159">
        <f>SUM(L5:L19)</f>
        <v>444751.7350000001</v>
      </c>
      <c r="M3" s="69">
        <f>D3-L3</f>
        <v>0</v>
      </c>
    </row>
    <row r="4" spans="1:13">
      <c r="A4" s="77" t="s">
        <v>5</v>
      </c>
      <c r="B4" s="77"/>
      <c r="C4" s="190" t="s">
        <v>171</v>
      </c>
      <c r="D4" s="19" t="s">
        <v>175</v>
      </c>
      <c r="E4" s="195" t="s">
        <v>176</v>
      </c>
      <c r="L4" s="19" t="s">
        <v>72</v>
      </c>
    </row>
    <row r="5" spans="1:13">
      <c r="A5" s="16">
        <v>45931</v>
      </c>
      <c r="B5" s="192">
        <f>VLOOKUP(A5,'INCC - DI'!$E:$F,2,FALSE)</f>
        <v>1218.7470000000001</v>
      </c>
      <c r="C5" s="31">
        <v>440473.7</v>
      </c>
      <c r="D5" s="99">
        <f>C5*0.1</f>
        <v>44047.37</v>
      </c>
      <c r="E5" s="196">
        <f>D5/$B$5</f>
        <v>36.141520758615201</v>
      </c>
      <c r="G5" s="68"/>
      <c r="L5" s="150">
        <v>42885.197485220473</v>
      </c>
    </row>
    <row r="6" spans="1:13">
      <c r="A6" s="16">
        <f>EDATE(A5,1)</f>
        <v>45962</v>
      </c>
      <c r="B6" s="192">
        <f>VLOOKUP(A6,'INCC - DI'!$E:$F,2,FALSE)</f>
        <v>1222.356</v>
      </c>
      <c r="C6" s="31">
        <v>695615.99</v>
      </c>
      <c r="D6" s="99">
        <f t="shared" ref="D6:D8" si="0">C6*0.1</f>
        <v>69561.599000000002</v>
      </c>
      <c r="E6" s="196">
        <f t="shared" ref="E6:E31" si="1">D6/$B$5</f>
        <v>57.076324290439274</v>
      </c>
      <c r="L6" s="150">
        <v>60954.31</v>
      </c>
    </row>
    <row r="7" spans="1:13">
      <c r="A7" s="73">
        <f t="shared" ref="A7:A31" si="2">EDATE(A6,1)</f>
        <v>45992</v>
      </c>
      <c r="B7" s="192">
        <f>VLOOKUP(A7,'INCC - DI'!$E:$F,2,FALSE)</f>
        <v>1225.633</v>
      </c>
      <c r="C7" s="29">
        <v>310378.64</v>
      </c>
      <c r="D7" s="99">
        <f>C7*0.1</f>
        <v>31037.864000000001</v>
      </c>
      <c r="E7" s="196">
        <f t="shared" si="1"/>
        <v>25.46702802140231</v>
      </c>
      <c r="L7" s="150">
        <v>47204.33</v>
      </c>
    </row>
    <row r="8" spans="1:13">
      <c r="A8" s="16">
        <f t="shared" si="2"/>
        <v>46023</v>
      </c>
      <c r="B8" s="192">
        <f>VLOOKUP(A8,'INCC - DI'!$E:$F,2,FALSE)</f>
        <v>1228.1610000000001</v>
      </c>
      <c r="C8" s="31">
        <v>295121.23</v>
      </c>
      <c r="D8" s="99">
        <f t="shared" si="0"/>
        <v>29512.123</v>
      </c>
      <c r="E8" s="196">
        <f t="shared" si="1"/>
        <v>24.215134888537161</v>
      </c>
      <c r="H8" s="154"/>
      <c r="L8" s="150">
        <v>24668.959999999999</v>
      </c>
    </row>
    <row r="9" spans="1:13">
      <c r="A9" s="16">
        <f t="shared" si="2"/>
        <v>46054</v>
      </c>
      <c r="B9" s="192">
        <f>VLOOKUP(A9,'INCC - DI'!$E:$F,2,FALSE)</f>
        <v>1237.0360000000001</v>
      </c>
      <c r="C9" s="31">
        <v>247692.75999999998</v>
      </c>
      <c r="D9" s="99">
        <f>C9*0.1</f>
        <v>24769.275999999998</v>
      </c>
      <c r="E9" s="196">
        <f t="shared" si="1"/>
        <v>20.323558540041532</v>
      </c>
      <c r="I9" s="154"/>
      <c r="L9" s="150">
        <v>40298.53</v>
      </c>
    </row>
    <row r="10" spans="1:13">
      <c r="A10" s="73">
        <f t="shared" si="2"/>
        <v>46082</v>
      </c>
      <c r="B10" s="192">
        <f>VLOOKUP(A10,'INCC - DI'!$E:$F,2,FALSE)</f>
        <v>1240.481</v>
      </c>
      <c r="C10" s="29">
        <v>761609.08000000007</v>
      </c>
      <c r="D10" s="99">
        <f>C10*0.1</f>
        <v>76160.90800000001</v>
      </c>
      <c r="E10" s="196">
        <f t="shared" si="1"/>
        <v>62.491155260279619</v>
      </c>
      <c r="I10" s="67"/>
      <c r="L10" s="150">
        <v>65823.179999999993</v>
      </c>
    </row>
    <row r="11" spans="1:13">
      <c r="A11" s="16">
        <f t="shared" si="2"/>
        <v>46113</v>
      </c>
      <c r="B11" s="192">
        <f>VLOOKUP(A11,'INCC - DI'!$E:$F,2,FALSE)</f>
        <v>1247.181</v>
      </c>
      <c r="C11" s="31">
        <v>458142.75</v>
      </c>
      <c r="D11" s="99">
        <f>C11*0.1</f>
        <v>45814.275000000001</v>
      </c>
      <c r="E11" s="196">
        <f t="shared" si="1"/>
        <v>37.591292532412389</v>
      </c>
      <c r="I11" s="154"/>
      <c r="L11" s="150">
        <v>55154.35</v>
      </c>
    </row>
    <row r="12" spans="1:13">
      <c r="A12" s="16">
        <f t="shared" si="2"/>
        <v>46143</v>
      </c>
      <c r="B12" s="192">
        <f>VLOOKUP(A12,'INCC - DI'!$E:$F,2,FALSE)</f>
        <v>1259.652</v>
      </c>
      <c r="C12" s="31">
        <v>577658.88</v>
      </c>
      <c r="D12" s="99">
        <f t="shared" ref="D12:D16" si="3">C12*0.1</f>
        <v>57765.888000000006</v>
      </c>
      <c r="E12" s="196">
        <f t="shared" si="1"/>
        <v>47.397768363737512</v>
      </c>
      <c r="L12" s="150">
        <v>69303.728343001363</v>
      </c>
    </row>
    <row r="13" spans="1:13">
      <c r="A13" s="16">
        <f t="shared" si="2"/>
        <v>46174</v>
      </c>
      <c r="B13" s="192">
        <f>VLOOKUP(A13,'INCC - DI'!$E:$F,2,FALSE)</f>
        <v>1270.6949999999999</v>
      </c>
      <c r="C13" s="18">
        <v>660824.32000000007</v>
      </c>
      <c r="D13" s="99">
        <f t="shared" si="3"/>
        <v>66082.432000000015</v>
      </c>
      <c r="E13" s="196">
        <f t="shared" si="1"/>
        <v>54.221616135260241</v>
      </c>
      <c r="I13" s="154"/>
      <c r="L13" s="150">
        <v>38459.14917177835</v>
      </c>
    </row>
    <row r="14" spans="1:13">
      <c r="A14" s="16">
        <f t="shared" si="2"/>
        <v>46204</v>
      </c>
      <c r="B14" s="192">
        <f>VLOOKUP(A14,'INCC - DI'!$E:$F,2,FALSE)</f>
        <v>1270.6949999999999</v>
      </c>
      <c r="C14" s="30"/>
      <c r="D14" s="99">
        <f t="shared" si="3"/>
        <v>0</v>
      </c>
      <c r="E14" s="196">
        <f t="shared" si="1"/>
        <v>0</v>
      </c>
    </row>
    <row r="15" spans="1:13">
      <c r="A15" s="16">
        <f t="shared" si="2"/>
        <v>46235</v>
      </c>
      <c r="B15" s="192">
        <f>VLOOKUP(A15,'INCC - DI'!$E:$F,2,FALSE)</f>
        <v>1270.6949999999999</v>
      </c>
      <c r="C15" s="31"/>
      <c r="D15" s="99">
        <f t="shared" si="3"/>
        <v>0</v>
      </c>
      <c r="E15" s="196">
        <f t="shared" si="1"/>
        <v>0</v>
      </c>
    </row>
    <row r="16" spans="1:13">
      <c r="A16" s="16">
        <f t="shared" si="2"/>
        <v>46266</v>
      </c>
      <c r="B16" s="192">
        <f>VLOOKUP(A16,'INCC - DI'!$E:$F,2,FALSE)</f>
        <v>1270.6949999999999</v>
      </c>
      <c r="C16" s="17"/>
      <c r="D16" s="99">
        <f t="shared" si="3"/>
        <v>0</v>
      </c>
      <c r="E16" s="196">
        <f t="shared" si="1"/>
        <v>0</v>
      </c>
    </row>
    <row r="17" spans="1:5">
      <c r="A17" s="16">
        <f t="shared" si="2"/>
        <v>46296</v>
      </c>
      <c r="B17" s="192">
        <f>VLOOKUP(A17,'INCC - DI'!$E:$F,2,FALSE)</f>
        <v>1270.6949999999999</v>
      </c>
      <c r="C17" s="17"/>
      <c r="D17" s="99">
        <f>C17*0.1</f>
        <v>0</v>
      </c>
      <c r="E17" s="196">
        <f t="shared" si="1"/>
        <v>0</v>
      </c>
    </row>
    <row r="18" spans="1:5">
      <c r="A18" s="16">
        <f t="shared" si="2"/>
        <v>46327</v>
      </c>
      <c r="B18" s="192">
        <f>VLOOKUP(A18,'INCC - DI'!$E:$F,2,FALSE)</f>
        <v>1270.6949999999999</v>
      </c>
      <c r="C18" s="17"/>
      <c r="D18" s="99">
        <f t="shared" ref="D18:D31" si="4">C18*0.1</f>
        <v>0</v>
      </c>
      <c r="E18" s="196">
        <f t="shared" si="1"/>
        <v>0</v>
      </c>
    </row>
    <row r="19" spans="1:5">
      <c r="A19" s="16">
        <f t="shared" si="2"/>
        <v>46357</v>
      </c>
      <c r="B19" s="192">
        <f>VLOOKUP(A19,'INCC - DI'!$E:$F,2,FALSE)</f>
        <v>1270.6949999999999</v>
      </c>
      <c r="C19" s="17"/>
      <c r="D19" s="99">
        <f t="shared" si="4"/>
        <v>0</v>
      </c>
      <c r="E19" s="196">
        <f t="shared" si="1"/>
        <v>0</v>
      </c>
    </row>
    <row r="20" spans="1:5">
      <c r="A20" s="16">
        <f t="shared" si="2"/>
        <v>46388</v>
      </c>
      <c r="B20" s="192">
        <f>VLOOKUP(A20,'INCC - DI'!$E:$F,2,FALSE)</f>
        <v>1270.6949999999999</v>
      </c>
      <c r="C20" s="17"/>
      <c r="D20" s="99">
        <f t="shared" si="4"/>
        <v>0</v>
      </c>
      <c r="E20" s="196">
        <f t="shared" si="1"/>
        <v>0</v>
      </c>
    </row>
    <row r="21" spans="1:5">
      <c r="A21" s="16">
        <f t="shared" si="2"/>
        <v>46419</v>
      </c>
      <c r="B21" s="192">
        <f>VLOOKUP(A21,'INCC - DI'!$E:$F,2,FALSE)</f>
        <v>1270.6949999999999</v>
      </c>
      <c r="C21" s="17"/>
      <c r="D21" s="99">
        <f t="shared" si="4"/>
        <v>0</v>
      </c>
      <c r="E21" s="196">
        <f t="shared" si="1"/>
        <v>0</v>
      </c>
    </row>
    <row r="22" spans="1:5">
      <c r="A22" s="16">
        <f t="shared" si="2"/>
        <v>46447</v>
      </c>
      <c r="B22" s="192">
        <f>VLOOKUP(A22,'INCC - DI'!$E:$F,2,FALSE)</f>
        <v>1270.6949999999999</v>
      </c>
      <c r="C22" s="17"/>
      <c r="D22" s="99">
        <f t="shared" si="4"/>
        <v>0</v>
      </c>
      <c r="E22" s="196">
        <f t="shared" si="1"/>
        <v>0</v>
      </c>
    </row>
    <row r="23" spans="1:5">
      <c r="A23" s="16">
        <f t="shared" si="2"/>
        <v>46478</v>
      </c>
      <c r="B23" s="192">
        <f>VLOOKUP(A23,'INCC - DI'!$E:$F,2,FALSE)</f>
        <v>1270.6949999999999</v>
      </c>
      <c r="C23" s="17"/>
      <c r="D23" s="99">
        <f t="shared" si="4"/>
        <v>0</v>
      </c>
      <c r="E23" s="196">
        <f t="shared" si="1"/>
        <v>0</v>
      </c>
    </row>
    <row r="24" spans="1:5">
      <c r="A24" s="16">
        <f t="shared" si="2"/>
        <v>46508</v>
      </c>
      <c r="B24" s="192">
        <f>VLOOKUP(A24,'INCC - DI'!$E:$F,2,FALSE)</f>
        <v>1270.6949999999999</v>
      </c>
      <c r="C24" s="17"/>
      <c r="D24" s="99">
        <f t="shared" si="4"/>
        <v>0</v>
      </c>
      <c r="E24" s="196">
        <f t="shared" si="1"/>
        <v>0</v>
      </c>
    </row>
    <row r="25" spans="1:5">
      <c r="A25" s="16">
        <f t="shared" si="2"/>
        <v>46539</v>
      </c>
      <c r="B25" s="192">
        <f>VLOOKUP(A25,'INCC - DI'!$E:$F,2,FALSE)</f>
        <v>1270.6949999999999</v>
      </c>
      <c r="C25" s="17"/>
      <c r="D25" s="99">
        <f t="shared" si="4"/>
        <v>0</v>
      </c>
      <c r="E25" s="196">
        <f t="shared" si="1"/>
        <v>0</v>
      </c>
    </row>
    <row r="26" spans="1:5">
      <c r="A26" s="16">
        <f t="shared" si="2"/>
        <v>46569</v>
      </c>
      <c r="B26" s="192">
        <f>VLOOKUP(A26,'INCC - DI'!$E:$F,2,FALSE)</f>
        <v>1270.6949999999999</v>
      </c>
      <c r="C26" s="17"/>
      <c r="D26" s="99">
        <f t="shared" si="4"/>
        <v>0</v>
      </c>
      <c r="E26" s="196">
        <f t="shared" si="1"/>
        <v>0</v>
      </c>
    </row>
    <row r="27" spans="1:5">
      <c r="A27" s="16">
        <f t="shared" si="2"/>
        <v>46600</v>
      </c>
      <c r="B27" s="192">
        <f>VLOOKUP(A27,'INCC - DI'!$E:$F,2,FALSE)</f>
        <v>1270.6949999999999</v>
      </c>
      <c r="C27" s="17"/>
      <c r="D27" s="99">
        <f t="shared" si="4"/>
        <v>0</v>
      </c>
      <c r="E27" s="196">
        <f t="shared" si="1"/>
        <v>0</v>
      </c>
    </row>
    <row r="28" spans="1:5">
      <c r="A28" s="16">
        <f t="shared" si="2"/>
        <v>46631</v>
      </c>
      <c r="B28" s="192">
        <f>VLOOKUP(A28,'INCC - DI'!$E:$F,2,FALSE)</f>
        <v>1270.6949999999999</v>
      </c>
      <c r="C28" s="17"/>
      <c r="D28" s="99">
        <f t="shared" si="4"/>
        <v>0</v>
      </c>
      <c r="E28" s="196">
        <f t="shared" si="1"/>
        <v>0</v>
      </c>
    </row>
    <row r="29" spans="1:5">
      <c r="A29" s="16">
        <f t="shared" si="2"/>
        <v>46661</v>
      </c>
      <c r="B29" s="192">
        <f>VLOOKUP(A29,'INCC - DI'!$E:$F,2,FALSE)</f>
        <v>1270.6949999999999</v>
      </c>
      <c r="C29" s="17"/>
      <c r="D29" s="99">
        <f t="shared" si="4"/>
        <v>0</v>
      </c>
      <c r="E29" s="196">
        <f t="shared" si="1"/>
        <v>0</v>
      </c>
    </row>
    <row r="30" spans="1:5">
      <c r="A30" s="16">
        <f t="shared" si="2"/>
        <v>46692</v>
      </c>
      <c r="B30" s="192">
        <f>VLOOKUP(A30,'INCC - DI'!$E:$F,2,FALSE)</f>
        <v>1270.6949999999999</v>
      </c>
      <c r="C30" s="17"/>
      <c r="D30" s="99">
        <f t="shared" si="4"/>
        <v>0</v>
      </c>
      <c r="E30" s="196">
        <f t="shared" si="1"/>
        <v>0</v>
      </c>
    </row>
    <row r="31" spans="1:5">
      <c r="A31" s="16">
        <f t="shared" si="2"/>
        <v>46722</v>
      </c>
      <c r="B31" s="192">
        <f>VLOOKUP(A31,'INCC - DI'!$E:$F,2,FALSE)</f>
        <v>1270.6949999999999</v>
      </c>
      <c r="C31" s="17"/>
      <c r="D31" s="99">
        <f t="shared" si="4"/>
        <v>0</v>
      </c>
      <c r="E31" s="196">
        <f t="shared" si="1"/>
        <v>0</v>
      </c>
    </row>
    <row r="32" spans="1:5">
      <c r="C32" t="s">
        <v>117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E044-AE29-4F50-B8F1-F32A8928E093}">
  <sheetPr>
    <tabColor theme="8" tint="0.39997558519241921"/>
  </sheetPr>
  <dimension ref="A1:G17"/>
  <sheetViews>
    <sheetView workbookViewId="0">
      <selection activeCell="E5" sqref="E5"/>
    </sheetView>
  </sheetViews>
  <sheetFormatPr defaultRowHeight="14.4"/>
  <cols>
    <col min="1" max="1" width="9.5546875" bestFit="1" customWidth="1"/>
    <col min="2" max="2" width="12.33203125" customWidth="1"/>
    <col min="3" max="3" width="16.5546875" customWidth="1"/>
    <col min="4" max="4" width="13" customWidth="1"/>
    <col min="5" max="5" width="25.88671875" bestFit="1" customWidth="1"/>
    <col min="6" max="6" width="21.77734375" bestFit="1" customWidth="1"/>
    <col min="7" max="7" width="20" customWidth="1"/>
  </cols>
  <sheetData>
    <row r="1" spans="1:7">
      <c r="A1" s="216" t="s">
        <v>204</v>
      </c>
      <c r="B1" s="216"/>
      <c r="C1" s="216"/>
      <c r="D1" s="216"/>
      <c r="E1" s="216"/>
      <c r="F1" s="216"/>
    </row>
    <row r="2" spans="1:7">
      <c r="A2" s="19" t="s">
        <v>1</v>
      </c>
      <c r="B2" s="19" t="s">
        <v>0</v>
      </c>
      <c r="C2" s="19" t="s">
        <v>156</v>
      </c>
      <c r="D2" s="19" t="s">
        <v>157</v>
      </c>
      <c r="E2" s="19" t="s">
        <v>205</v>
      </c>
      <c r="F2" s="19" t="s">
        <v>206</v>
      </c>
    </row>
    <row r="3" spans="1:7">
      <c r="A3" s="20">
        <v>45901</v>
      </c>
      <c r="B3" s="140">
        <v>1218.7470000000001</v>
      </c>
      <c r="C3" s="37">
        <f>937345.658366678*0.6</f>
        <v>562407.39502000681</v>
      </c>
      <c r="D3" s="37">
        <f>937345.658366678*0.4</f>
        <v>374938.26334667124</v>
      </c>
      <c r="E3" s="22">
        <f>SUM(E5:E14)</f>
        <v>58637.953287835786</v>
      </c>
      <c r="F3" s="22">
        <f>SUM(F5:F14)</f>
        <v>39091.968858557186</v>
      </c>
      <c r="G3" s="68"/>
    </row>
    <row r="4" spans="1:7">
      <c r="A4" s="19" t="s">
        <v>5</v>
      </c>
      <c r="B4" s="19" t="s">
        <v>128</v>
      </c>
      <c r="C4" s="19" t="s">
        <v>156</v>
      </c>
      <c r="D4" s="19" t="s">
        <v>157</v>
      </c>
      <c r="E4" s="19" t="s">
        <v>205</v>
      </c>
      <c r="F4" s="19" t="s">
        <v>206</v>
      </c>
      <c r="G4" s="154"/>
    </row>
    <row r="5" spans="1:7">
      <c r="A5" s="16">
        <v>46204</v>
      </c>
      <c r="B5" s="34">
        <f>VLOOKUP(A5,'INCC - DI'!$E:$F,2,FALSE)</f>
        <v>1270.6949999999999</v>
      </c>
      <c r="C5" s="79">
        <f>93734.57*0.6</f>
        <v>56240.742000000006</v>
      </c>
      <c r="D5" s="79">
        <f>93734.57*0.4</f>
        <v>37493.828000000001</v>
      </c>
      <c r="E5" s="30">
        <f>C5/$B$3*B5</f>
        <v>58637.953287835786</v>
      </c>
      <c r="F5" s="30">
        <f>D5/$B$3*B5</f>
        <v>39091.968858557186</v>
      </c>
      <c r="G5" s="154"/>
    </row>
    <row r="6" spans="1:7">
      <c r="A6" s="16">
        <f>EDATE(A5,1)</f>
        <v>46235</v>
      </c>
      <c r="B6" s="34">
        <f>VLOOKUP(A6,'INCC - DI'!$E:$F,2,FALSE)</f>
        <v>1270.6949999999999</v>
      </c>
      <c r="C6" s="79"/>
      <c r="D6" s="79"/>
      <c r="E6" s="30">
        <f t="shared" ref="E6:E14" si="0">C6/$B$3*B6</f>
        <v>0</v>
      </c>
      <c r="F6" s="30">
        <f t="shared" ref="F6:F14" si="1">D6/$B$3*B6</f>
        <v>0</v>
      </c>
    </row>
    <row r="7" spans="1:7">
      <c r="A7" s="16">
        <f t="shared" ref="A7:A14" si="2">EDATE(A6,1)</f>
        <v>46266</v>
      </c>
      <c r="B7" s="34">
        <f>VLOOKUP(A7,'INCC - DI'!$E:$F,2,FALSE)</f>
        <v>1270.6949999999999</v>
      </c>
      <c r="C7" s="79"/>
      <c r="D7" s="79"/>
      <c r="E7" s="30">
        <f t="shared" si="0"/>
        <v>0</v>
      </c>
      <c r="F7" s="30">
        <f t="shared" si="1"/>
        <v>0</v>
      </c>
    </row>
    <row r="8" spans="1:7">
      <c r="A8" s="16">
        <f t="shared" si="2"/>
        <v>46296</v>
      </c>
      <c r="B8" s="34">
        <f>VLOOKUP(A8,'INCC - DI'!$E:$F,2,FALSE)</f>
        <v>1270.6949999999999</v>
      </c>
      <c r="C8" s="79"/>
      <c r="D8" s="79"/>
      <c r="E8" s="30">
        <f t="shared" si="0"/>
        <v>0</v>
      </c>
      <c r="F8" s="30">
        <f t="shared" si="1"/>
        <v>0</v>
      </c>
    </row>
    <row r="9" spans="1:7">
      <c r="A9" s="16">
        <f t="shared" si="2"/>
        <v>46327</v>
      </c>
      <c r="B9" s="34">
        <f>VLOOKUP(A9,'INCC - DI'!$E:$F,2,FALSE)</f>
        <v>1270.6949999999999</v>
      </c>
      <c r="C9" s="79"/>
      <c r="D9" s="79"/>
      <c r="E9" s="30">
        <f t="shared" si="0"/>
        <v>0</v>
      </c>
      <c r="F9" s="30">
        <f t="shared" si="1"/>
        <v>0</v>
      </c>
    </row>
    <row r="10" spans="1:7" ht="16.2">
      <c r="A10" s="16">
        <f t="shared" si="2"/>
        <v>46357</v>
      </c>
      <c r="B10" s="34">
        <f>VLOOKUP(A10,'INCC - DI'!$E:$F,2,FALSE)</f>
        <v>1270.6949999999999</v>
      </c>
      <c r="C10" s="79"/>
      <c r="D10" s="79"/>
      <c r="E10" s="30">
        <f t="shared" si="0"/>
        <v>0</v>
      </c>
      <c r="F10" s="30">
        <f t="shared" si="1"/>
        <v>0</v>
      </c>
      <c r="G10" s="180"/>
    </row>
    <row r="11" spans="1:7">
      <c r="A11" s="16">
        <f t="shared" si="2"/>
        <v>46388</v>
      </c>
      <c r="B11" s="34">
        <f>VLOOKUP(A11,'INCC - DI'!$E:$F,2,FALSE)</f>
        <v>1270.6949999999999</v>
      </c>
      <c r="C11" s="79"/>
      <c r="D11" s="79"/>
      <c r="E11" s="30">
        <f t="shared" si="0"/>
        <v>0</v>
      </c>
      <c r="F11" s="30">
        <f t="shared" si="1"/>
        <v>0</v>
      </c>
      <c r="G11" s="87"/>
    </row>
    <row r="12" spans="1:7">
      <c r="A12" s="16">
        <f t="shared" si="2"/>
        <v>46419</v>
      </c>
      <c r="B12" s="34">
        <f>VLOOKUP(A12,'INCC - DI'!$E:$F,2,FALSE)</f>
        <v>1270.6949999999999</v>
      </c>
      <c r="C12" s="79"/>
      <c r="D12" s="79"/>
      <c r="E12" s="30">
        <f t="shared" si="0"/>
        <v>0</v>
      </c>
      <c r="F12" s="30">
        <f t="shared" si="1"/>
        <v>0</v>
      </c>
    </row>
    <row r="13" spans="1:7">
      <c r="A13" s="16">
        <f t="shared" si="2"/>
        <v>46447</v>
      </c>
      <c r="B13" s="34">
        <f>VLOOKUP(A13,'INCC - DI'!$E:$F,2,FALSE)</f>
        <v>1270.6949999999999</v>
      </c>
      <c r="C13" s="79"/>
      <c r="D13" s="79"/>
      <c r="E13" s="30">
        <f t="shared" si="0"/>
        <v>0</v>
      </c>
      <c r="F13" s="30">
        <f t="shared" si="1"/>
        <v>0</v>
      </c>
    </row>
    <row r="14" spans="1:7">
      <c r="A14" s="16">
        <f t="shared" si="2"/>
        <v>46478</v>
      </c>
      <c r="B14" s="34">
        <f>VLOOKUP(A14,'INCC - DI'!$E:$F,2,FALSE)</f>
        <v>1270.6949999999999</v>
      </c>
      <c r="C14" s="79"/>
      <c r="D14" s="79"/>
      <c r="E14" s="30">
        <f t="shared" si="0"/>
        <v>0</v>
      </c>
      <c r="F14" s="30">
        <f t="shared" si="1"/>
        <v>0</v>
      </c>
    </row>
    <row r="15" spans="1:7">
      <c r="C15" s="87"/>
      <c r="D15" s="87"/>
      <c r="E15" s="87"/>
    </row>
    <row r="16" spans="1:7">
      <c r="C16" s="197"/>
      <c r="D16" s="197"/>
      <c r="E16" s="197"/>
    </row>
    <row r="17" spans="3:5">
      <c r="C17" s="87"/>
      <c r="D17" s="87"/>
      <c r="E17" s="87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3D99-600D-438D-A8EE-EF33733A33C6}">
  <sheetPr>
    <tabColor theme="8" tint="0.39997558519241921"/>
  </sheetPr>
  <dimension ref="A1:L34"/>
  <sheetViews>
    <sheetView workbookViewId="0">
      <pane ySplit="4" topLeftCell="A5" activePane="bottomLeft" state="frozen"/>
      <selection pane="bottomLeft" activeCell="I3" sqref="I3"/>
    </sheetView>
  </sheetViews>
  <sheetFormatPr defaultRowHeight="14.4"/>
  <cols>
    <col min="1" max="1" width="9.5546875" bestFit="1" customWidth="1"/>
    <col min="2" max="2" width="12.33203125" customWidth="1"/>
    <col min="3" max="4" width="16.44140625" customWidth="1"/>
    <col min="5" max="5" width="18.6640625" customWidth="1"/>
    <col min="6" max="6" width="20" customWidth="1"/>
    <col min="7" max="7" width="16.88671875" bestFit="1" customWidth="1"/>
    <col min="8" max="8" width="8.88671875" customWidth="1"/>
    <col min="9" max="9" width="22.44140625" bestFit="1" customWidth="1"/>
    <col min="10" max="10" width="17.88671875" bestFit="1" customWidth="1"/>
    <col min="11" max="12" width="14" bestFit="1" customWidth="1"/>
  </cols>
  <sheetData>
    <row r="1" spans="1:12">
      <c r="A1" s="216" t="s">
        <v>154</v>
      </c>
      <c r="B1" s="216"/>
      <c r="C1" s="216"/>
      <c r="D1" s="216"/>
      <c r="E1" s="216"/>
    </row>
    <row r="2" spans="1:12">
      <c r="A2" s="19" t="s">
        <v>1</v>
      </c>
      <c r="B2" s="19" t="s">
        <v>155</v>
      </c>
      <c r="C2" s="19" t="s">
        <v>156</v>
      </c>
      <c r="D2" s="19" t="s">
        <v>157</v>
      </c>
      <c r="E2" s="182" t="s">
        <v>159</v>
      </c>
      <c r="F2" s="19" t="s">
        <v>23</v>
      </c>
      <c r="I2" s="229" t="s">
        <v>72</v>
      </c>
      <c r="J2" s="229"/>
    </row>
    <row r="3" spans="1:12">
      <c r="A3" s="20">
        <v>45717</v>
      </c>
      <c r="B3" s="140">
        <v>3113.61</v>
      </c>
      <c r="C3" s="181">
        <f>SUM(C5:C34)</f>
        <v>462077.82799999998</v>
      </c>
      <c r="D3" s="181">
        <f>SUM(D5:D34)</f>
        <v>462077.82799999998</v>
      </c>
      <c r="E3" s="181">
        <f>SUM(E5:E34)</f>
        <v>924155.65599999996</v>
      </c>
      <c r="F3" s="181">
        <f>F4+F5+F6+F7</f>
        <v>924155.65599999996</v>
      </c>
      <c r="G3" s="69">
        <f>F3-E3</f>
        <v>0</v>
      </c>
      <c r="I3" s="22">
        <f>SUM(I5:I46)</f>
        <v>462077.82799999998</v>
      </c>
      <c r="J3" s="22">
        <f>SUM(J5:J46)</f>
        <v>462077.82799999998</v>
      </c>
      <c r="K3" s="17">
        <f>C3-I3</f>
        <v>0</v>
      </c>
      <c r="L3" s="17">
        <f>D3-J3</f>
        <v>0</v>
      </c>
    </row>
    <row r="4" spans="1:12">
      <c r="A4" s="19" t="s">
        <v>5</v>
      </c>
      <c r="B4" s="19" t="s">
        <v>158</v>
      </c>
      <c r="C4" s="19" t="s">
        <v>156</v>
      </c>
      <c r="D4" s="19" t="s">
        <v>157</v>
      </c>
      <c r="E4" s="182" t="s">
        <v>159</v>
      </c>
      <c r="F4" s="75">
        <v>887975.39</v>
      </c>
      <c r="G4" s="202" t="s">
        <v>178</v>
      </c>
      <c r="I4" s="19" t="s">
        <v>160</v>
      </c>
      <c r="J4" s="19" t="s">
        <v>161</v>
      </c>
    </row>
    <row r="5" spans="1:12">
      <c r="A5" s="16">
        <v>45778</v>
      </c>
      <c r="B5" s="34">
        <v>3129.12</v>
      </c>
      <c r="C5" s="18">
        <f t="shared" ref="C5:D34" si="0">((($F$3/$B$3)*$B5)/12)/2</f>
        <v>38698.300181872481</v>
      </c>
      <c r="D5" s="18">
        <f t="shared" si="0"/>
        <v>38698.300181872481</v>
      </c>
      <c r="E5" s="30">
        <f>C5+D5</f>
        <v>77396.600363744961</v>
      </c>
      <c r="F5" s="75">
        <v>11387.61</v>
      </c>
      <c r="G5" s="202" t="s">
        <v>179</v>
      </c>
      <c r="I5" s="183">
        <v>36998.97</v>
      </c>
      <c r="J5" s="183">
        <v>36998.97</v>
      </c>
      <c r="K5" s="69"/>
    </row>
    <row r="6" spans="1:12">
      <c r="A6" s="16">
        <f t="shared" ref="A6:A34" si="1">EDATE(A5,1)</f>
        <v>45809</v>
      </c>
      <c r="B6" s="34">
        <v>3138.86</v>
      </c>
      <c r="C6" s="31">
        <f t="shared" si="0"/>
        <v>38818.756234619403</v>
      </c>
      <c r="D6" s="31">
        <f t="shared" si="0"/>
        <v>38818.756234619403</v>
      </c>
      <c r="E6" s="30">
        <f t="shared" ref="E6:E34" si="2">C6+D6</f>
        <v>77637.512469238805</v>
      </c>
      <c r="F6" s="75">
        <f>246597.6*8.5%</f>
        <v>20960.796000000002</v>
      </c>
      <c r="G6" s="202" t="s">
        <v>180</v>
      </c>
      <c r="I6" s="183">
        <v>40913.247779314799</v>
      </c>
      <c r="J6" s="183">
        <v>40913.247779314799</v>
      </c>
      <c r="K6" s="69"/>
    </row>
    <row r="7" spans="1:12">
      <c r="A7" s="16">
        <f t="shared" si="1"/>
        <v>45839</v>
      </c>
      <c r="B7" s="34">
        <v>3170.14</v>
      </c>
      <c r="C7" s="18">
        <f t="shared" si="0"/>
        <v>39205.600724344615</v>
      </c>
      <c r="D7" s="18">
        <f t="shared" si="0"/>
        <v>39205.600724344615</v>
      </c>
      <c r="E7" s="30">
        <f t="shared" si="2"/>
        <v>78411.201448689229</v>
      </c>
      <c r="F7" s="75">
        <v>3831.86</v>
      </c>
      <c r="G7" s="202" t="s">
        <v>186</v>
      </c>
      <c r="I7" s="183">
        <v>34240.80138315256</v>
      </c>
      <c r="J7" s="183">
        <v>34240.80138315256</v>
      </c>
      <c r="K7" s="69"/>
    </row>
    <row r="8" spans="1:12">
      <c r="A8" s="16">
        <f t="shared" si="1"/>
        <v>45870</v>
      </c>
      <c r="B8" s="34">
        <v>3181.03</v>
      </c>
      <c r="C8" s="31">
        <f t="shared" si="0"/>
        <v>39340.279000978495</v>
      </c>
      <c r="D8" s="31">
        <f t="shared" si="0"/>
        <v>39340.279000978495</v>
      </c>
      <c r="E8" s="30">
        <f t="shared" si="2"/>
        <v>78680.55800195699</v>
      </c>
      <c r="I8" s="183">
        <v>37800.125294696772</v>
      </c>
      <c r="J8" s="183">
        <v>37800.125294696772</v>
      </c>
      <c r="K8" s="69"/>
      <c r="L8" s="69"/>
    </row>
    <row r="9" spans="1:12">
      <c r="A9" s="16">
        <f t="shared" si="1"/>
        <v>45901</v>
      </c>
      <c r="B9" s="34">
        <v>3196.21</v>
      </c>
      <c r="C9" s="31">
        <f t="shared" si="0"/>
        <v>39528.012356286323</v>
      </c>
      <c r="D9" s="31">
        <f t="shared" si="0"/>
        <v>39528.012356286323</v>
      </c>
      <c r="E9" s="30">
        <f t="shared" si="2"/>
        <v>79056.024712572646</v>
      </c>
      <c r="I9" s="183">
        <v>37980.508976074663</v>
      </c>
      <c r="J9" s="183">
        <v>37980.508976074663</v>
      </c>
      <c r="K9" s="69"/>
      <c r="L9" s="69"/>
    </row>
    <row r="10" spans="1:12">
      <c r="A10" s="16">
        <f t="shared" si="1"/>
        <v>45931</v>
      </c>
      <c r="B10" s="34">
        <v>3201.33</v>
      </c>
      <c r="C10" s="31">
        <f t="shared" si="0"/>
        <v>39591.33217046129</v>
      </c>
      <c r="D10" s="31">
        <f t="shared" si="0"/>
        <v>39591.33217046129</v>
      </c>
      <c r="E10" s="30">
        <f t="shared" si="2"/>
        <v>79182.66434092258</v>
      </c>
      <c r="F10" s="75"/>
      <c r="I10" s="183">
        <v>38041.349848845071</v>
      </c>
      <c r="J10" s="183">
        <v>38041.349848845071</v>
      </c>
      <c r="K10" s="69"/>
      <c r="L10" s="69"/>
    </row>
    <row r="11" spans="1:12">
      <c r="A11" s="16">
        <f t="shared" si="1"/>
        <v>45962</v>
      </c>
      <c r="B11" s="34">
        <v>3205.55</v>
      </c>
      <c r="C11" s="31">
        <f t="shared" si="0"/>
        <v>39643.521548550816</v>
      </c>
      <c r="D11" s="31">
        <f t="shared" si="0"/>
        <v>39643.521548550816</v>
      </c>
      <c r="E11" s="30">
        <f t="shared" si="2"/>
        <v>79287.043097101632</v>
      </c>
      <c r="F11" s="75"/>
      <c r="I11" s="183">
        <v>38091.496036948782</v>
      </c>
      <c r="J11" s="183">
        <v>38091.496036948782</v>
      </c>
      <c r="K11" s="69"/>
      <c r="L11" s="69"/>
    </row>
    <row r="12" spans="1:12">
      <c r="A12" s="16">
        <f t="shared" si="1"/>
        <v>45992</v>
      </c>
      <c r="B12" s="34">
        <v>3211.11</v>
      </c>
      <c r="C12" s="31">
        <f t="shared" si="0"/>
        <v>39712.282909256457</v>
      </c>
      <c r="D12" s="31">
        <f t="shared" si="0"/>
        <v>39712.282909256457</v>
      </c>
      <c r="E12" s="30">
        <f t="shared" si="2"/>
        <v>79424.565818512914</v>
      </c>
      <c r="F12" s="75"/>
      <c r="I12" s="183">
        <v>49418.487873422215</v>
      </c>
      <c r="J12" s="183">
        <v>49418.487873422215</v>
      </c>
      <c r="K12" s="69"/>
    </row>
    <row r="13" spans="1:12">
      <c r="A13" s="16">
        <f t="shared" si="1"/>
        <v>46023</v>
      </c>
      <c r="B13" s="34">
        <v>3215.75</v>
      </c>
      <c r="C13" s="31">
        <f t="shared" si="0"/>
        <v>39769.66649085252</v>
      </c>
      <c r="D13" s="31">
        <f t="shared" si="0"/>
        <v>39769.66649085252</v>
      </c>
      <c r="E13" s="30">
        <f t="shared" si="2"/>
        <v>79539.33298170504</v>
      </c>
      <c r="F13" s="75"/>
      <c r="I13" s="183">
        <v>39353.685387813661</v>
      </c>
      <c r="J13" s="183">
        <v>39353.685387813661</v>
      </c>
      <c r="K13" s="69"/>
      <c r="L13" s="68"/>
    </row>
    <row r="14" spans="1:12">
      <c r="A14" s="16">
        <f t="shared" si="1"/>
        <v>46054</v>
      </c>
      <c r="B14" s="34">
        <v>3222.03</v>
      </c>
      <c r="C14" s="31">
        <f t="shared" si="0"/>
        <v>39847.332200426514</v>
      </c>
      <c r="D14" s="31">
        <f t="shared" si="0"/>
        <v>39847.332200426514</v>
      </c>
      <c r="E14" s="30">
        <f t="shared" si="2"/>
        <v>79694.664400853027</v>
      </c>
      <c r="F14" s="75"/>
      <c r="I14" s="183">
        <v>41316.411237380351</v>
      </c>
      <c r="J14" s="183">
        <v>41316.411237380351</v>
      </c>
      <c r="K14" s="69"/>
    </row>
    <row r="15" spans="1:12">
      <c r="A15" s="16">
        <f t="shared" si="1"/>
        <v>46082</v>
      </c>
      <c r="B15" s="34">
        <v>3230.89</v>
      </c>
      <c r="C15" s="31">
        <f t="shared" si="0"/>
        <v>39956.905160112103</v>
      </c>
      <c r="D15" s="31">
        <f t="shared" si="0"/>
        <v>39956.905160112103</v>
      </c>
      <c r="E15" s="30">
        <f t="shared" si="2"/>
        <v>79913.810320224205</v>
      </c>
      <c r="F15" s="75"/>
      <c r="I15" s="183">
        <v>39956.905160112132</v>
      </c>
      <c r="J15" s="183">
        <v>39956.905160112132</v>
      </c>
      <c r="K15" s="69"/>
    </row>
    <row r="16" spans="1:12">
      <c r="A16" s="23">
        <f t="shared" si="1"/>
        <v>46113</v>
      </c>
      <c r="B16" s="174">
        <v>3236.24</v>
      </c>
      <c r="C16" s="25">
        <v>27965.839022238972</v>
      </c>
      <c r="D16" s="25">
        <v>27965.839022238972</v>
      </c>
      <c r="E16" s="33">
        <f t="shared" si="2"/>
        <v>55931.678044477943</v>
      </c>
      <c r="F16" s="75"/>
      <c r="I16" s="183">
        <v>27965.839022238972</v>
      </c>
      <c r="J16" s="183">
        <v>27965.839022238972</v>
      </c>
      <c r="K16" s="69"/>
      <c r="L16" s="69"/>
    </row>
    <row r="17" spans="1:11">
      <c r="A17" s="16">
        <f t="shared" si="1"/>
        <v>46143</v>
      </c>
      <c r="B17" s="34"/>
      <c r="C17" s="18">
        <f t="shared" si="0"/>
        <v>0</v>
      </c>
      <c r="D17" s="18">
        <f t="shared" si="0"/>
        <v>0</v>
      </c>
      <c r="E17" s="30">
        <f t="shared" si="2"/>
        <v>0</v>
      </c>
      <c r="F17" s="75"/>
      <c r="I17" s="14"/>
      <c r="J17" s="14"/>
      <c r="K17" s="69"/>
    </row>
    <row r="18" spans="1:11">
      <c r="A18" s="16">
        <f t="shared" si="1"/>
        <v>46174</v>
      </c>
      <c r="B18" s="34"/>
      <c r="C18" s="18">
        <f t="shared" si="0"/>
        <v>0</v>
      </c>
      <c r="D18" s="18">
        <f t="shared" si="0"/>
        <v>0</v>
      </c>
      <c r="E18" s="30">
        <f t="shared" si="2"/>
        <v>0</v>
      </c>
      <c r="F18" s="75"/>
      <c r="I18" s="14"/>
      <c r="J18" s="14"/>
    </row>
    <row r="19" spans="1:11">
      <c r="A19" s="16">
        <f t="shared" si="1"/>
        <v>46204</v>
      </c>
      <c r="B19" s="34"/>
      <c r="C19" s="18">
        <f t="shared" si="0"/>
        <v>0</v>
      </c>
      <c r="D19" s="18">
        <f t="shared" si="0"/>
        <v>0</v>
      </c>
      <c r="E19" s="30">
        <f t="shared" si="2"/>
        <v>0</v>
      </c>
      <c r="F19" s="75"/>
      <c r="I19" s="14"/>
      <c r="J19" s="14"/>
    </row>
    <row r="20" spans="1:11">
      <c r="A20" s="16">
        <f t="shared" si="1"/>
        <v>46235</v>
      </c>
      <c r="B20" s="34"/>
      <c r="C20" s="18">
        <f t="shared" si="0"/>
        <v>0</v>
      </c>
      <c r="D20" s="18">
        <f t="shared" si="0"/>
        <v>0</v>
      </c>
      <c r="E20" s="30">
        <f t="shared" si="2"/>
        <v>0</v>
      </c>
      <c r="I20" s="14"/>
      <c r="J20" s="14"/>
    </row>
    <row r="21" spans="1:11">
      <c r="A21" s="16">
        <f t="shared" si="1"/>
        <v>46266</v>
      </c>
      <c r="B21" s="34"/>
      <c r="C21" s="18">
        <f t="shared" si="0"/>
        <v>0</v>
      </c>
      <c r="D21" s="18">
        <f t="shared" si="0"/>
        <v>0</v>
      </c>
      <c r="E21" s="30">
        <f t="shared" si="2"/>
        <v>0</v>
      </c>
      <c r="I21" s="14"/>
      <c r="J21" s="14"/>
    </row>
    <row r="22" spans="1:11">
      <c r="A22" s="16">
        <f t="shared" si="1"/>
        <v>46296</v>
      </c>
      <c r="B22" s="34"/>
      <c r="C22" s="18">
        <f t="shared" si="0"/>
        <v>0</v>
      </c>
      <c r="D22" s="18">
        <f t="shared" si="0"/>
        <v>0</v>
      </c>
      <c r="E22" s="30">
        <f t="shared" si="2"/>
        <v>0</v>
      </c>
      <c r="I22" s="14"/>
      <c r="J22" s="14"/>
    </row>
    <row r="23" spans="1:11">
      <c r="A23" s="16">
        <f t="shared" si="1"/>
        <v>46327</v>
      </c>
      <c r="B23" s="34"/>
      <c r="C23" s="18">
        <f t="shared" si="0"/>
        <v>0</v>
      </c>
      <c r="D23" s="18">
        <f t="shared" si="0"/>
        <v>0</v>
      </c>
      <c r="E23" s="30">
        <f t="shared" si="2"/>
        <v>0</v>
      </c>
      <c r="I23" s="14"/>
      <c r="J23" s="14"/>
    </row>
    <row r="24" spans="1:11">
      <c r="A24" s="16">
        <f t="shared" si="1"/>
        <v>46357</v>
      </c>
      <c r="B24" s="34"/>
      <c r="C24" s="18">
        <f t="shared" si="0"/>
        <v>0</v>
      </c>
      <c r="D24" s="18">
        <f t="shared" si="0"/>
        <v>0</v>
      </c>
      <c r="E24" s="30">
        <f t="shared" si="2"/>
        <v>0</v>
      </c>
      <c r="I24" s="14"/>
      <c r="J24" s="14"/>
    </row>
    <row r="25" spans="1:11">
      <c r="A25" s="16">
        <f t="shared" si="1"/>
        <v>46388</v>
      </c>
      <c r="B25" s="34"/>
      <c r="C25" s="18">
        <f t="shared" si="0"/>
        <v>0</v>
      </c>
      <c r="D25" s="18">
        <f t="shared" si="0"/>
        <v>0</v>
      </c>
      <c r="E25" s="30">
        <f t="shared" si="2"/>
        <v>0</v>
      </c>
      <c r="I25" s="14"/>
      <c r="J25" s="14"/>
    </row>
    <row r="26" spans="1:11">
      <c r="A26" s="16">
        <f t="shared" si="1"/>
        <v>46419</v>
      </c>
      <c r="B26" s="34"/>
      <c r="C26" s="18">
        <f t="shared" si="0"/>
        <v>0</v>
      </c>
      <c r="D26" s="18">
        <f t="shared" si="0"/>
        <v>0</v>
      </c>
      <c r="E26" s="30">
        <f t="shared" si="2"/>
        <v>0</v>
      </c>
      <c r="I26" s="14"/>
      <c r="J26" s="14"/>
    </row>
    <row r="27" spans="1:11">
      <c r="A27" s="16">
        <f t="shared" si="1"/>
        <v>46447</v>
      </c>
      <c r="B27" s="34"/>
      <c r="C27" s="18">
        <f t="shared" si="0"/>
        <v>0</v>
      </c>
      <c r="D27" s="18">
        <f t="shared" si="0"/>
        <v>0</v>
      </c>
      <c r="E27" s="30">
        <f t="shared" si="2"/>
        <v>0</v>
      </c>
      <c r="I27" s="14"/>
      <c r="J27" s="14"/>
    </row>
    <row r="28" spans="1:11">
      <c r="A28" s="16">
        <f t="shared" si="1"/>
        <v>46478</v>
      </c>
      <c r="B28" s="34"/>
      <c r="C28" s="18">
        <f t="shared" si="0"/>
        <v>0</v>
      </c>
      <c r="D28" s="18">
        <f t="shared" si="0"/>
        <v>0</v>
      </c>
      <c r="E28" s="30">
        <f t="shared" si="2"/>
        <v>0</v>
      </c>
      <c r="I28" s="14"/>
      <c r="J28" s="14"/>
    </row>
    <row r="29" spans="1:11">
      <c r="A29" s="16">
        <f t="shared" si="1"/>
        <v>46508</v>
      </c>
      <c r="B29" s="34"/>
      <c r="C29" s="18">
        <f t="shared" si="0"/>
        <v>0</v>
      </c>
      <c r="D29" s="18">
        <f t="shared" si="0"/>
        <v>0</v>
      </c>
      <c r="E29" s="30">
        <f t="shared" si="2"/>
        <v>0</v>
      </c>
      <c r="I29" s="14"/>
      <c r="J29" s="14"/>
    </row>
    <row r="30" spans="1:11">
      <c r="A30" s="16">
        <f t="shared" si="1"/>
        <v>46539</v>
      </c>
      <c r="B30" s="34"/>
      <c r="C30" s="18">
        <f t="shared" si="0"/>
        <v>0</v>
      </c>
      <c r="D30" s="18">
        <f t="shared" si="0"/>
        <v>0</v>
      </c>
      <c r="E30" s="30">
        <f t="shared" si="2"/>
        <v>0</v>
      </c>
      <c r="I30" s="14"/>
      <c r="J30" s="14"/>
    </row>
    <row r="31" spans="1:11">
      <c r="A31" s="16">
        <f t="shared" si="1"/>
        <v>46569</v>
      </c>
      <c r="B31" s="34"/>
      <c r="C31" s="18">
        <f t="shared" si="0"/>
        <v>0</v>
      </c>
      <c r="D31" s="18">
        <f t="shared" si="0"/>
        <v>0</v>
      </c>
      <c r="E31" s="30">
        <f t="shared" si="2"/>
        <v>0</v>
      </c>
      <c r="I31" s="14"/>
      <c r="J31" s="14"/>
    </row>
    <row r="32" spans="1:11">
      <c r="A32" s="16">
        <f t="shared" si="1"/>
        <v>46600</v>
      </c>
      <c r="B32" s="34"/>
      <c r="C32" s="18">
        <f t="shared" si="0"/>
        <v>0</v>
      </c>
      <c r="D32" s="18">
        <f t="shared" si="0"/>
        <v>0</v>
      </c>
      <c r="E32" s="30">
        <f t="shared" si="2"/>
        <v>0</v>
      </c>
      <c r="I32" s="14"/>
      <c r="J32" s="14"/>
    </row>
    <row r="33" spans="1:10">
      <c r="A33" s="16">
        <f t="shared" si="1"/>
        <v>46631</v>
      </c>
      <c r="B33" s="34"/>
      <c r="C33" s="18">
        <f t="shared" si="0"/>
        <v>0</v>
      </c>
      <c r="D33" s="18">
        <f t="shared" si="0"/>
        <v>0</v>
      </c>
      <c r="E33" s="30">
        <f t="shared" si="2"/>
        <v>0</v>
      </c>
      <c r="I33" s="14"/>
      <c r="J33" s="14"/>
    </row>
    <row r="34" spans="1:10">
      <c r="A34" s="16">
        <f t="shared" si="1"/>
        <v>46661</v>
      </c>
      <c r="B34" s="34"/>
      <c r="C34" s="18">
        <f t="shared" si="0"/>
        <v>0</v>
      </c>
      <c r="D34" s="18">
        <f t="shared" si="0"/>
        <v>0</v>
      </c>
      <c r="E34" s="30">
        <f t="shared" si="2"/>
        <v>0</v>
      </c>
      <c r="I34" s="14"/>
      <c r="J34" s="14"/>
    </row>
  </sheetData>
  <mergeCells count="2">
    <mergeCell ref="A1:E1"/>
    <mergeCell ref="I2:J2"/>
  </mergeCell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8C02-1077-4E5E-925A-77E293044B6E}">
  <dimension ref="A1:AO11"/>
  <sheetViews>
    <sheetView topLeftCell="AE1" workbookViewId="0">
      <selection activeCell="AN10" sqref="AN10"/>
    </sheetView>
  </sheetViews>
  <sheetFormatPr defaultRowHeight="14.4"/>
  <cols>
    <col min="1" max="1" width="30.5546875" hidden="1" customWidth="1"/>
    <col min="2" max="2" width="13.33203125" hidden="1" customWidth="1"/>
    <col min="3" max="3" width="3.109375" hidden="1" customWidth="1"/>
    <col min="4" max="4" width="31.33203125" hidden="1" customWidth="1"/>
    <col min="5" max="5" width="13.33203125" hidden="1" customWidth="1"/>
    <col min="6" max="6" width="3.109375" hidden="1" customWidth="1"/>
    <col min="7" max="7" width="31.33203125" hidden="1" customWidth="1"/>
    <col min="8" max="8" width="13.33203125" hidden="1" customWidth="1"/>
    <col min="9" max="9" width="3.109375" hidden="1" customWidth="1"/>
    <col min="10" max="10" width="31.33203125" hidden="1" customWidth="1"/>
    <col min="11" max="11" width="13.33203125" hidden="1" customWidth="1"/>
    <col min="12" max="12" width="1.6640625" hidden="1" customWidth="1"/>
    <col min="13" max="13" width="31.33203125" hidden="1" customWidth="1"/>
    <col min="14" max="14" width="13.33203125" hidden="1" customWidth="1"/>
    <col min="15" max="15" width="1.6640625" hidden="1" customWidth="1"/>
    <col min="16" max="16" width="31.33203125" hidden="1" customWidth="1"/>
    <col min="17" max="17" width="13.33203125" hidden="1" customWidth="1"/>
    <col min="18" max="18" width="1.5546875" hidden="1" customWidth="1"/>
    <col min="19" max="19" width="26.6640625" hidden="1" customWidth="1"/>
    <col min="20" max="20" width="13.33203125" hidden="1" customWidth="1"/>
    <col min="21" max="21" width="1.6640625" hidden="1" customWidth="1"/>
    <col min="22" max="22" width="30" bestFit="1" customWidth="1"/>
    <col min="23" max="23" width="13.33203125" bestFit="1" customWidth="1"/>
    <col min="24" max="24" width="1.44140625" customWidth="1"/>
    <col min="25" max="25" width="26.6640625" bestFit="1" customWidth="1"/>
    <col min="26" max="26" width="13.33203125" bestFit="1" customWidth="1"/>
    <col min="27" max="27" width="1.44140625" customWidth="1"/>
    <col min="28" max="28" width="26.6640625" bestFit="1" customWidth="1"/>
    <col min="29" max="29" width="13.33203125" bestFit="1" customWidth="1"/>
    <col min="30" max="30" width="1.109375" customWidth="1"/>
    <col min="31" max="31" width="26.6640625" customWidth="1"/>
    <col min="32" max="32" width="13.33203125" customWidth="1"/>
    <col min="33" max="33" width="1.33203125" customWidth="1"/>
    <col min="34" max="34" width="26.6640625" bestFit="1" customWidth="1"/>
    <col min="35" max="35" width="13.33203125" bestFit="1" customWidth="1"/>
    <col min="36" max="36" width="1.33203125" customWidth="1"/>
    <col min="37" max="37" width="26.6640625" bestFit="1" customWidth="1"/>
    <col min="38" max="38" width="13.33203125" bestFit="1" customWidth="1"/>
    <col min="39" max="39" width="1.5546875" customWidth="1"/>
    <col min="40" max="40" width="26.6640625" bestFit="1" customWidth="1"/>
    <col min="41" max="41" width="13.33203125" bestFit="1" customWidth="1"/>
  </cols>
  <sheetData>
    <row r="1" spans="1:41">
      <c r="A1" s="241">
        <v>45200</v>
      </c>
      <c r="B1" s="241"/>
      <c r="D1" s="241">
        <v>45261</v>
      </c>
      <c r="E1" s="241"/>
      <c r="G1" s="241">
        <v>45292</v>
      </c>
      <c r="H1" s="241"/>
      <c r="J1" s="241">
        <v>45323</v>
      </c>
      <c r="K1" s="241"/>
      <c r="M1" s="241">
        <v>45352</v>
      </c>
      <c r="N1" s="241"/>
      <c r="P1" s="241">
        <v>45383</v>
      </c>
      <c r="Q1" s="241"/>
      <c r="S1" s="241">
        <v>45413</v>
      </c>
      <c r="T1" s="241"/>
      <c r="V1" s="241">
        <v>45444</v>
      </c>
      <c r="W1" s="241"/>
      <c r="Y1" s="241">
        <v>45474</v>
      </c>
      <c r="Z1" s="241"/>
      <c r="AB1" s="241">
        <v>45505</v>
      </c>
      <c r="AC1" s="241"/>
      <c r="AE1" s="241">
        <v>45536</v>
      </c>
      <c r="AF1" s="241"/>
      <c r="AH1" s="241">
        <v>45566</v>
      </c>
      <c r="AI1" s="241"/>
      <c r="AK1" s="241">
        <v>45597</v>
      </c>
      <c r="AL1" s="241"/>
      <c r="AN1" s="241">
        <v>45627</v>
      </c>
      <c r="AO1" s="241"/>
    </row>
    <row r="2" spans="1:41">
      <c r="A2" s="38" t="s">
        <v>31</v>
      </c>
      <c r="B2" s="39" t="s">
        <v>32</v>
      </c>
      <c r="D2" s="38" t="s">
        <v>31</v>
      </c>
      <c r="E2" s="39" t="s">
        <v>32</v>
      </c>
      <c r="G2" s="38" t="s">
        <v>31</v>
      </c>
      <c r="H2" s="39" t="s">
        <v>32</v>
      </c>
      <c r="J2" s="38" t="s">
        <v>31</v>
      </c>
      <c r="K2" s="39" t="s">
        <v>32</v>
      </c>
      <c r="M2" s="38" t="s">
        <v>31</v>
      </c>
      <c r="N2" s="39" t="s">
        <v>32</v>
      </c>
      <c r="P2" s="38" t="s">
        <v>31</v>
      </c>
      <c r="Q2" s="39" t="s">
        <v>32</v>
      </c>
      <c r="S2" s="89" t="s">
        <v>31</v>
      </c>
      <c r="T2" s="90" t="s">
        <v>32</v>
      </c>
      <c r="V2" s="38" t="s">
        <v>31</v>
      </c>
      <c r="W2" s="39" t="s">
        <v>32</v>
      </c>
      <c r="Y2" s="38" t="s">
        <v>31</v>
      </c>
      <c r="Z2" s="39" t="s">
        <v>32</v>
      </c>
      <c r="AB2" s="38" t="s">
        <v>31</v>
      </c>
      <c r="AC2" s="39" t="s">
        <v>32</v>
      </c>
      <c r="AE2" s="89" t="s">
        <v>31</v>
      </c>
      <c r="AF2" s="90" t="s">
        <v>32</v>
      </c>
      <c r="AH2" s="89" t="s">
        <v>31</v>
      </c>
      <c r="AI2" s="90" t="s">
        <v>32</v>
      </c>
      <c r="AK2" s="89" t="s">
        <v>31</v>
      </c>
      <c r="AL2" s="90" t="s">
        <v>32</v>
      </c>
      <c r="AN2" s="89" t="s">
        <v>31</v>
      </c>
      <c r="AO2" s="90" t="s">
        <v>32</v>
      </c>
    </row>
    <row r="3" spans="1:41">
      <c r="A3" s="14" t="s">
        <v>25</v>
      </c>
      <c r="B3" s="18">
        <v>49524.3</v>
      </c>
      <c r="D3" s="14" t="s">
        <v>25</v>
      </c>
      <c r="E3" s="18">
        <v>48131</v>
      </c>
      <c r="G3" s="14" t="s">
        <v>25</v>
      </c>
      <c r="H3" s="18">
        <v>73157.52</v>
      </c>
      <c r="J3" s="14" t="s">
        <v>25</v>
      </c>
      <c r="K3" s="18">
        <v>73157.52</v>
      </c>
      <c r="M3" s="14" t="s">
        <v>25</v>
      </c>
      <c r="N3" s="18">
        <v>0</v>
      </c>
      <c r="P3" s="14" t="s">
        <v>25</v>
      </c>
      <c r="Q3" s="18">
        <v>0</v>
      </c>
      <c r="S3" s="91" t="s">
        <v>91</v>
      </c>
      <c r="T3" s="92">
        <v>27547.65</v>
      </c>
      <c r="V3" s="91" t="s">
        <v>91</v>
      </c>
      <c r="W3" s="28">
        <v>32875.769999999997</v>
      </c>
      <c r="Y3" s="91" t="s">
        <v>91</v>
      </c>
      <c r="Z3" s="133">
        <v>36963.58</v>
      </c>
      <c r="AB3" s="91" t="s">
        <v>91</v>
      </c>
      <c r="AC3" s="133">
        <v>35265.339999999997</v>
      </c>
      <c r="AE3" s="91" t="s">
        <v>91</v>
      </c>
      <c r="AF3" s="137">
        <v>38722.99</v>
      </c>
      <c r="AH3" s="91" t="s">
        <v>91</v>
      </c>
      <c r="AI3" s="18">
        <v>35769.94</v>
      </c>
      <c r="AK3" s="91" t="s">
        <v>91</v>
      </c>
      <c r="AL3" s="18">
        <v>37418.15</v>
      </c>
      <c r="AN3" s="91" t="s">
        <v>91</v>
      </c>
      <c r="AO3" s="18"/>
    </row>
    <row r="4" spans="1:41">
      <c r="A4" s="14" t="s">
        <v>26</v>
      </c>
      <c r="B4" s="18">
        <v>31801.01</v>
      </c>
      <c r="D4" s="14" t="s">
        <v>26</v>
      </c>
      <c r="E4" s="18">
        <v>27741.7</v>
      </c>
      <c r="G4" s="14" t="s">
        <v>26</v>
      </c>
      <c r="H4" s="18">
        <v>39596.370000000003</v>
      </c>
      <c r="J4" s="14" t="s">
        <v>26</v>
      </c>
      <c r="K4" s="31">
        <v>27588.74</v>
      </c>
      <c r="M4" s="14" t="s">
        <v>26</v>
      </c>
      <c r="N4" s="18">
        <v>26130.28</v>
      </c>
      <c r="P4" s="14" t="s">
        <v>26</v>
      </c>
      <c r="Q4" s="18">
        <v>28507.45</v>
      </c>
      <c r="S4" s="91" t="s">
        <v>92</v>
      </c>
      <c r="T4" s="92">
        <v>6508.1</v>
      </c>
      <c r="V4" s="91" t="s">
        <v>92</v>
      </c>
      <c r="W4" s="28">
        <v>6954.5</v>
      </c>
      <c r="Y4" s="91" t="s">
        <v>92</v>
      </c>
      <c r="Z4" s="28">
        <v>9298.98</v>
      </c>
      <c r="AB4" s="91" t="s">
        <v>92</v>
      </c>
      <c r="AC4" s="28">
        <v>6927.77</v>
      </c>
      <c r="AE4" s="91" t="s">
        <v>92</v>
      </c>
      <c r="AF4" s="137">
        <v>7505.52</v>
      </c>
      <c r="AH4" s="91" t="s">
        <v>92</v>
      </c>
      <c r="AI4" s="18">
        <v>7551.75</v>
      </c>
      <c r="AK4" s="91" t="s">
        <v>92</v>
      </c>
      <c r="AL4" s="18">
        <v>7441.7</v>
      </c>
      <c r="AN4" s="91" t="s">
        <v>92</v>
      </c>
      <c r="AO4" s="18"/>
    </row>
    <row r="5" spans="1:41">
      <c r="A5" s="14" t="s">
        <v>27</v>
      </c>
      <c r="B5" s="18">
        <v>6475.11</v>
      </c>
      <c r="D5" s="14" t="s">
        <v>27</v>
      </c>
      <c r="E5" s="18">
        <v>6475.1</v>
      </c>
      <c r="G5" s="14" t="s">
        <v>27</v>
      </c>
      <c r="H5" s="18">
        <v>10548.36</v>
      </c>
      <c r="J5" s="14" t="s">
        <v>27</v>
      </c>
      <c r="K5" s="31">
        <v>6475.1</v>
      </c>
      <c r="M5" s="14" t="s">
        <v>27</v>
      </c>
      <c r="N5" s="18">
        <v>6508.1</v>
      </c>
      <c r="P5" s="14" t="s">
        <v>27</v>
      </c>
      <c r="Q5" s="18">
        <v>6508.1</v>
      </c>
      <c r="S5" s="91" t="s">
        <v>93</v>
      </c>
      <c r="T5" s="92">
        <v>6396.37</v>
      </c>
      <c r="V5" s="91" t="s">
        <v>93</v>
      </c>
      <c r="W5" s="28">
        <v>6402.41</v>
      </c>
      <c r="Y5" s="91" t="s">
        <v>93</v>
      </c>
      <c r="Z5" s="28">
        <v>6439.69</v>
      </c>
      <c r="AB5" s="91" t="s">
        <v>93</v>
      </c>
      <c r="AC5" s="28">
        <v>6745.52</v>
      </c>
      <c r="AE5" s="91" t="s">
        <v>93</v>
      </c>
      <c r="AF5" s="137">
        <v>7342.01</v>
      </c>
      <c r="AH5" s="91" t="s">
        <v>93</v>
      </c>
      <c r="AI5" s="18">
        <v>6886.58</v>
      </c>
      <c r="AK5" s="91" t="s">
        <v>93</v>
      </c>
      <c r="AL5" s="18">
        <v>7958.65</v>
      </c>
      <c r="AN5" s="91" t="s">
        <v>93</v>
      </c>
      <c r="AO5" s="18"/>
    </row>
    <row r="6" spans="1:41">
      <c r="A6" s="14" t="s">
        <v>28</v>
      </c>
      <c r="B6" s="18">
        <v>6878.8</v>
      </c>
      <c r="D6" s="14" t="s">
        <v>28</v>
      </c>
      <c r="E6" s="18">
        <v>6363.37</v>
      </c>
      <c r="G6" s="14" t="s">
        <v>28</v>
      </c>
      <c r="H6" s="18">
        <v>12523.89</v>
      </c>
      <c r="J6" s="14" t="s">
        <v>28</v>
      </c>
      <c r="K6" s="31">
        <v>4614.92</v>
      </c>
      <c r="M6" s="14" t="s">
        <v>28</v>
      </c>
      <c r="N6" s="18">
        <v>6522.68</v>
      </c>
      <c r="P6" s="14" t="s">
        <v>28</v>
      </c>
      <c r="Q6" s="18">
        <v>6396.37</v>
      </c>
      <c r="S6" s="91" t="s">
        <v>94</v>
      </c>
      <c r="T6" s="92">
        <v>3160</v>
      </c>
      <c r="V6" s="91" t="s">
        <v>94</v>
      </c>
      <c r="W6" s="28">
        <v>3160</v>
      </c>
      <c r="Y6" s="91" t="s">
        <v>94</v>
      </c>
      <c r="Z6" s="28">
        <v>3160</v>
      </c>
      <c r="AB6" s="91" t="s">
        <v>94</v>
      </c>
      <c r="AC6" s="28">
        <v>3160</v>
      </c>
      <c r="AE6" s="91" t="s">
        <v>95</v>
      </c>
      <c r="AF6" s="137">
        <v>8430.2999999999993</v>
      </c>
      <c r="AH6" s="91" t="s">
        <v>95</v>
      </c>
      <c r="AI6" s="18">
        <v>7974.87</v>
      </c>
      <c r="AK6" s="91" t="s">
        <v>95</v>
      </c>
      <c r="AL6" s="18">
        <v>7986.45</v>
      </c>
      <c r="AN6" s="91" t="s">
        <v>95</v>
      </c>
      <c r="AO6" s="18"/>
    </row>
    <row r="7" spans="1:41">
      <c r="A7" s="14" t="s">
        <v>29</v>
      </c>
      <c r="B7" s="18">
        <v>10340.59</v>
      </c>
      <c r="D7" s="14" t="s">
        <v>29</v>
      </c>
      <c r="E7" s="18">
        <v>6976.76</v>
      </c>
      <c r="G7" s="14" t="s">
        <v>29</v>
      </c>
      <c r="H7" s="18">
        <v>10890.4</v>
      </c>
      <c r="J7" s="14" t="s">
        <v>29</v>
      </c>
      <c r="K7" s="31">
        <v>7690.83</v>
      </c>
      <c r="M7" s="14" t="s">
        <v>29</v>
      </c>
      <c r="N7" s="18">
        <v>7050.47</v>
      </c>
      <c r="P7" s="14" t="s">
        <v>29</v>
      </c>
      <c r="Q7" s="18">
        <v>7461.49</v>
      </c>
      <c r="S7" s="91" t="s">
        <v>95</v>
      </c>
      <c r="T7" s="92">
        <v>7938.13</v>
      </c>
      <c r="V7" s="91" t="s">
        <v>95</v>
      </c>
      <c r="W7" s="28">
        <v>7834.08</v>
      </c>
      <c r="Y7" s="91" t="s">
        <v>95</v>
      </c>
      <c r="Z7" s="28">
        <v>8407.9</v>
      </c>
      <c r="AB7" s="91" t="s">
        <v>95</v>
      </c>
      <c r="AC7" s="28">
        <v>8942.89</v>
      </c>
      <c r="AE7" s="91" t="s">
        <v>94</v>
      </c>
      <c r="AF7" s="137">
        <v>3160</v>
      </c>
      <c r="AH7" s="91" t="s">
        <v>94</v>
      </c>
      <c r="AI7" s="18">
        <v>3160</v>
      </c>
      <c r="AK7" s="91" t="s">
        <v>94</v>
      </c>
      <c r="AL7" s="18">
        <v>3160</v>
      </c>
      <c r="AN7" s="91" t="s">
        <v>94</v>
      </c>
      <c r="AO7" s="18"/>
    </row>
    <row r="8" spans="1:41">
      <c r="A8" s="14" t="s">
        <v>30</v>
      </c>
      <c r="B8" s="18">
        <v>3000</v>
      </c>
      <c r="D8" s="14" t="s">
        <v>30</v>
      </c>
      <c r="E8" s="18">
        <v>3000</v>
      </c>
      <c r="G8" s="14" t="s">
        <v>30</v>
      </c>
      <c r="H8" s="18">
        <v>3160</v>
      </c>
      <c r="J8" s="14" t="s">
        <v>30</v>
      </c>
      <c r="K8" s="31">
        <v>3160</v>
      </c>
      <c r="M8" s="14" t="s">
        <v>30</v>
      </c>
      <c r="N8" s="18">
        <v>3160</v>
      </c>
      <c r="P8" s="14" t="s">
        <v>30</v>
      </c>
      <c r="Q8" s="18">
        <v>3160</v>
      </c>
      <c r="S8" s="91" t="s">
        <v>96</v>
      </c>
      <c r="T8" s="92">
        <v>22000</v>
      </c>
      <c r="V8" s="91" t="s">
        <v>96</v>
      </c>
      <c r="W8" s="28">
        <v>22000</v>
      </c>
      <c r="Y8" s="131" t="s">
        <v>119</v>
      </c>
      <c r="Z8" s="132">
        <v>16133.33</v>
      </c>
      <c r="AB8" s="131" t="s">
        <v>118</v>
      </c>
      <c r="AC8" s="28">
        <v>12600</v>
      </c>
      <c r="AE8" s="91" t="s">
        <v>118</v>
      </c>
      <c r="AF8" s="137">
        <v>0</v>
      </c>
      <c r="AH8" s="91" t="s">
        <v>118</v>
      </c>
      <c r="AI8" s="18">
        <v>0</v>
      </c>
      <c r="AK8" s="91" t="s">
        <v>118</v>
      </c>
      <c r="AL8" s="18">
        <v>0</v>
      </c>
      <c r="AN8" s="91" t="s">
        <v>118</v>
      </c>
      <c r="AO8" s="18">
        <v>0</v>
      </c>
    </row>
    <row r="9" spans="1:41">
      <c r="A9" s="14" t="s">
        <v>61</v>
      </c>
      <c r="B9" s="18">
        <v>22000</v>
      </c>
      <c r="D9" s="14" t="s">
        <v>61</v>
      </c>
      <c r="E9" s="18">
        <v>22000</v>
      </c>
      <c r="G9" s="14" t="s">
        <v>61</v>
      </c>
      <c r="H9" s="18">
        <v>22000</v>
      </c>
      <c r="J9" s="14" t="s">
        <v>61</v>
      </c>
      <c r="K9" s="31">
        <v>22000</v>
      </c>
      <c r="M9" s="14" t="s">
        <v>61</v>
      </c>
      <c r="N9" s="18">
        <v>22000</v>
      </c>
      <c r="P9" s="14" t="s">
        <v>61</v>
      </c>
      <c r="Q9" s="18">
        <v>22000</v>
      </c>
      <c r="S9" s="91" t="s">
        <v>97</v>
      </c>
      <c r="T9" s="92">
        <v>14900</v>
      </c>
      <c r="V9" s="91" t="s">
        <v>97</v>
      </c>
      <c r="W9" s="28">
        <v>14900</v>
      </c>
      <c r="Y9" s="91" t="s">
        <v>97</v>
      </c>
      <c r="Z9" s="28">
        <v>14900</v>
      </c>
      <c r="AB9" s="91" t="s">
        <v>97</v>
      </c>
      <c r="AC9" s="30">
        <v>14900</v>
      </c>
      <c r="AE9" s="91" t="s">
        <v>97</v>
      </c>
      <c r="AF9" s="137">
        <v>14900</v>
      </c>
      <c r="AH9" s="91" t="s">
        <v>97</v>
      </c>
      <c r="AI9" s="18">
        <v>14900</v>
      </c>
      <c r="AK9" s="91" t="s">
        <v>97</v>
      </c>
      <c r="AL9" s="18">
        <v>14900</v>
      </c>
      <c r="AN9" s="91" t="s">
        <v>97</v>
      </c>
      <c r="AO9" s="18"/>
    </row>
    <row r="10" spans="1:41">
      <c r="A10" s="14" t="s">
        <v>62</v>
      </c>
      <c r="B10" s="18">
        <v>14900</v>
      </c>
      <c r="D10" s="14" t="s">
        <v>62</v>
      </c>
      <c r="E10" s="18">
        <v>14900</v>
      </c>
      <c r="G10" s="14" t="s">
        <v>62</v>
      </c>
      <c r="H10" s="18">
        <v>14900</v>
      </c>
      <c r="J10" s="14" t="s">
        <v>62</v>
      </c>
      <c r="K10" s="18">
        <v>14900</v>
      </c>
      <c r="M10" s="14" t="s">
        <v>62</v>
      </c>
      <c r="N10" s="18">
        <v>14900</v>
      </c>
      <c r="P10" s="14" t="s">
        <v>62</v>
      </c>
      <c r="Q10" s="18">
        <v>14900</v>
      </c>
    </row>
    <row r="11" spans="1:41">
      <c r="P11" t="s">
        <v>89</v>
      </c>
      <c r="Q11" s="86">
        <v>12000</v>
      </c>
      <c r="Y11" s="13" t="s">
        <v>83</v>
      </c>
    </row>
  </sheetData>
  <mergeCells count="14">
    <mergeCell ref="AK1:AL1"/>
    <mergeCell ref="AN1:AO1"/>
    <mergeCell ref="AH1:AI1"/>
    <mergeCell ref="AE1:AF1"/>
    <mergeCell ref="A1:B1"/>
    <mergeCell ref="D1:E1"/>
    <mergeCell ref="G1:H1"/>
    <mergeCell ref="J1:K1"/>
    <mergeCell ref="M1:N1"/>
    <mergeCell ref="Y1:Z1"/>
    <mergeCell ref="AB1:AC1"/>
    <mergeCell ref="V1:W1"/>
    <mergeCell ref="S1:T1"/>
    <mergeCell ref="P1:Q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40</vt:i4>
      </vt:variant>
    </vt:vector>
  </HeadingPairs>
  <TitlesOfParts>
    <vt:vector size="40" baseType="lpstr">
      <vt:lpstr>INCC - DI</vt:lpstr>
      <vt:lpstr>INCC - M</vt:lpstr>
      <vt:lpstr>Croma R02</vt:lpstr>
      <vt:lpstr>Unna R02</vt:lpstr>
      <vt:lpstr>Unna R02 - Reorç</vt:lpstr>
      <vt:lpstr>Qoya R01</vt:lpstr>
      <vt:lpstr>Nizza</vt:lpstr>
      <vt:lpstr>Lior</vt:lpstr>
      <vt:lpstr>Amíz</vt:lpstr>
      <vt:lpstr>Poty</vt:lpstr>
      <vt:lpstr>Qoya</vt:lpstr>
      <vt:lpstr>Unna</vt:lpstr>
      <vt:lpstr>Unna R01</vt:lpstr>
      <vt:lpstr>Vivere</vt:lpstr>
      <vt:lpstr>Croma</vt:lpstr>
      <vt:lpstr>Croma R01</vt:lpstr>
      <vt:lpstr>Reserva Amati</vt:lpstr>
      <vt:lpstr>PDV Alberi</vt:lpstr>
      <vt:lpstr>Alberi</vt:lpstr>
      <vt:lpstr>Hall Design</vt:lpstr>
      <vt:lpstr>Varanda PMG</vt:lpstr>
      <vt:lpstr>Ristreto</vt:lpstr>
      <vt:lpstr>Pace</vt:lpstr>
      <vt:lpstr>Ícaro</vt:lpstr>
      <vt:lpstr>Aretha</vt:lpstr>
      <vt:lpstr>Varanda ADM</vt:lpstr>
      <vt:lpstr>Posto Campo Largo</vt:lpstr>
      <vt:lpstr>Solenne</vt:lpstr>
      <vt:lpstr>Origens</vt:lpstr>
      <vt:lpstr>Comporta Demolição</vt:lpstr>
      <vt:lpstr>Shopping</vt:lpstr>
      <vt:lpstr>Vizione</vt:lpstr>
      <vt:lpstr>PDV Buenos Aires</vt:lpstr>
      <vt:lpstr>Manacás</vt:lpstr>
      <vt:lpstr>Reforma Nova Frota</vt:lpstr>
      <vt:lpstr>GLB</vt:lpstr>
      <vt:lpstr>Platea</vt:lpstr>
      <vt:lpstr>Centro de Eventos Unna</vt:lpstr>
      <vt:lpstr>Shopping Reforma</vt:lpstr>
      <vt:lpstr>Assistência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Perussolo</dc:creator>
  <cp:lastModifiedBy>Luiz Perussolo</cp:lastModifiedBy>
  <dcterms:created xsi:type="dcterms:W3CDTF">2023-10-06T17:25:22Z</dcterms:created>
  <dcterms:modified xsi:type="dcterms:W3CDTF">2026-07-23T10:41:47Z</dcterms:modified>
</cp:coreProperties>
</file>