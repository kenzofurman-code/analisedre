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codeName="EstaPasta_de_trabalho" defaultThemeVersion="124226"/>
  <xr:revisionPtr revIDLastSave="0" documentId="13_ncr:1_{8166BDAC-D206-4692-B17A-63A8EFA13006}" xr6:coauthVersionLast="47" xr6:coauthVersionMax="47" xr10:uidLastSave="{00000000-0000-0000-0000-000000000000}"/>
  <bookViews>
    <workbookView xWindow="-108" yWindow="-108" windowWidth="30936" windowHeight="16776" tabRatio="818" firstSheet="4" activeTab="4" xr2:uid="{00000000-000D-0000-FFFF-FFFF00000000}"/>
  </bookViews>
  <sheets>
    <sheet name="Riscos-CANTU" sheetId="17" state="hidden" r:id="rId1"/>
    <sheet name="Ações-Riscos-CANTU" sheetId="18" state="hidden" r:id="rId2"/>
    <sheet name="Oportunidades-CANTU" sheetId="19" state="hidden" r:id="rId3"/>
    <sheet name="Ações - Oportunidades-CANTU" sheetId="20" state="hidden" r:id="rId4"/>
    <sheet name="Viabilidade" sheetId="22" r:id="rId5"/>
    <sheet name="Classificação" sheetId="14" state="hidden" r:id="rId6"/>
    <sheet name="Gráfico" sheetId="7" state="hidden" r:id="rId7"/>
  </sheets>
  <externalReferences>
    <externalReference r:id="rId8"/>
  </externalReferences>
  <definedNames>
    <definedName name="_xlnm.Print_Area" localSheetId="3">'Ações - Oportunidades-CANTU'!$B$2:$J$49</definedName>
    <definedName name="_xlnm.Print_Area" localSheetId="1">'Ações-Riscos-CANTU'!$B$2:$K$45</definedName>
    <definedName name="_xlnm.Print_Area" localSheetId="6">Gráfico!$E$1:$U$27</definedName>
    <definedName name="_xlnm.Print_Area" localSheetId="2">'Oportunidades-CANTU'!$B$2:$AT$29</definedName>
    <definedName name="_xlnm.Print_Area" localSheetId="0">'Riscos-CANTU'!$B$2:$AS$27</definedName>
    <definedName name="Estratégias" localSheetId="3">[1]Estratégias!$A$2:$A$5</definedName>
    <definedName name="Estratégias" localSheetId="1">[1]Estratégias!$A$2:$A$5</definedName>
    <definedName name="Estratégias" localSheetId="2">[1]Estratégias!$A$2:$A$5</definedName>
    <definedName name="Estratégias" localSheetId="0">[1]Estratégias!$A$2:$A$5</definedName>
    <definedName name="Estratégias">#REF!</definedName>
    <definedName name="EstrategiasOport" localSheetId="3">[1]Estratégias!$D$2:$D$5</definedName>
    <definedName name="EstrategiasOport" localSheetId="1">[1]Estratégias!$D$2:$D$5</definedName>
    <definedName name="EstrategiasOport" localSheetId="2">[1]Estratégias!$D$2:$D$5</definedName>
    <definedName name="EstrategiasOport" localSheetId="0">[1]Estratégias!$D$2:$D$5</definedName>
    <definedName name="EstrategiasO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 i="22" l="1"/>
  <c r="W1" i="22"/>
  <c r="V1" i="22"/>
  <c r="U1" i="22"/>
  <c r="T1" i="22"/>
  <c r="S1" i="22"/>
  <c r="R1" i="22"/>
  <c r="Q1" i="22"/>
  <c r="P1" i="22"/>
  <c r="O1" i="22"/>
  <c r="N1" i="22"/>
  <c r="M1" i="22"/>
  <c r="L1" i="22"/>
  <c r="K1" i="22"/>
  <c r="J1" i="22"/>
  <c r="I1" i="22"/>
  <c r="H1" i="22"/>
  <c r="G1" i="22"/>
  <c r="F1" i="22"/>
  <c r="E1" i="22"/>
  <c r="Y15" i="22"/>
  <c r="Y8" i="22"/>
  <c r="Y6" i="22"/>
  <c r="E13" i="22"/>
  <c r="F13" i="22" s="1"/>
  <c r="E5" i="22"/>
  <c r="F5" i="22" s="1"/>
  <c r="G5" i="22" s="1"/>
  <c r="H5" i="22" s="1"/>
  <c r="I5" i="22" s="1"/>
  <c r="J5" i="22" s="1"/>
  <c r="K5" i="22" s="1"/>
  <c r="L5" i="22" s="1"/>
  <c r="M5" i="22" s="1"/>
  <c r="N5" i="22" s="1"/>
  <c r="O5" i="22" s="1"/>
  <c r="P5" i="22" s="1"/>
  <c r="Q5" i="22" s="1"/>
  <c r="R5" i="22" s="1"/>
  <c r="S5" i="22" s="1"/>
  <c r="T5" i="22" s="1"/>
  <c r="U5" i="22" s="1"/>
  <c r="V5" i="22" s="1"/>
  <c r="W5" i="22" s="1"/>
  <c r="X5" i="22" s="1"/>
  <c r="C4" i="22"/>
  <c r="C3" i="22"/>
  <c r="E15" i="22" s="1"/>
  <c r="F15" i="22" s="1"/>
  <c r="G15" i="22" s="1"/>
  <c r="H15" i="22" s="1"/>
  <c r="I15" i="22" s="1"/>
  <c r="J15" i="22" s="1"/>
  <c r="K15" i="22" s="1"/>
  <c r="L15" i="22" s="1"/>
  <c r="M15" i="22" s="1"/>
  <c r="N15" i="22" s="1"/>
  <c r="O15" i="22" s="1"/>
  <c r="P15" i="22" s="1"/>
  <c r="Q15" i="22" s="1"/>
  <c r="R15" i="22" s="1"/>
  <c r="S15" i="22" s="1"/>
  <c r="T15" i="22" s="1"/>
  <c r="U15" i="22" s="1"/>
  <c r="V15" i="22" s="1"/>
  <c r="W15" i="22" s="1"/>
  <c r="X15" i="22" s="1"/>
  <c r="C8" i="22"/>
  <c r="X8" i="22" s="1"/>
  <c r="C6" i="22"/>
  <c r="Y21" i="22" l="1"/>
  <c r="Y7" i="22"/>
  <c r="Y26" i="22" s="1"/>
  <c r="G13" i="22"/>
  <c r="H13" i="22" s="1"/>
  <c r="I13" i="22" s="1"/>
  <c r="J13" i="22" s="1"/>
  <c r="AA15" i="22"/>
  <c r="Z15" i="22"/>
  <c r="X6" i="22"/>
  <c r="AA6" i="22" s="1"/>
  <c r="Z6" i="22"/>
  <c r="E11" i="22"/>
  <c r="F11" i="22" s="1"/>
  <c r="C43" i="22"/>
  <c r="F12" i="22"/>
  <c r="C42" i="22"/>
  <c r="C38" i="22"/>
  <c r="E14" i="22"/>
  <c r="E10" i="22"/>
  <c r="Y19" i="22" l="1"/>
  <c r="G12" i="22"/>
  <c r="H12" i="22" s="1"/>
  <c r="G11" i="22"/>
  <c r="H11" i="22" s="1"/>
  <c r="I11" i="22" s="1"/>
  <c r="J11" i="22" s="1"/>
  <c r="K11" i="22" s="1"/>
  <c r="L11" i="22" s="1"/>
  <c r="M11" i="22" s="1"/>
  <c r="N11" i="22" s="1"/>
  <c r="O11" i="22" s="1"/>
  <c r="P11" i="22" s="1"/>
  <c r="Q11" i="22" s="1"/>
  <c r="R11" i="22" s="1"/>
  <c r="S11" i="22" s="1"/>
  <c r="T11" i="22" s="1"/>
  <c r="U11" i="22" s="1"/>
  <c r="V11" i="22" s="1"/>
  <c r="W11" i="22" s="1"/>
  <c r="X11" i="22" s="1"/>
  <c r="Y11" i="22" s="1"/>
  <c r="C37" i="22"/>
  <c r="D38" i="22" s="1"/>
  <c r="C39" i="22"/>
  <c r="C41" i="22"/>
  <c r="D42" i="22" s="1"/>
  <c r="AA11" i="22" l="1"/>
  <c r="Z11" i="22"/>
  <c r="F16" i="22"/>
  <c r="F14" i="22"/>
  <c r="J12" i="22"/>
  <c r="F10" i="22"/>
  <c r="X3" i="22"/>
  <c r="C25" i="22"/>
  <c r="AA25" i="22" s="1"/>
  <c r="G10" i="22" l="1"/>
  <c r="H10" i="22" s="1"/>
  <c r="I10" i="22" s="1"/>
  <c r="J10" i="22" s="1"/>
  <c r="K10" i="22" s="1"/>
  <c r="L10" i="22" s="1"/>
  <c r="M10" i="22" s="1"/>
  <c r="N10" i="22" s="1"/>
  <c r="O10" i="22" s="1"/>
  <c r="P10" i="22" s="1"/>
  <c r="K12" i="22"/>
  <c r="L12" i="22" s="1"/>
  <c r="M12" i="22" s="1"/>
  <c r="N12" i="22" s="1"/>
  <c r="O12" i="22" s="1"/>
  <c r="P12" i="22" s="1"/>
  <c r="Q12" i="22" s="1"/>
  <c r="R12" i="22" s="1"/>
  <c r="S12" i="22" s="1"/>
  <c r="T12" i="22" s="1"/>
  <c r="U12" i="22" s="1"/>
  <c r="V12" i="22" s="1"/>
  <c r="W12" i="22" s="1"/>
  <c r="X12" i="22" s="1"/>
  <c r="Y12" i="22" s="1"/>
  <c r="G16" i="22"/>
  <c r="H16" i="22" s="1"/>
  <c r="I16" i="22" s="1"/>
  <c r="J16" i="22" s="1"/>
  <c r="K16" i="22" s="1"/>
  <c r="L16" i="22" s="1"/>
  <c r="M16" i="22" s="1"/>
  <c r="N16" i="22" s="1"/>
  <c r="O16" i="22" s="1"/>
  <c r="P16" i="22" s="1"/>
  <c r="Q16" i="22" s="1"/>
  <c r="R16" i="22" s="1"/>
  <c r="S16" i="22" s="1"/>
  <c r="T16" i="22" s="1"/>
  <c r="U16" i="22" s="1"/>
  <c r="V16" i="22" s="1"/>
  <c r="W16" i="22" s="1"/>
  <c r="X16" i="22" s="1"/>
  <c r="Y16" i="22" s="1"/>
  <c r="G14" i="22"/>
  <c r="H14" i="22" s="1"/>
  <c r="I14" i="22" s="1"/>
  <c r="J14" i="22" s="1"/>
  <c r="K14" i="22" s="1"/>
  <c r="L14" i="22" s="1"/>
  <c r="M14" i="22" s="1"/>
  <c r="N14" i="22" s="1"/>
  <c r="O14" i="22" s="1"/>
  <c r="P14" i="22" s="1"/>
  <c r="Q14" i="22" s="1"/>
  <c r="R14" i="22" s="1"/>
  <c r="S14" i="22" s="1"/>
  <c r="T14" i="22" s="1"/>
  <c r="U14" i="22" s="1"/>
  <c r="V14" i="22" s="1"/>
  <c r="W14" i="22" s="1"/>
  <c r="X14" i="22" s="1"/>
  <c r="Y14" i="22" s="1"/>
  <c r="K13" i="22"/>
  <c r="X21" i="22"/>
  <c r="X7" i="22"/>
  <c r="X19" i="22" s="1"/>
  <c r="W3" i="22"/>
  <c r="R3" i="22"/>
  <c r="Q3" i="22"/>
  <c r="P3" i="22"/>
  <c r="T3" i="22"/>
  <c r="O3" i="22"/>
  <c r="V3" i="22"/>
  <c r="N3" i="22"/>
  <c r="U3" i="22"/>
  <c r="S3" i="22"/>
  <c r="Z25" i="22"/>
  <c r="AA12" i="22" l="1"/>
  <c r="Z12" i="22"/>
  <c r="L13" i="22"/>
  <c r="M13" i="22" s="1"/>
  <c r="N13" i="22" s="1"/>
  <c r="O13" i="22" s="1"/>
  <c r="P13" i="22" s="1"/>
  <c r="Q13" i="22" s="1"/>
  <c r="R13" i="22" s="1"/>
  <c r="S13" i="22" s="1"/>
  <c r="T13" i="22" s="1"/>
  <c r="U13" i="22" s="1"/>
  <c r="V13" i="22" s="1"/>
  <c r="W13" i="22" s="1"/>
  <c r="X13" i="22" s="1"/>
  <c r="Y13" i="22" s="1"/>
  <c r="AA14" i="22"/>
  <c r="AA16" i="22"/>
  <c r="Z16" i="22"/>
  <c r="Z14" i="22"/>
  <c r="T7" i="22"/>
  <c r="T19" i="22" s="1"/>
  <c r="T21" i="22"/>
  <c r="V7" i="22"/>
  <c r="V19" i="22" s="1"/>
  <c r="V21" i="22"/>
  <c r="O21" i="22"/>
  <c r="O7" i="22"/>
  <c r="P21" i="22"/>
  <c r="P7" i="22"/>
  <c r="P19" i="22" s="1"/>
  <c r="Q21" i="22"/>
  <c r="Q7" i="22"/>
  <c r="Q19" i="22" s="1"/>
  <c r="S7" i="22"/>
  <c r="S19" i="22" s="1"/>
  <c r="S21" i="22"/>
  <c r="R7" i="22"/>
  <c r="R19" i="22" s="1"/>
  <c r="R21" i="22"/>
  <c r="U7" i="22"/>
  <c r="U19" i="22" s="1"/>
  <c r="U21" i="22"/>
  <c r="W21" i="22"/>
  <c r="W7" i="22"/>
  <c r="W19" i="22" s="1"/>
  <c r="N21" i="22"/>
  <c r="N7" i="22"/>
  <c r="N19" i="22" s="1"/>
  <c r="N9" i="22"/>
  <c r="Q10" i="22"/>
  <c r="O26" i="22" l="1"/>
  <c r="O19" i="22"/>
  <c r="AA13" i="22"/>
  <c r="Z13" i="22"/>
  <c r="N17" i="22"/>
  <c r="N18" i="22" s="1"/>
  <c r="N26" i="22"/>
  <c r="N20" i="22"/>
  <c r="P9" i="22"/>
  <c r="O9" i="22"/>
  <c r="R10" i="22"/>
  <c r="Q9" i="22"/>
  <c r="Q17" i="22" l="1"/>
  <c r="Q18" i="22" s="1"/>
  <c r="O17" i="22"/>
  <c r="O18" i="22" s="1"/>
  <c r="P17" i="22"/>
  <c r="P18" i="22" s="1"/>
  <c r="P26" i="22"/>
  <c r="O20" i="22"/>
  <c r="P20" i="22"/>
  <c r="S10" i="22"/>
  <c r="R9" i="22"/>
  <c r="R17" i="22" l="1"/>
  <c r="R18" i="22" s="1"/>
  <c r="Q20" i="22"/>
  <c r="R26" i="22"/>
  <c r="Q26" i="22"/>
  <c r="S9" i="22"/>
  <c r="T10" i="22"/>
  <c r="S17" i="22" l="1"/>
  <c r="S18" i="22" s="1"/>
  <c r="R20" i="22"/>
  <c r="T9" i="22"/>
  <c r="U10" i="22"/>
  <c r="T17" i="22" l="1"/>
  <c r="T18" i="22" s="1"/>
  <c r="S26" i="22"/>
  <c r="T26" i="22"/>
  <c r="S20" i="22"/>
  <c r="V10" i="22"/>
  <c r="U9" i="22"/>
  <c r="U17" i="22" l="1"/>
  <c r="U18" i="22" s="1"/>
  <c r="T20" i="22"/>
  <c r="V9" i="22"/>
  <c r="W10" i="22"/>
  <c r="V17" i="22" l="1"/>
  <c r="V18" i="22" s="1"/>
  <c r="V26" i="22"/>
  <c r="U26" i="22"/>
  <c r="U20" i="22"/>
  <c r="X10" i="22"/>
  <c r="Y10" i="22" s="1"/>
  <c r="Y9" i="22" s="1"/>
  <c r="W9" i="22"/>
  <c r="Y20" i="22" l="1"/>
  <c r="Y22" i="22" s="1"/>
  <c r="Y23" i="22" s="1"/>
  <c r="Y17" i="22"/>
  <c r="Y18" i="22" s="1"/>
  <c r="W17" i="22"/>
  <c r="W18" i="22" s="1"/>
  <c r="X9" i="22"/>
  <c r="AA10" i="22"/>
  <c r="Z10" i="22"/>
  <c r="V20" i="22"/>
  <c r="X17" i="22" l="1"/>
  <c r="X18" i="22" s="1"/>
  <c r="W26" i="22"/>
  <c r="W20" i="22"/>
  <c r="AA5" i="22"/>
  <c r="Z5" i="22"/>
  <c r="X26" i="22" l="1"/>
  <c r="X20" i="22"/>
  <c r="K9" i="22"/>
  <c r="J9" i="22"/>
  <c r="H9" i="22"/>
  <c r="L9" i="22"/>
  <c r="E9" i="22"/>
  <c r="M3" i="22"/>
  <c r="L3" i="22"/>
  <c r="K3" i="22"/>
  <c r="J3" i="22"/>
  <c r="I3" i="22"/>
  <c r="H3" i="22"/>
  <c r="G3" i="22"/>
  <c r="F3" i="22"/>
  <c r="E3" i="22"/>
  <c r="F21" i="22" l="1"/>
  <c r="F7" i="22"/>
  <c r="F19" i="22" s="1"/>
  <c r="I7" i="22"/>
  <c r="I19" i="22" s="1"/>
  <c r="I21" i="22"/>
  <c r="J21" i="22"/>
  <c r="J7" i="22"/>
  <c r="J19" i="22" s="1"/>
  <c r="G21" i="22"/>
  <c r="G7" i="22"/>
  <c r="G19" i="22" s="1"/>
  <c r="H7" i="22"/>
  <c r="H17" i="22" s="1"/>
  <c r="H18" i="22" s="1"/>
  <c r="H21" i="22"/>
  <c r="K7" i="22"/>
  <c r="K17" i="22" s="1"/>
  <c r="K18" i="22" s="1"/>
  <c r="K21" i="22"/>
  <c r="L7" i="22"/>
  <c r="L21" i="22"/>
  <c r="E21" i="22"/>
  <c r="E7" i="22"/>
  <c r="E26" i="22" s="1"/>
  <c r="M21" i="22"/>
  <c r="M7" i="22"/>
  <c r="M19" i="22" s="1"/>
  <c r="M9" i="22"/>
  <c r="AA3" i="22"/>
  <c r="Z3" i="22"/>
  <c r="I9" i="22"/>
  <c r="G9" i="22"/>
  <c r="F9" i="22"/>
  <c r="H19" i="22" l="1"/>
  <c r="J17" i="22"/>
  <c r="J18" i="22" s="1"/>
  <c r="K19" i="22"/>
  <c r="K26" i="22"/>
  <c r="D1" i="22"/>
  <c r="H26" i="22"/>
  <c r="L17" i="22"/>
  <c r="L18" i="22" s="1"/>
  <c r="E17" i="22"/>
  <c r="E18" i="22" s="1"/>
  <c r="L19" i="22"/>
  <c r="L20" i="22" s="1"/>
  <c r="L22" i="22" s="1"/>
  <c r="L23" i="22" s="1"/>
  <c r="E19" i="22"/>
  <c r="F17" i="22"/>
  <c r="F18" i="22" s="1"/>
  <c r="G17" i="22"/>
  <c r="G18" i="22" s="1"/>
  <c r="I17" i="22"/>
  <c r="I18" i="22" s="1"/>
  <c r="M17" i="22"/>
  <c r="M18" i="22" s="1"/>
  <c r="G26" i="22"/>
  <c r="J26" i="22"/>
  <c r="F26" i="22"/>
  <c r="M26" i="22"/>
  <c r="G20" i="22"/>
  <c r="G22" i="22" s="1"/>
  <c r="G23" i="22" s="1"/>
  <c r="I26" i="22"/>
  <c r="J20" i="22"/>
  <c r="L26" i="22"/>
  <c r="F20" i="22"/>
  <c r="F22" i="22" s="1"/>
  <c r="F23" i="22" s="1"/>
  <c r="H20" i="22"/>
  <c r="H22" i="22" s="1"/>
  <c r="H23" i="22" s="1"/>
  <c r="K20" i="22"/>
  <c r="K22" i="22" s="1"/>
  <c r="K23" i="22" s="1"/>
  <c r="I20" i="22"/>
  <c r="I22" i="22" s="1"/>
  <c r="I23" i="22" s="1"/>
  <c r="M20" i="22"/>
  <c r="M22" i="22" s="1"/>
  <c r="M23" i="22" s="1"/>
  <c r="C21" i="22"/>
  <c r="C9" i="22"/>
  <c r="Q22" i="22"/>
  <c r="Q23" i="22" s="1"/>
  <c r="S22" i="22"/>
  <c r="S23" i="22" s="1"/>
  <c r="X22" i="22"/>
  <c r="X23" i="22" s="1"/>
  <c r="AA8" i="22"/>
  <c r="P22" i="22"/>
  <c r="P23" i="22" s="1"/>
  <c r="N22" i="22"/>
  <c r="N23" i="22" s="1"/>
  <c r="C7" i="22"/>
  <c r="R22" i="22"/>
  <c r="R23" i="22" s="1"/>
  <c r="W22" i="22"/>
  <c r="W23" i="22" s="1"/>
  <c r="T22" i="22"/>
  <c r="T23" i="22" s="1"/>
  <c r="V22" i="22"/>
  <c r="V23" i="22" s="1"/>
  <c r="O22" i="22"/>
  <c r="O23" i="22" s="1"/>
  <c r="U22" i="22"/>
  <c r="U23" i="22" s="1"/>
  <c r="Z8" i="22"/>
  <c r="C17" i="22" l="1"/>
  <c r="C18" i="22" s="1"/>
  <c r="AA17" i="22"/>
  <c r="Z17" i="22"/>
  <c r="C26" i="22"/>
  <c r="Z7" i="22"/>
  <c r="E20" i="22"/>
  <c r="E22" i="22" s="1"/>
  <c r="E23" i="22" s="1"/>
  <c r="C19" i="22"/>
  <c r="Z21" i="22"/>
  <c r="AA21" i="22"/>
  <c r="AA7" i="22"/>
  <c r="Z9" i="22"/>
  <c r="AA9" i="22"/>
  <c r="J22" i="22"/>
  <c r="J23" i="22" s="1"/>
  <c r="Z19" i="22" l="1"/>
  <c r="AA19" i="22"/>
  <c r="C22" i="22"/>
  <c r="C23" i="22" s="1"/>
  <c r="C20" i="22"/>
  <c r="AA20" i="22" l="1"/>
  <c r="Z20" i="22"/>
  <c r="AA22" i="22"/>
  <c r="Z22" i="22"/>
  <c r="C14" i="20" l="1"/>
  <c r="C10" i="20"/>
  <c r="BB39" i="19"/>
  <c r="BA39" i="19"/>
  <c r="AP38" i="19"/>
  <c r="AI38" i="19"/>
  <c r="AB38" i="19"/>
  <c r="R38" i="19"/>
  <c r="S38" i="19" s="1"/>
  <c r="O38" i="19"/>
  <c r="P38" i="19" s="1"/>
  <c r="L38" i="19"/>
  <c r="M38" i="19" s="1"/>
  <c r="I38" i="19"/>
  <c r="J38" i="19" s="1"/>
  <c r="F38" i="19"/>
  <c r="G38" i="19" s="1"/>
  <c r="BB37" i="19"/>
  <c r="BA37" i="19"/>
  <c r="AP36" i="19"/>
  <c r="AI36" i="19"/>
  <c r="AB36" i="19"/>
  <c r="R36" i="19"/>
  <c r="S36" i="19" s="1"/>
  <c r="O36" i="19"/>
  <c r="P36" i="19" s="1"/>
  <c r="L36" i="19"/>
  <c r="M36" i="19" s="1"/>
  <c r="I36" i="19"/>
  <c r="J36" i="19" s="1"/>
  <c r="F36" i="19"/>
  <c r="G36" i="19" s="1"/>
  <c r="BB35" i="19"/>
  <c r="BA35" i="19"/>
  <c r="AP34" i="19"/>
  <c r="AI34" i="19"/>
  <c r="AB34" i="19"/>
  <c r="R34" i="19"/>
  <c r="S34" i="19" s="1"/>
  <c r="O34" i="19"/>
  <c r="P34" i="19" s="1"/>
  <c r="L34" i="19"/>
  <c r="M34" i="19" s="1"/>
  <c r="I34" i="19"/>
  <c r="J34" i="19" s="1"/>
  <c r="F34" i="19"/>
  <c r="G34" i="19" s="1"/>
  <c r="BB33" i="19"/>
  <c r="BA33" i="19"/>
  <c r="AP32" i="19"/>
  <c r="AI32" i="19"/>
  <c r="AB32" i="19"/>
  <c r="R32" i="19"/>
  <c r="S32" i="19" s="1"/>
  <c r="O32" i="19"/>
  <c r="P32" i="19" s="1"/>
  <c r="L32" i="19"/>
  <c r="M32" i="19" s="1"/>
  <c r="I32" i="19"/>
  <c r="J32" i="19" s="1"/>
  <c r="F32" i="19"/>
  <c r="G32" i="19" s="1"/>
  <c r="BB31" i="19"/>
  <c r="BA31" i="19"/>
  <c r="AP30" i="19"/>
  <c r="AI30" i="19"/>
  <c r="AB30" i="19"/>
  <c r="R30" i="19"/>
  <c r="S30" i="19" s="1"/>
  <c r="O30" i="19"/>
  <c r="P30" i="19" s="1"/>
  <c r="L30" i="19"/>
  <c r="M30" i="19" s="1"/>
  <c r="I30" i="19"/>
  <c r="J30" i="19" s="1"/>
  <c r="F30" i="19"/>
  <c r="G30" i="19" s="1"/>
  <c r="BB29" i="19"/>
  <c r="BA29" i="19"/>
  <c r="AP28" i="19"/>
  <c r="AI28" i="19"/>
  <c r="AB28" i="19"/>
  <c r="R28" i="19"/>
  <c r="S28" i="19" s="1"/>
  <c r="O28" i="19"/>
  <c r="P28" i="19" s="1"/>
  <c r="L28" i="19"/>
  <c r="M28" i="19" s="1"/>
  <c r="I28" i="19"/>
  <c r="J28" i="19" s="1"/>
  <c r="F28" i="19"/>
  <c r="G28" i="19" s="1"/>
  <c r="BB27" i="19"/>
  <c r="BA27" i="19"/>
  <c r="AP26" i="19"/>
  <c r="AI26" i="19"/>
  <c r="AB26" i="19"/>
  <c r="R26" i="19"/>
  <c r="S26" i="19" s="1"/>
  <c r="O26" i="19"/>
  <c r="P26" i="19" s="1"/>
  <c r="L26" i="19"/>
  <c r="M26" i="19" s="1"/>
  <c r="I26" i="19"/>
  <c r="J26" i="19" s="1"/>
  <c r="F26" i="19"/>
  <c r="G26" i="19" s="1"/>
  <c r="BB25" i="19"/>
  <c r="BA25" i="19"/>
  <c r="AP24" i="19"/>
  <c r="AI24" i="19"/>
  <c r="AB24" i="19"/>
  <c r="R24" i="19"/>
  <c r="S24" i="19" s="1"/>
  <c r="O24" i="19"/>
  <c r="P24" i="19" s="1"/>
  <c r="L24" i="19"/>
  <c r="M24" i="19" s="1"/>
  <c r="I24" i="19"/>
  <c r="J24" i="19" s="1"/>
  <c r="F24" i="19"/>
  <c r="G24" i="19" s="1"/>
  <c r="BB23" i="19"/>
  <c r="BA23" i="19"/>
  <c r="AP22" i="19"/>
  <c r="AI22" i="19"/>
  <c r="AB22" i="19"/>
  <c r="R22" i="19"/>
  <c r="S22" i="19" s="1"/>
  <c r="O22" i="19"/>
  <c r="P22" i="19" s="1"/>
  <c r="L22" i="19"/>
  <c r="M22" i="19" s="1"/>
  <c r="I22" i="19"/>
  <c r="J22" i="19" s="1"/>
  <c r="F22" i="19"/>
  <c r="G22" i="19" s="1"/>
  <c r="BB21" i="19"/>
  <c r="BA21" i="19"/>
  <c r="AP20" i="19"/>
  <c r="AI20" i="19"/>
  <c r="AB20" i="19"/>
  <c r="R20" i="19"/>
  <c r="S20" i="19" s="1"/>
  <c r="O20" i="19"/>
  <c r="P20" i="19" s="1"/>
  <c r="L20" i="19"/>
  <c r="M20" i="19" s="1"/>
  <c r="I20" i="19"/>
  <c r="J20" i="19" s="1"/>
  <c r="F20" i="19"/>
  <c r="G20" i="19" s="1"/>
  <c r="BB19" i="19"/>
  <c r="BA19" i="19"/>
  <c r="AP18" i="19"/>
  <c r="AI18" i="19"/>
  <c r="AB18" i="19"/>
  <c r="R18" i="19"/>
  <c r="S18" i="19" s="1"/>
  <c r="O18" i="19"/>
  <c r="P18" i="19" s="1"/>
  <c r="L18" i="19"/>
  <c r="M18" i="19" s="1"/>
  <c r="I18" i="19"/>
  <c r="J18" i="19" s="1"/>
  <c r="F18" i="19"/>
  <c r="G18" i="19" s="1"/>
  <c r="AQ17" i="19"/>
  <c r="T17" i="19"/>
  <c r="U17" i="19" s="1"/>
  <c r="AP16" i="19"/>
  <c r="AI16" i="19"/>
  <c r="AB16" i="19"/>
  <c r="R16" i="19"/>
  <c r="S16" i="19" s="1"/>
  <c r="O16" i="19"/>
  <c r="P16" i="19" s="1"/>
  <c r="L16" i="19"/>
  <c r="M16" i="19" s="1"/>
  <c r="I16" i="19"/>
  <c r="J16" i="19" s="1"/>
  <c r="F16" i="19"/>
  <c r="G16" i="19" s="1"/>
  <c r="AQ15" i="19"/>
  <c r="T15" i="19"/>
  <c r="U15" i="19" s="1"/>
  <c r="AP14" i="19"/>
  <c r="AI14" i="19"/>
  <c r="AB14" i="19"/>
  <c r="R14" i="19"/>
  <c r="S14" i="19" s="1"/>
  <c r="O14" i="19"/>
  <c r="P14" i="19" s="1"/>
  <c r="L14" i="19"/>
  <c r="M14" i="19" s="1"/>
  <c r="I14" i="19"/>
  <c r="J14" i="19" s="1"/>
  <c r="F14" i="19"/>
  <c r="G14" i="19" s="1"/>
  <c r="AQ13" i="19"/>
  <c r="T13" i="19"/>
  <c r="U13" i="19" s="1"/>
  <c r="AP12" i="19"/>
  <c r="AI12" i="19"/>
  <c r="AB12" i="19"/>
  <c r="R12" i="19"/>
  <c r="S12" i="19" s="1"/>
  <c r="O12" i="19"/>
  <c r="P12" i="19" s="1"/>
  <c r="L12" i="19"/>
  <c r="M12" i="19" s="1"/>
  <c r="I12" i="19"/>
  <c r="J12" i="19" s="1"/>
  <c r="F12" i="19"/>
  <c r="G12" i="19" s="1"/>
  <c r="AQ11" i="19"/>
  <c r="R11" i="19"/>
  <c r="S11" i="19" s="1"/>
  <c r="L11" i="19"/>
  <c r="I11" i="19"/>
  <c r="J11" i="19" s="1"/>
  <c r="AP10" i="19"/>
  <c r="AI10" i="19"/>
  <c r="AB10" i="19"/>
  <c r="R10" i="19"/>
  <c r="S10" i="19" s="1"/>
  <c r="O10" i="19"/>
  <c r="P10" i="19" s="1"/>
  <c r="L10" i="19"/>
  <c r="M10" i="19" s="1"/>
  <c r="I10" i="19"/>
  <c r="J10" i="19" s="1"/>
  <c r="F10" i="19"/>
  <c r="G10" i="19" s="1"/>
  <c r="E90" i="18"/>
  <c r="C90" i="18"/>
  <c r="B90" i="18"/>
  <c r="E86" i="18"/>
  <c r="C86" i="18"/>
  <c r="B86" i="18"/>
  <c r="E82" i="18"/>
  <c r="C82" i="18"/>
  <c r="B82" i="18"/>
  <c r="E78" i="18"/>
  <c r="C78" i="18"/>
  <c r="B78" i="18"/>
  <c r="E74" i="18"/>
  <c r="C74" i="18"/>
  <c r="B74" i="18"/>
  <c r="E70" i="18"/>
  <c r="C70" i="18"/>
  <c r="B70" i="18"/>
  <c r="E66" i="18"/>
  <c r="C66" i="18"/>
  <c r="B66" i="18"/>
  <c r="E62" i="18"/>
  <c r="C62" i="18"/>
  <c r="B62" i="18"/>
  <c r="E58" i="18"/>
  <c r="C58" i="18"/>
  <c r="B58" i="18"/>
  <c r="E54" i="18"/>
  <c r="C54" i="18"/>
  <c r="B54" i="18"/>
  <c r="E50" i="18"/>
  <c r="C50" i="18"/>
  <c r="B50" i="18"/>
  <c r="E46" i="18"/>
  <c r="C46" i="18"/>
  <c r="B46" i="18"/>
  <c r="E42" i="18"/>
  <c r="C42" i="18"/>
  <c r="B42" i="18"/>
  <c r="E38" i="18"/>
  <c r="C38" i="18"/>
  <c r="B38" i="18"/>
  <c r="E34" i="18"/>
  <c r="C34" i="18"/>
  <c r="B34" i="18"/>
  <c r="E30" i="18"/>
  <c r="C30" i="18"/>
  <c r="B30" i="18"/>
  <c r="E26" i="18"/>
  <c r="C26" i="18"/>
  <c r="B26" i="18"/>
  <c r="E22" i="18"/>
  <c r="C22" i="18"/>
  <c r="B22" i="18"/>
  <c r="E18" i="18"/>
  <c r="C18" i="18"/>
  <c r="B18" i="18"/>
  <c r="E14" i="18"/>
  <c r="C14" i="18"/>
  <c r="B14" i="18"/>
  <c r="E10" i="18"/>
  <c r="C10" i="18"/>
  <c r="B10" i="18"/>
  <c r="AF49" i="17"/>
  <c r="R49" i="17"/>
  <c r="O49" i="17"/>
  <c r="P49" i="17" s="1"/>
  <c r="L49" i="17"/>
  <c r="M49" i="17" s="1"/>
  <c r="I49" i="17"/>
  <c r="J49" i="17" s="1"/>
  <c r="F49" i="17"/>
  <c r="G49" i="17" s="1"/>
  <c r="AN48" i="17"/>
  <c r="AF48" i="17"/>
  <c r="AA48" i="17"/>
  <c r="R48" i="17"/>
  <c r="S48" i="17" s="1"/>
  <c r="O48" i="17"/>
  <c r="P48" i="17" s="1"/>
  <c r="L48" i="17"/>
  <c r="M48" i="17" s="1"/>
  <c r="I48" i="17"/>
  <c r="J48" i="17" s="1"/>
  <c r="F48" i="17"/>
  <c r="G48" i="17" s="1"/>
  <c r="AF47" i="17"/>
  <c r="AA47" i="17"/>
  <c r="R47" i="17"/>
  <c r="O47" i="17"/>
  <c r="P47" i="17" s="1"/>
  <c r="L47" i="17"/>
  <c r="M47" i="17" s="1"/>
  <c r="I47" i="17"/>
  <c r="J47" i="17" s="1"/>
  <c r="F47" i="17"/>
  <c r="G47" i="17" s="1"/>
  <c r="AN46" i="17"/>
  <c r="AF46" i="17"/>
  <c r="AA46" i="17"/>
  <c r="R46" i="17"/>
  <c r="S46" i="17" s="1"/>
  <c r="O46" i="17"/>
  <c r="P46" i="17" s="1"/>
  <c r="L46" i="17"/>
  <c r="M46" i="17" s="1"/>
  <c r="I46" i="17"/>
  <c r="J46" i="17" s="1"/>
  <c r="F46" i="17"/>
  <c r="G46" i="17" s="1"/>
  <c r="AF45" i="17"/>
  <c r="AA45" i="17"/>
  <c r="R45" i="17"/>
  <c r="O45" i="17"/>
  <c r="P45" i="17" s="1"/>
  <c r="L45" i="17"/>
  <c r="M45" i="17" s="1"/>
  <c r="I45" i="17"/>
  <c r="J45" i="17" s="1"/>
  <c r="F45" i="17"/>
  <c r="G45" i="17" s="1"/>
  <c r="AN44" i="17"/>
  <c r="AF44" i="17"/>
  <c r="AA44" i="17"/>
  <c r="R44" i="17"/>
  <c r="S44" i="17" s="1"/>
  <c r="O44" i="17"/>
  <c r="P44" i="17" s="1"/>
  <c r="L44" i="17"/>
  <c r="M44" i="17" s="1"/>
  <c r="I44" i="17"/>
  <c r="J44" i="17" s="1"/>
  <c r="F44" i="17"/>
  <c r="G44" i="17" s="1"/>
  <c r="AF43" i="17"/>
  <c r="AA43" i="17"/>
  <c r="R43" i="17"/>
  <c r="O43" i="17"/>
  <c r="P43" i="17" s="1"/>
  <c r="L43" i="17"/>
  <c r="M43" i="17" s="1"/>
  <c r="I43" i="17"/>
  <c r="J43" i="17" s="1"/>
  <c r="F43" i="17"/>
  <c r="G43" i="17" s="1"/>
  <c r="AN42" i="17"/>
  <c r="AF42" i="17"/>
  <c r="AA42" i="17"/>
  <c r="R42" i="17"/>
  <c r="S42" i="17" s="1"/>
  <c r="O42" i="17"/>
  <c r="P42" i="17" s="1"/>
  <c r="L42" i="17"/>
  <c r="M42" i="17" s="1"/>
  <c r="I42" i="17"/>
  <c r="J42" i="17" s="1"/>
  <c r="F42" i="17"/>
  <c r="G42" i="17" s="1"/>
  <c r="AF41" i="17"/>
  <c r="AA41" i="17"/>
  <c r="R41" i="17"/>
  <c r="O41" i="17"/>
  <c r="P41" i="17" s="1"/>
  <c r="L41" i="17"/>
  <c r="M41" i="17" s="1"/>
  <c r="I41" i="17"/>
  <c r="J41" i="17" s="1"/>
  <c r="F41" i="17"/>
  <c r="G41" i="17" s="1"/>
  <c r="AN40" i="17"/>
  <c r="AF40" i="17"/>
  <c r="AA40" i="17"/>
  <c r="R40" i="17"/>
  <c r="S40" i="17" s="1"/>
  <c r="O40" i="17"/>
  <c r="P40" i="17" s="1"/>
  <c r="L40" i="17"/>
  <c r="M40" i="17" s="1"/>
  <c r="I40" i="17"/>
  <c r="J40" i="17" s="1"/>
  <c r="F40" i="17"/>
  <c r="G40" i="17" s="1"/>
  <c r="AF39" i="17"/>
  <c r="AA39" i="17"/>
  <c r="R39" i="17"/>
  <c r="O39" i="17"/>
  <c r="P39" i="17" s="1"/>
  <c r="L39" i="17"/>
  <c r="M39" i="17" s="1"/>
  <c r="I39" i="17"/>
  <c r="J39" i="17" s="1"/>
  <c r="F39" i="17"/>
  <c r="G39" i="17" s="1"/>
  <c r="AN38" i="17"/>
  <c r="AF38" i="17"/>
  <c r="AA38" i="17"/>
  <c r="R38" i="17"/>
  <c r="S38" i="17" s="1"/>
  <c r="O38" i="17"/>
  <c r="P38" i="17" s="1"/>
  <c r="L38" i="17"/>
  <c r="M38" i="17" s="1"/>
  <c r="I38" i="17"/>
  <c r="J38" i="17" s="1"/>
  <c r="F38" i="17"/>
  <c r="G38" i="17" s="1"/>
  <c r="AF37" i="17"/>
  <c r="AA37" i="17"/>
  <c r="R37" i="17"/>
  <c r="O37" i="17"/>
  <c r="P37" i="17" s="1"/>
  <c r="L37" i="17"/>
  <c r="M37" i="17" s="1"/>
  <c r="I37" i="17"/>
  <c r="J37" i="17" s="1"/>
  <c r="F37" i="17"/>
  <c r="G37" i="17" s="1"/>
  <c r="AN36" i="17"/>
  <c r="AF36" i="17"/>
  <c r="AA36" i="17"/>
  <c r="R36" i="17"/>
  <c r="S36" i="17" s="1"/>
  <c r="O36" i="17"/>
  <c r="P36" i="17" s="1"/>
  <c r="L36" i="17"/>
  <c r="M36" i="17" s="1"/>
  <c r="I36" i="17"/>
  <c r="J36" i="17" s="1"/>
  <c r="F36" i="17"/>
  <c r="G36" i="17" s="1"/>
  <c r="AF35" i="17"/>
  <c r="AA35" i="17"/>
  <c r="R35" i="17"/>
  <c r="O35" i="17"/>
  <c r="P35" i="17" s="1"/>
  <c r="L35" i="17"/>
  <c r="M35" i="17" s="1"/>
  <c r="I35" i="17"/>
  <c r="J35" i="17" s="1"/>
  <c r="F35" i="17"/>
  <c r="G35" i="17" s="1"/>
  <c r="AN34" i="17"/>
  <c r="AF34" i="17"/>
  <c r="AA34" i="17"/>
  <c r="R34" i="17"/>
  <c r="S34" i="17" s="1"/>
  <c r="O34" i="17"/>
  <c r="P34" i="17" s="1"/>
  <c r="L34" i="17"/>
  <c r="M34" i="17" s="1"/>
  <c r="I34" i="17"/>
  <c r="J34" i="17" s="1"/>
  <c r="F34" i="17"/>
  <c r="G34" i="17" s="1"/>
  <c r="AF33" i="17"/>
  <c r="AA33" i="17"/>
  <c r="R33" i="17"/>
  <c r="O33" i="17"/>
  <c r="P33" i="17" s="1"/>
  <c r="L33" i="17"/>
  <c r="M33" i="17" s="1"/>
  <c r="I33" i="17"/>
  <c r="J33" i="17" s="1"/>
  <c r="F33" i="17"/>
  <c r="G33" i="17" s="1"/>
  <c r="AN32" i="17"/>
  <c r="AF32" i="17"/>
  <c r="AA32" i="17"/>
  <c r="R32" i="17"/>
  <c r="S32" i="17" s="1"/>
  <c r="O32" i="17"/>
  <c r="P32" i="17" s="1"/>
  <c r="L32" i="17"/>
  <c r="M32" i="17" s="1"/>
  <c r="I32" i="17"/>
  <c r="J32" i="17" s="1"/>
  <c r="F32" i="17"/>
  <c r="G32" i="17" s="1"/>
  <c r="AF31" i="17"/>
  <c r="AA31" i="17"/>
  <c r="R31" i="17"/>
  <c r="O31" i="17"/>
  <c r="P31" i="17" s="1"/>
  <c r="L31" i="17"/>
  <c r="M31" i="17" s="1"/>
  <c r="I31" i="17"/>
  <c r="J31" i="17" s="1"/>
  <c r="F31" i="17"/>
  <c r="G31" i="17" s="1"/>
  <c r="AN30" i="17"/>
  <c r="AF30" i="17"/>
  <c r="AA30" i="17"/>
  <c r="R30" i="17"/>
  <c r="S30" i="17" s="1"/>
  <c r="O30" i="17"/>
  <c r="P30" i="17" s="1"/>
  <c r="L30" i="17"/>
  <c r="M30" i="17" s="1"/>
  <c r="I30" i="17"/>
  <c r="J30" i="17" s="1"/>
  <c r="F30" i="17"/>
  <c r="G30" i="17" s="1"/>
  <c r="AF29" i="17"/>
  <c r="AA29" i="17"/>
  <c r="R29" i="17"/>
  <c r="O29" i="17"/>
  <c r="P29" i="17" s="1"/>
  <c r="L29" i="17"/>
  <c r="M29" i="17" s="1"/>
  <c r="I29" i="17"/>
  <c r="J29" i="17" s="1"/>
  <c r="F29" i="17"/>
  <c r="G29" i="17" s="1"/>
  <c r="AN28" i="17"/>
  <c r="AF28" i="17"/>
  <c r="AA28" i="17"/>
  <c r="R28" i="17"/>
  <c r="S28" i="17" s="1"/>
  <c r="O28" i="17"/>
  <c r="P28" i="17" s="1"/>
  <c r="L28" i="17"/>
  <c r="M28" i="17" s="1"/>
  <c r="I28" i="17"/>
  <c r="J28" i="17" s="1"/>
  <c r="F28" i="17"/>
  <c r="G28" i="17" s="1"/>
  <c r="AF27" i="17"/>
  <c r="AA27" i="17"/>
  <c r="R27" i="17"/>
  <c r="O27" i="17"/>
  <c r="P27" i="17" s="1"/>
  <c r="L27" i="17"/>
  <c r="M27" i="17" s="1"/>
  <c r="I27" i="17"/>
  <c r="J27" i="17" s="1"/>
  <c r="F27" i="17"/>
  <c r="G27" i="17" s="1"/>
  <c r="AN26" i="17"/>
  <c r="AF26" i="17"/>
  <c r="AA26" i="17"/>
  <c r="R26" i="17"/>
  <c r="S26" i="17" s="1"/>
  <c r="O26" i="17"/>
  <c r="P26" i="17" s="1"/>
  <c r="L26" i="17"/>
  <c r="M26" i="17" s="1"/>
  <c r="I26" i="17"/>
  <c r="J26" i="17" s="1"/>
  <c r="F26" i="17"/>
  <c r="G26" i="17" s="1"/>
  <c r="AF25" i="17"/>
  <c r="AA25" i="17"/>
  <c r="R25" i="17"/>
  <c r="O25" i="17"/>
  <c r="P25" i="17" s="1"/>
  <c r="L25" i="17"/>
  <c r="M25" i="17" s="1"/>
  <c r="I25" i="17"/>
  <c r="J25" i="17" s="1"/>
  <c r="F25" i="17"/>
  <c r="G25" i="17" s="1"/>
  <c r="AN24" i="17"/>
  <c r="AF24" i="17"/>
  <c r="AA24" i="17"/>
  <c r="R24" i="17"/>
  <c r="S24" i="17" s="1"/>
  <c r="O24" i="17"/>
  <c r="P24" i="17" s="1"/>
  <c r="L24" i="17"/>
  <c r="M24" i="17" s="1"/>
  <c r="I24" i="17"/>
  <c r="J24" i="17" s="1"/>
  <c r="F24" i="17"/>
  <c r="G24" i="17" s="1"/>
  <c r="AF23" i="17"/>
  <c r="AA23" i="17"/>
  <c r="R23" i="17"/>
  <c r="O23" i="17"/>
  <c r="P23" i="17" s="1"/>
  <c r="L23" i="17"/>
  <c r="M23" i="17" s="1"/>
  <c r="I23" i="17"/>
  <c r="J23" i="17" s="1"/>
  <c r="F23" i="17"/>
  <c r="G23" i="17" s="1"/>
  <c r="AN22" i="17"/>
  <c r="AF22" i="17"/>
  <c r="AA22" i="17"/>
  <c r="R22" i="17"/>
  <c r="S22" i="17" s="1"/>
  <c r="O22" i="17"/>
  <c r="P22" i="17" s="1"/>
  <c r="L22" i="17"/>
  <c r="M22" i="17" s="1"/>
  <c r="I22" i="17"/>
  <c r="J22" i="17" s="1"/>
  <c r="F22" i="17"/>
  <c r="G22" i="17" s="1"/>
  <c r="AF21" i="17"/>
  <c r="AA21" i="17"/>
  <c r="R21" i="17"/>
  <c r="O21" i="17"/>
  <c r="P21" i="17" s="1"/>
  <c r="L21" i="17"/>
  <c r="M21" i="17" s="1"/>
  <c r="I21" i="17"/>
  <c r="J21" i="17" s="1"/>
  <c r="F21" i="17"/>
  <c r="G21" i="17" s="1"/>
  <c r="AN20" i="17"/>
  <c r="AF20" i="17"/>
  <c r="AA20" i="17"/>
  <c r="R20" i="17"/>
  <c r="S20" i="17" s="1"/>
  <c r="O20" i="17"/>
  <c r="P20" i="17" s="1"/>
  <c r="L20" i="17"/>
  <c r="M20" i="17" s="1"/>
  <c r="I20" i="17"/>
  <c r="J20" i="17" s="1"/>
  <c r="F20" i="17"/>
  <c r="G20" i="17" s="1"/>
  <c r="AF19" i="17"/>
  <c r="AA19" i="17"/>
  <c r="R19" i="17"/>
  <c r="O19" i="17"/>
  <c r="P19" i="17" s="1"/>
  <c r="L19" i="17"/>
  <c r="M19" i="17" s="1"/>
  <c r="I19" i="17"/>
  <c r="J19" i="17" s="1"/>
  <c r="F19" i="17"/>
  <c r="G19" i="17" s="1"/>
  <c r="AN18" i="17"/>
  <c r="AF18" i="17"/>
  <c r="AA18" i="17"/>
  <c r="R18" i="17"/>
  <c r="S18" i="17" s="1"/>
  <c r="O18" i="17"/>
  <c r="P18" i="17" s="1"/>
  <c r="L18" i="17"/>
  <c r="M18" i="17" s="1"/>
  <c r="I18" i="17"/>
  <c r="J18" i="17" s="1"/>
  <c r="F18" i="17"/>
  <c r="G18" i="17" s="1"/>
  <c r="AF17" i="17"/>
  <c r="AA17" i="17"/>
  <c r="R17" i="17"/>
  <c r="O17" i="17"/>
  <c r="P17" i="17" s="1"/>
  <c r="L17" i="17"/>
  <c r="M17" i="17" s="1"/>
  <c r="I17" i="17"/>
  <c r="J17" i="17" s="1"/>
  <c r="F17" i="17"/>
  <c r="G17" i="17" s="1"/>
  <c r="AN16" i="17"/>
  <c r="AF16" i="17"/>
  <c r="AA16" i="17"/>
  <c r="R16" i="17"/>
  <c r="S16" i="17" s="1"/>
  <c r="O16" i="17"/>
  <c r="P16" i="17" s="1"/>
  <c r="L16" i="17"/>
  <c r="M16" i="17" s="1"/>
  <c r="I16" i="17"/>
  <c r="J16" i="17" s="1"/>
  <c r="F16" i="17"/>
  <c r="G16" i="17" s="1"/>
  <c r="AF15" i="17"/>
  <c r="AA15" i="17"/>
  <c r="R15" i="17"/>
  <c r="S15" i="17" s="1"/>
  <c r="O15" i="17"/>
  <c r="P15" i="17" s="1"/>
  <c r="L15" i="17"/>
  <c r="M15" i="17" s="1"/>
  <c r="I15" i="17"/>
  <c r="J15" i="17" s="1"/>
  <c r="F15" i="17"/>
  <c r="G15" i="17" s="1"/>
  <c r="AN14" i="17"/>
  <c r="AF14" i="17"/>
  <c r="AA14" i="17"/>
  <c r="R14" i="17"/>
  <c r="S14" i="17" s="1"/>
  <c r="O14" i="17"/>
  <c r="P14" i="17" s="1"/>
  <c r="L14" i="17"/>
  <c r="M14" i="17" s="1"/>
  <c r="I14" i="17"/>
  <c r="J14" i="17" s="1"/>
  <c r="F14" i="17"/>
  <c r="G14" i="17" s="1"/>
  <c r="AF13" i="17"/>
  <c r="AA13" i="17"/>
  <c r="R13" i="17"/>
  <c r="S13" i="17" s="1"/>
  <c r="O13" i="17"/>
  <c r="P13" i="17" s="1"/>
  <c r="L13" i="17"/>
  <c r="M13" i="17" s="1"/>
  <c r="I13" i="17"/>
  <c r="J13" i="17" s="1"/>
  <c r="F13" i="17"/>
  <c r="G13" i="17" s="1"/>
  <c r="AN12" i="17"/>
  <c r="AF12" i="17"/>
  <c r="AA12" i="17"/>
  <c r="R12" i="17"/>
  <c r="S12" i="17" s="1"/>
  <c r="O12" i="17"/>
  <c r="P12" i="17" s="1"/>
  <c r="L12" i="17"/>
  <c r="M12" i="17" s="1"/>
  <c r="I12" i="17"/>
  <c r="J12" i="17" s="1"/>
  <c r="F12" i="17"/>
  <c r="G12" i="17" s="1"/>
  <c r="AF11" i="17"/>
  <c r="R11" i="17"/>
  <c r="S11" i="17" s="1"/>
  <c r="L11" i="17"/>
  <c r="I11" i="17"/>
  <c r="J11" i="17" s="1"/>
  <c r="AN10" i="17"/>
  <c r="AF10" i="17"/>
  <c r="AA10" i="17"/>
  <c r="R10" i="17"/>
  <c r="S10" i="17" s="1"/>
  <c r="O10" i="17"/>
  <c r="P10" i="17" s="1"/>
  <c r="L10" i="17"/>
  <c r="M10" i="17" s="1"/>
  <c r="I10" i="17"/>
  <c r="J10" i="17" s="1"/>
  <c r="F10" i="17"/>
  <c r="G10" i="17" s="1"/>
  <c r="AP26" i="17" l="1"/>
  <c r="BA17" i="19"/>
  <c r="AQ34" i="19"/>
  <c r="AP14" i="17"/>
  <c r="AQ26" i="19"/>
  <c r="AQ28" i="19"/>
  <c r="AQ10" i="19"/>
  <c r="AP10" i="17"/>
  <c r="BB13" i="19"/>
  <c r="AQ38" i="19"/>
  <c r="AP20" i="17"/>
  <c r="AP48" i="17"/>
  <c r="T35" i="17"/>
  <c r="U35" i="17" s="1"/>
  <c r="BA35" i="17" s="1"/>
  <c r="AQ12" i="19"/>
  <c r="AP42" i="17"/>
  <c r="T24" i="17"/>
  <c r="U24" i="17" s="1"/>
  <c r="T47" i="17"/>
  <c r="U47" i="17" s="1"/>
  <c r="AZ47" i="17" s="1"/>
  <c r="T18" i="19"/>
  <c r="U18" i="19" s="1"/>
  <c r="T38" i="19"/>
  <c r="U38" i="19" s="1"/>
  <c r="AZ38" i="19" s="1"/>
  <c r="AP38" i="17"/>
  <c r="AQ18" i="19"/>
  <c r="AQ22" i="19"/>
  <c r="AP12" i="17"/>
  <c r="AP28" i="17"/>
  <c r="AP18" i="17"/>
  <c r="AP22" i="17"/>
  <c r="AP32" i="17"/>
  <c r="T26" i="19"/>
  <c r="U26" i="19" s="1"/>
  <c r="T42" i="17"/>
  <c r="U42" i="17" s="1"/>
  <c r="T40" i="17"/>
  <c r="U40" i="17" s="1"/>
  <c r="T30" i="19"/>
  <c r="U30" i="19" s="1"/>
  <c r="T26" i="17"/>
  <c r="U26" i="17" s="1"/>
  <c r="BA26" i="17" s="1"/>
  <c r="T29" i="17"/>
  <c r="U29" i="17" s="1"/>
  <c r="AZ29" i="17" s="1"/>
  <c r="T46" i="17"/>
  <c r="U46" i="17" s="1"/>
  <c r="AP46" i="17"/>
  <c r="AQ46" i="17" s="1"/>
  <c r="T14" i="19"/>
  <c r="U14" i="19" s="1"/>
  <c r="BB14" i="19" s="1"/>
  <c r="T34" i="19"/>
  <c r="U34" i="19" s="1"/>
  <c r="T17" i="17"/>
  <c r="U17" i="17" s="1"/>
  <c r="AZ17" i="17" s="1"/>
  <c r="T18" i="17"/>
  <c r="U18" i="17" s="1"/>
  <c r="T45" i="17"/>
  <c r="U45" i="17" s="1"/>
  <c r="AZ45" i="17" s="1"/>
  <c r="AQ30" i="19"/>
  <c r="AQ14" i="19"/>
  <c r="T24" i="19"/>
  <c r="U24" i="19" s="1"/>
  <c r="AQ32" i="19"/>
  <c r="T31" i="17"/>
  <c r="U31" i="17" s="1"/>
  <c r="AZ31" i="17" s="1"/>
  <c r="T19" i="17"/>
  <c r="U19" i="17" s="1"/>
  <c r="BA19" i="17" s="1"/>
  <c r="AP36" i="17"/>
  <c r="AQ16" i="19"/>
  <c r="AQ36" i="19"/>
  <c r="T12" i="17"/>
  <c r="U12" i="17" s="1"/>
  <c r="T11" i="17"/>
  <c r="U11" i="17" s="1"/>
  <c r="BA11" i="17" s="1"/>
  <c r="T22" i="19"/>
  <c r="U22" i="19" s="1"/>
  <c r="T23" i="17"/>
  <c r="U23" i="17" s="1"/>
  <c r="BA23" i="17" s="1"/>
  <c r="AP24" i="17"/>
  <c r="T16" i="19"/>
  <c r="U16" i="19" s="1"/>
  <c r="AQ20" i="19"/>
  <c r="AP30" i="17"/>
  <c r="AP34" i="17"/>
  <c r="T39" i="17"/>
  <c r="U39" i="17" s="1"/>
  <c r="BA39" i="17" s="1"/>
  <c r="AP40" i="17"/>
  <c r="AP44" i="17"/>
  <c r="AQ24" i="19"/>
  <c r="T10" i="19"/>
  <c r="U10" i="19" s="1"/>
  <c r="T36" i="19"/>
  <c r="U36" i="19" s="1"/>
  <c r="T11" i="19"/>
  <c r="U11" i="19" s="1"/>
  <c r="T12" i="19"/>
  <c r="U12" i="19" s="1"/>
  <c r="BB15" i="19"/>
  <c r="BA15" i="19"/>
  <c r="T28" i="19"/>
  <c r="U28" i="19" s="1"/>
  <c r="T20" i="19"/>
  <c r="U20" i="19" s="1"/>
  <c r="BA26" i="19"/>
  <c r="AZ26" i="19"/>
  <c r="AR26" i="19"/>
  <c r="T32" i="19"/>
  <c r="U32" i="19" s="1"/>
  <c r="AR32" i="19" s="1"/>
  <c r="BA13" i="19"/>
  <c r="BB17" i="19"/>
  <c r="T15" i="17"/>
  <c r="U15" i="17" s="1"/>
  <c r="T20" i="17"/>
  <c r="U20" i="17" s="1"/>
  <c r="T30" i="17"/>
  <c r="U30" i="17" s="1"/>
  <c r="T36" i="17"/>
  <c r="U36" i="17" s="1"/>
  <c r="T16" i="17"/>
  <c r="U16" i="17" s="1"/>
  <c r="T25" i="17"/>
  <c r="U25" i="17" s="1"/>
  <c r="T41" i="17"/>
  <c r="U41" i="17" s="1"/>
  <c r="T14" i="17"/>
  <c r="U14" i="17" s="1"/>
  <c r="AQ14" i="17" s="1"/>
  <c r="T34" i="17"/>
  <c r="U34" i="17" s="1"/>
  <c r="T10" i="17"/>
  <c r="U10" i="17" s="1"/>
  <c r="T13" i="17"/>
  <c r="U13" i="17" s="1"/>
  <c r="AP16" i="17"/>
  <c r="T22" i="17"/>
  <c r="U22" i="17" s="1"/>
  <c r="T27" i="17"/>
  <c r="U27" i="17" s="1"/>
  <c r="T28" i="17"/>
  <c r="U28" i="17" s="1"/>
  <c r="T32" i="17"/>
  <c r="U32" i="17" s="1"/>
  <c r="T38" i="17"/>
  <c r="U38" i="17" s="1"/>
  <c r="T43" i="17"/>
  <c r="U43" i="17" s="1"/>
  <c r="T44" i="17"/>
  <c r="U44" i="17" s="1"/>
  <c r="T48" i="17"/>
  <c r="U48" i="17" s="1"/>
  <c r="T33" i="17"/>
  <c r="U33" i="17" s="1"/>
  <c r="T49" i="17"/>
  <c r="U49" i="17" s="1"/>
  <c r="T21" i="17"/>
  <c r="U21" i="17" s="1"/>
  <c r="T37" i="17"/>
  <c r="U37" i="17" s="1"/>
  <c r="AQ38" i="17" l="1"/>
  <c r="AX40" i="17"/>
  <c r="AY14" i="19"/>
  <c r="AZ14" i="19"/>
  <c r="AQ20" i="17"/>
  <c r="BA38" i="19"/>
  <c r="BB24" i="19"/>
  <c r="BA14" i="19"/>
  <c r="AT14" i="19" s="1"/>
  <c r="AS14" i="19" s="1"/>
  <c r="BA29" i="17"/>
  <c r="AY18" i="19"/>
  <c r="AQ24" i="17"/>
  <c r="AR22" i="19"/>
  <c r="AZ18" i="17"/>
  <c r="BA12" i="17"/>
  <c r="AR34" i="19"/>
  <c r="BA17" i="17"/>
  <c r="AZ39" i="17"/>
  <c r="AZ11" i="17"/>
  <c r="AY38" i="19"/>
  <c r="AX24" i="17"/>
  <c r="BB26" i="19"/>
  <c r="BA22" i="19"/>
  <c r="AR12" i="19"/>
  <c r="BB22" i="19"/>
  <c r="BA24" i="17"/>
  <c r="AY22" i="19"/>
  <c r="AT22" i="19" s="1"/>
  <c r="AS22" i="19" s="1"/>
  <c r="AZ12" i="17"/>
  <c r="AX26" i="17"/>
  <c r="AQ28" i="17"/>
  <c r="AQ36" i="17"/>
  <c r="AZ26" i="17"/>
  <c r="AZ22" i="19"/>
  <c r="AY40" i="17"/>
  <c r="AQ30" i="17"/>
  <c r="AY26" i="19"/>
  <c r="AQ26" i="17"/>
  <c r="AZ19" i="17"/>
  <c r="BA45" i="17"/>
  <c r="AT17" i="19"/>
  <c r="BA46" i="17"/>
  <c r="BB38" i="19"/>
  <c r="AQ44" i="17"/>
  <c r="AR38" i="19"/>
  <c r="AR30" i="19"/>
  <c r="AY18" i="17"/>
  <c r="BA24" i="19"/>
  <c r="BA47" i="17"/>
  <c r="BA18" i="17"/>
  <c r="AZ42" i="17"/>
  <c r="AR10" i="19"/>
  <c r="AT13" i="19"/>
  <c r="BA42" i="17"/>
  <c r="AZ16" i="19"/>
  <c r="AY12" i="17"/>
  <c r="AZ40" i="17"/>
  <c r="BA31" i="17"/>
  <c r="BA40" i="17"/>
  <c r="AS40" i="17" s="1"/>
  <c r="AR40" i="17" s="1"/>
  <c r="AY34" i="19"/>
  <c r="AY24" i="19"/>
  <c r="AQ40" i="17"/>
  <c r="AZ34" i="19"/>
  <c r="AR18" i="19"/>
  <c r="AZ23" i="17"/>
  <c r="AZ35" i="17"/>
  <c r="BA34" i="19"/>
  <c r="BA18" i="19"/>
  <c r="AY42" i="17"/>
  <c r="BB18" i="19"/>
  <c r="AY24" i="17"/>
  <c r="AQ18" i="17"/>
  <c r="AX42" i="17"/>
  <c r="AY26" i="17"/>
  <c r="AS26" i="17" s="1"/>
  <c r="AR26" i="17" s="1"/>
  <c r="BB34" i="19"/>
  <c r="AQ42" i="17"/>
  <c r="AZ24" i="17"/>
  <c r="AX12" i="17"/>
  <c r="AZ18" i="19"/>
  <c r="AQ32" i="17"/>
  <c r="AX18" i="17"/>
  <c r="AS18" i="17" s="1"/>
  <c r="AR18" i="17" s="1"/>
  <c r="AQ12" i="17"/>
  <c r="AZ46" i="17"/>
  <c r="BB16" i="19"/>
  <c r="AR16" i="19"/>
  <c r="AY16" i="19"/>
  <c r="BB30" i="19"/>
  <c r="AY30" i="19"/>
  <c r="BA30" i="19"/>
  <c r="AX46" i="17"/>
  <c r="AZ30" i="19"/>
  <c r="AY46" i="17"/>
  <c r="AR24" i="19"/>
  <c r="AZ24" i="19"/>
  <c r="BA16" i="19"/>
  <c r="AR14" i="19"/>
  <c r="BA28" i="19"/>
  <c r="AZ28" i="19"/>
  <c r="AY28" i="19"/>
  <c r="BB28" i="19"/>
  <c r="BA11" i="19"/>
  <c r="BB11" i="19"/>
  <c r="AT15" i="19"/>
  <c r="BA36" i="19"/>
  <c r="AZ36" i="19"/>
  <c r="AY36" i="19"/>
  <c r="BB36" i="19"/>
  <c r="BA20" i="19"/>
  <c r="AZ20" i="19"/>
  <c r="AY20" i="19"/>
  <c r="BB20" i="19"/>
  <c r="AR36" i="19"/>
  <c r="AR20" i="19"/>
  <c r="AR28" i="19"/>
  <c r="AY10" i="19"/>
  <c r="BB10" i="19"/>
  <c r="BA10" i="19"/>
  <c r="AZ10" i="19"/>
  <c r="AY32" i="19"/>
  <c r="BB32" i="19"/>
  <c r="BA32" i="19"/>
  <c r="AZ32" i="19"/>
  <c r="BA12" i="19"/>
  <c r="AZ12" i="19"/>
  <c r="AY12" i="19"/>
  <c r="BB12" i="19"/>
  <c r="AZ37" i="17"/>
  <c r="BA37" i="17"/>
  <c r="AY48" i="17"/>
  <c r="AX48" i="17"/>
  <c r="BA48" i="17"/>
  <c r="AZ48" i="17"/>
  <c r="BA43" i="17"/>
  <c r="AZ43" i="17"/>
  <c r="BA10" i="17"/>
  <c r="AZ10" i="17"/>
  <c r="AY10" i="17"/>
  <c r="AX10" i="17"/>
  <c r="BA30" i="17"/>
  <c r="AZ30" i="17"/>
  <c r="AY30" i="17"/>
  <c r="AX30" i="17"/>
  <c r="AZ21" i="17"/>
  <c r="BA21" i="17"/>
  <c r="BA22" i="17"/>
  <c r="AX22" i="17"/>
  <c r="AZ22" i="17"/>
  <c r="AY22" i="17"/>
  <c r="BA34" i="17"/>
  <c r="AY34" i="17"/>
  <c r="AX34" i="17"/>
  <c r="AZ34" i="17"/>
  <c r="AQ34" i="17"/>
  <c r="AZ25" i="17"/>
  <c r="BA25" i="17"/>
  <c r="AX16" i="17"/>
  <c r="BA16" i="17"/>
  <c r="AZ16" i="17"/>
  <c r="AY16" i="17"/>
  <c r="BA49" i="17"/>
  <c r="AZ49" i="17"/>
  <c r="BA38" i="17"/>
  <c r="AX38" i="17"/>
  <c r="AZ38" i="17"/>
  <c r="AY38" i="17"/>
  <c r="AY28" i="17"/>
  <c r="AZ28" i="17"/>
  <c r="AX28" i="17"/>
  <c r="BA28" i="17"/>
  <c r="AQ16" i="17"/>
  <c r="BA14" i="17"/>
  <c r="AZ14" i="17"/>
  <c r="AX14" i="17"/>
  <c r="AY14" i="17"/>
  <c r="AY20" i="17"/>
  <c r="BA20" i="17"/>
  <c r="AX20" i="17"/>
  <c r="AZ20" i="17"/>
  <c r="AQ22" i="17"/>
  <c r="AZ33" i="17"/>
  <c r="BA33" i="17"/>
  <c r="AY44" i="17"/>
  <c r="AZ44" i="17"/>
  <c r="AX44" i="17"/>
  <c r="BA44" i="17"/>
  <c r="AY32" i="17"/>
  <c r="AX32" i="17"/>
  <c r="BA32" i="17"/>
  <c r="AZ32" i="17"/>
  <c r="BA27" i="17"/>
  <c r="AZ27" i="17"/>
  <c r="AZ13" i="17"/>
  <c r="BA13" i="17"/>
  <c r="AZ41" i="17"/>
  <c r="BA41" i="17"/>
  <c r="AQ48" i="17"/>
  <c r="AY36" i="17"/>
  <c r="BA36" i="17"/>
  <c r="AX36" i="17"/>
  <c r="AZ36" i="17"/>
  <c r="AQ10" i="17"/>
  <c r="BA15" i="17"/>
  <c r="AZ15" i="17"/>
  <c r="AT38" i="19" l="1"/>
  <c r="AS38" i="19" s="1"/>
  <c r="AT26" i="19"/>
  <c r="AS26" i="19" s="1"/>
  <c r="AS46" i="17"/>
  <c r="AR46" i="17" s="1"/>
  <c r="AS42" i="17"/>
  <c r="AR42" i="17" s="1"/>
  <c r="AT24" i="19"/>
  <c r="AS24" i="19" s="1"/>
  <c r="AT18" i="19"/>
  <c r="AS18" i="19" s="1"/>
  <c r="AS24" i="17"/>
  <c r="AR24" i="17" s="1"/>
  <c r="AS12" i="17"/>
  <c r="AR12" i="17" s="1"/>
  <c r="AT34" i="19"/>
  <c r="AS34" i="19" s="1"/>
  <c r="AS20" i="17"/>
  <c r="AR20" i="17" s="1"/>
  <c r="AT16" i="19"/>
  <c r="AS16" i="19" s="1"/>
  <c r="AS22" i="17"/>
  <c r="AR22" i="17" s="1"/>
  <c r="AT30" i="19"/>
  <c r="AS30" i="19" s="1"/>
  <c r="AT11" i="19"/>
  <c r="AS36" i="17"/>
  <c r="AR36" i="17" s="1"/>
  <c r="AS10" i="17"/>
  <c r="AR10" i="17" s="1"/>
  <c r="AS48" i="17"/>
  <c r="AR48" i="17" s="1"/>
  <c r="AT20" i="19"/>
  <c r="AS20" i="19" s="1"/>
  <c r="AS32" i="17"/>
  <c r="AR32" i="17" s="1"/>
  <c r="AS30" i="17"/>
  <c r="AR30" i="17" s="1"/>
  <c r="AT36" i="19"/>
  <c r="AS36" i="19" s="1"/>
  <c r="AS16" i="17"/>
  <c r="AR16" i="17" s="1"/>
  <c r="AT32" i="19"/>
  <c r="AS32" i="19" s="1"/>
  <c r="AT10" i="19"/>
  <c r="AS10" i="19" s="1"/>
  <c r="AT28" i="19"/>
  <c r="AS28" i="19" s="1"/>
  <c r="AT12" i="19"/>
  <c r="AS12" i="19" s="1"/>
  <c r="AS14" i="17"/>
  <c r="AR14" i="17" s="1"/>
  <c r="AS28" i="17"/>
  <c r="AR28" i="17" s="1"/>
  <c r="AS44" i="17"/>
  <c r="AR44" i="17" s="1"/>
  <c r="AS38" i="17"/>
  <c r="AR38" i="17" s="1"/>
  <c r="AS34" i="17"/>
  <c r="AR3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Y8" authorId="0" shapeId="0" xr:uid="{BC1480D8-526A-47E0-8877-BAC3C2641D1D}">
      <text>
        <r>
          <rPr>
            <b/>
            <sz val="9"/>
            <color indexed="81"/>
            <rFont val="Segoe UI"/>
            <family val="2"/>
          </rPr>
          <t>Autor:</t>
        </r>
        <r>
          <rPr>
            <sz val="9"/>
            <color indexed="81"/>
            <rFont val="Segoe UI"/>
            <family val="2"/>
          </rPr>
          <t xml:space="preserve">
Exige avaliação do risco</t>
        </r>
      </text>
    </comment>
  </commentList>
</comments>
</file>

<file path=xl/sharedStrings.xml><?xml version="1.0" encoding="utf-8"?>
<sst xmlns="http://schemas.openxmlformats.org/spreadsheetml/2006/main" count="469" uniqueCount="168">
  <si>
    <t>Item</t>
  </si>
  <si>
    <t>Significância</t>
  </si>
  <si>
    <t>Financeiro</t>
  </si>
  <si>
    <t>Legal</t>
  </si>
  <si>
    <t>Características</t>
  </si>
  <si>
    <t>Controle Inexistente</t>
  </si>
  <si>
    <t>Tipo</t>
  </si>
  <si>
    <t>Anual</t>
  </si>
  <si>
    <t>Trimestral</t>
  </si>
  <si>
    <t>Mensal</t>
  </si>
  <si>
    <t>Semanal</t>
  </si>
  <si>
    <t>Diário</t>
  </si>
  <si>
    <t>N.A.</t>
  </si>
  <si>
    <t>Média</t>
  </si>
  <si>
    <t>Controle-chave efetivo</t>
  </si>
  <si>
    <t>Automatizado</t>
  </si>
  <si>
    <t>Manual</t>
  </si>
  <si>
    <t>Administrável</t>
  </si>
  <si>
    <t>Indesejável</t>
  </si>
  <si>
    <t>Intolerável</t>
  </si>
  <si>
    <t>Desprezível</t>
  </si>
  <si>
    <t>Avaliação de Impacto</t>
  </si>
  <si>
    <t>Pontos</t>
  </si>
  <si>
    <t>Inf. Média</t>
  </si>
  <si>
    <t>X</t>
  </si>
  <si>
    <t>Avaliação do Controle (Probabilidade)</t>
  </si>
  <si>
    <t>Controle Compensatório efetivo</t>
  </si>
  <si>
    <t>Probabilidade</t>
  </si>
  <si>
    <t>Baixo</t>
  </si>
  <si>
    <t>Moderado</t>
  </si>
  <si>
    <t>Significativo</t>
  </si>
  <si>
    <t>Alto</t>
  </si>
  <si>
    <t>Impacto</t>
  </si>
  <si>
    <t>Ações / Monitoramento</t>
  </si>
  <si>
    <t>Responsável</t>
  </si>
  <si>
    <t>1.</t>
  </si>
  <si>
    <t>2.</t>
  </si>
  <si>
    <t>3.</t>
  </si>
  <si>
    <t>4.</t>
  </si>
  <si>
    <t>5.</t>
  </si>
  <si>
    <t>6.</t>
  </si>
  <si>
    <t>7.</t>
  </si>
  <si>
    <t>8.</t>
  </si>
  <si>
    <t>9.</t>
  </si>
  <si>
    <t>10.</t>
  </si>
  <si>
    <t>Identificação de Riscos</t>
  </si>
  <si>
    <t>BOM/RO/GR</t>
  </si>
  <si>
    <t>11.</t>
  </si>
  <si>
    <t>12.</t>
  </si>
  <si>
    <t>14.</t>
  </si>
  <si>
    <t>15.</t>
  </si>
  <si>
    <t>13.</t>
  </si>
  <si>
    <t>Identificação das Oportunidades</t>
  </si>
  <si>
    <t>16.</t>
  </si>
  <si>
    <t>17.</t>
  </si>
  <si>
    <t>18.</t>
  </si>
  <si>
    <t>19.</t>
  </si>
  <si>
    <t>20.</t>
  </si>
  <si>
    <t>PROBABILIDADE</t>
  </si>
  <si>
    <t>Oportunidade</t>
  </si>
  <si>
    <t>Imagem</t>
  </si>
  <si>
    <t>Prazo</t>
  </si>
  <si>
    <t>Curto</t>
  </si>
  <si>
    <t>Médio</t>
  </si>
  <si>
    <t>Longo</t>
  </si>
  <si>
    <t>Alta</t>
  </si>
  <si>
    <t>Payback (ROI)</t>
  </si>
  <si>
    <t>Imediato</t>
  </si>
  <si>
    <t>Direcionamento Estratégico</t>
  </si>
  <si>
    <t>Muito Curto</t>
  </si>
  <si>
    <t>Muito Longo</t>
  </si>
  <si>
    <t>Complexidade</t>
  </si>
  <si>
    <t>Nenhuma</t>
  </si>
  <si>
    <t>Baixa</t>
  </si>
  <si>
    <t>Muito Alta</t>
  </si>
  <si>
    <t>Curto Prazo</t>
  </si>
  <si>
    <t>Médio Prazo</t>
  </si>
  <si>
    <t>Longo Prazo</t>
  </si>
  <si>
    <t>Operação</t>
  </si>
  <si>
    <t>Histórico de Ocorrência</t>
  </si>
  <si>
    <t>Mais de uma vez ao dia</t>
  </si>
  <si>
    <t>Nenhum</t>
  </si>
  <si>
    <t>Muito Alto</t>
  </si>
  <si>
    <t>Valor Agregado</t>
  </si>
  <si>
    <t>Controle compensatório Não Efetivo</t>
  </si>
  <si>
    <t>Riscos</t>
  </si>
  <si>
    <t>IMPACTO</t>
  </si>
  <si>
    <t>SIGNIFICÂNCIA</t>
  </si>
  <si>
    <t>Condição para Implantação / Execução</t>
  </si>
  <si>
    <t>Estratégia</t>
  </si>
  <si>
    <t>Prevenir</t>
  </si>
  <si>
    <t>Transferir</t>
  </si>
  <si>
    <t>Mitigar</t>
  </si>
  <si>
    <t>Melhorar</t>
  </si>
  <si>
    <t>Ações para tratar riscos</t>
  </si>
  <si>
    <t>Ações para tratar oportunidades</t>
  </si>
  <si>
    <t>x</t>
  </si>
  <si>
    <t>Matriz de Avaliação e Gestão de Riscos</t>
  </si>
  <si>
    <t>Comercial - Vacância</t>
  </si>
  <si>
    <t xml:space="preserve">Eventos de Sinistros em Imóveis </t>
  </si>
  <si>
    <t>Novos Negócios - Aquisição de Imóveis</t>
  </si>
  <si>
    <t>Novos Negócios - Definição do Produto</t>
  </si>
  <si>
    <t>Assistência Técnica - Conservação dos Imóveis</t>
  </si>
  <si>
    <t>Administrativo - Inadimplência</t>
  </si>
  <si>
    <t>Redução de faturamento em decorrência de Pandemias "Covid-19"</t>
  </si>
  <si>
    <t>a) gestão comercial: vacância em R$ de 5,7%; em ABL de 9,96%, base set.2020;</t>
  </si>
  <si>
    <t>Ana Cristina</t>
  </si>
  <si>
    <t>b) negociações pontuais com locatários visando evitar a desocupação;</t>
  </si>
  <si>
    <t>c) imóvel de Fortaleza representa 15% do custo mensal (R$ 27k)</t>
  </si>
  <si>
    <t>a)  seguro dos imóveis:</t>
  </si>
  <si>
    <t>b) segurança ou monitoramento nos imóveis desocupados;</t>
  </si>
  <si>
    <t>a) procedimento de análise de viabilidade;</t>
  </si>
  <si>
    <t>Nelson</t>
  </si>
  <si>
    <t>b) apresentação e aprovação do Conselho;</t>
  </si>
  <si>
    <t>a) pesquisa de mercado;</t>
  </si>
  <si>
    <t>b) busca de negócios com locação "casada";</t>
  </si>
  <si>
    <t>c) viabilidade apresentada e aprovada pelo Conselho;</t>
  </si>
  <si>
    <t>a) manutenção corretiva;</t>
  </si>
  <si>
    <t>b) manutenção e controle preventivo (futura equip. de manutenção da Piemonte);</t>
  </si>
  <si>
    <t>a) acompanhamento por evento;</t>
  </si>
  <si>
    <t>b) procedimentos jurídicos;</t>
  </si>
  <si>
    <t>b) buscar negociações;</t>
  </si>
  <si>
    <t>Matriz de Avaliação e Gestão de Oportunidades</t>
  </si>
  <si>
    <t>GESTÃO DE PROPRIEDADES</t>
  </si>
  <si>
    <t>Expansão/aumento de faturamento na captação de  Novos Negocios</t>
  </si>
  <si>
    <t>CANTU</t>
  </si>
  <si>
    <t>GR 178 / 179</t>
  </si>
  <si>
    <t>Ações de monitoramento evidenciadas conforme GR 178/179 no SIGO</t>
  </si>
  <si>
    <t>Receita Taxa de Adm</t>
  </si>
  <si>
    <t>Receita MO Adm</t>
  </si>
  <si>
    <t>Impostos</t>
  </si>
  <si>
    <t>Custos Equipe</t>
  </si>
  <si>
    <t>Custo de deslocamento</t>
  </si>
  <si>
    <t>Margem Bruta</t>
  </si>
  <si>
    <t>Despesas Adm</t>
  </si>
  <si>
    <t>Resutado</t>
  </si>
  <si>
    <t>IRPJ</t>
  </si>
  <si>
    <t>Resultado Final</t>
  </si>
  <si>
    <t>Margem Líquida</t>
  </si>
  <si>
    <t>Curva Física</t>
  </si>
  <si>
    <t>TOTAL</t>
  </si>
  <si>
    <t>ANÁLISE 
ECONOMIA / ESTOURO</t>
  </si>
  <si>
    <t>VALOR RESPONSABILIDADE PIEMONTE</t>
  </si>
  <si>
    <t>VALOR 
ESTOURO / ECONOMIA</t>
  </si>
  <si>
    <t>Coordenador 20 meses</t>
  </si>
  <si>
    <t>Engenheiro 20 meses</t>
  </si>
  <si>
    <t>Estagiário 20 meses</t>
  </si>
  <si>
    <t>Analista de Engenharia 20 meses (1/2)</t>
  </si>
  <si>
    <t>Engenheiro de Seg 20 meses</t>
  </si>
  <si>
    <t>Estouro 5% - Rateio 50%</t>
  </si>
  <si>
    <t>Estouro Acima 5% - CONTRATADO</t>
  </si>
  <si>
    <t>Economia 2,5% - CONTRATANTE</t>
  </si>
  <si>
    <t>Economia 5% - RATEIO 50%</t>
  </si>
  <si>
    <t>Economia Acima 5% - CONTRATADO</t>
  </si>
  <si>
    <t>Permuta 30% Taxa de Adm</t>
  </si>
  <si>
    <t>Receita Assistência</t>
  </si>
  <si>
    <t>RECEITA</t>
  </si>
  <si>
    <t>CUSTO</t>
  </si>
  <si>
    <t>DESPESA</t>
  </si>
  <si>
    <t>apoio</t>
  </si>
  <si>
    <t>variável por ano
2023 - 39%
2024 - 30%
2025 - 22%</t>
  </si>
  <si>
    <t>a partir de acima</t>
  </si>
  <si>
    <t>Estouro 2,5% - CONTRATANTE</t>
  </si>
  <si>
    <t>ARETHA</t>
  </si>
  <si>
    <t>Despesa Assistência</t>
  </si>
  <si>
    <t>RECEITAS - IMPOSTOS</t>
  </si>
  <si>
    <t>Comissão</t>
  </si>
  <si>
    <t>Resultado Bruto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</si>
</sst>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43" formatCode="_-* #,##0.00_-;\-* #,##0.00_-;_-* &quot;-&quot;??_-;_-@_-"/>
  </numFmts>
  <fonts count="52" x14ac:knownFonts="1">
    <font>
      <sz val="11"/>
      <color theme="1"/>
      <name val="Calibri"/>
      <family val="2"/>
      <scheme val="minor"/>
    </font>
    <font>
      <b/>
      <sz val="11"/>
      <color indexed="8"/>
      <name val="Arial"/>
      <family val="2"/>
    </font>
    <font>
      <sz val="11"/>
      <color indexed="8"/>
      <name val="Arial"/>
      <family val="2"/>
    </font>
    <font>
      <b/>
      <sz val="14"/>
      <color indexed="8"/>
      <name val="Segoe UI"/>
      <family val="2"/>
    </font>
    <font>
      <sz val="10"/>
      <color indexed="8"/>
      <name val="Arial"/>
      <family val="2"/>
    </font>
    <font>
      <sz val="10"/>
      <name val="Arial"/>
      <family val="2"/>
    </font>
    <font>
      <b/>
      <sz val="8"/>
      <color indexed="8"/>
      <name val="Arial"/>
      <family val="2"/>
    </font>
    <font>
      <sz val="11"/>
      <color theme="1"/>
      <name val="Calibri"/>
      <family val="2"/>
      <scheme val="minor"/>
    </font>
    <font>
      <b/>
      <sz val="12"/>
      <color theme="1"/>
      <name val="Century Gothic"/>
      <family val="2"/>
    </font>
    <font>
      <sz val="11"/>
      <color theme="0"/>
      <name val="Arial"/>
      <family val="2"/>
    </font>
    <font>
      <b/>
      <sz val="9"/>
      <color indexed="8"/>
      <name val="Arial"/>
      <family val="2"/>
    </font>
    <font>
      <sz val="8"/>
      <color indexed="8"/>
      <name val="Arial"/>
      <family val="2"/>
    </font>
    <font>
      <sz val="7"/>
      <color indexed="8"/>
      <name val="Arial"/>
      <family val="2"/>
    </font>
    <font>
      <b/>
      <sz val="11"/>
      <color theme="0"/>
      <name val="Arial"/>
      <family val="2"/>
    </font>
    <font>
      <b/>
      <sz val="7"/>
      <color theme="0"/>
      <name val="Arial"/>
      <family val="2"/>
    </font>
    <font>
      <sz val="8"/>
      <color theme="0"/>
      <name val="Arial"/>
      <family val="2"/>
    </font>
    <font>
      <sz val="9"/>
      <color indexed="8"/>
      <name val="Arial"/>
      <family val="2"/>
    </font>
    <font>
      <sz val="10"/>
      <color indexed="8"/>
      <name val="Calibri"/>
      <family val="2"/>
      <scheme val="minor"/>
    </font>
    <font>
      <sz val="8"/>
      <name val="Arial"/>
      <family val="2"/>
    </font>
    <font>
      <sz val="8"/>
      <color rgb="FFFF0000"/>
      <name val="Arial"/>
      <family val="2"/>
    </font>
    <font>
      <sz val="11"/>
      <color rgb="FFFF0000"/>
      <name val="Arial"/>
      <family val="2"/>
    </font>
    <font>
      <b/>
      <sz val="11"/>
      <color rgb="FFFF0000"/>
      <name val="Arial"/>
      <family val="2"/>
    </font>
    <font>
      <b/>
      <sz val="7"/>
      <color rgb="FFFF0000"/>
      <name val="Arial"/>
      <family val="2"/>
    </font>
    <font>
      <b/>
      <sz val="9"/>
      <color rgb="FFFF0000"/>
      <name val="Arial"/>
      <family val="2"/>
    </font>
    <font>
      <sz val="10"/>
      <color rgb="FFFF0000"/>
      <name val="Arial"/>
      <family val="2"/>
    </font>
    <font>
      <sz val="9"/>
      <color indexed="81"/>
      <name val="Segoe UI"/>
      <family val="2"/>
    </font>
    <font>
      <b/>
      <sz val="9"/>
      <color indexed="81"/>
      <name val="Segoe UI"/>
      <family val="2"/>
    </font>
    <font>
      <sz val="16"/>
      <name val="Arial"/>
      <family val="2"/>
    </font>
    <font>
      <b/>
      <sz val="11"/>
      <color theme="1"/>
      <name val="Calibri"/>
      <family val="2"/>
      <scheme val="minor"/>
    </font>
    <font>
      <b/>
      <sz val="20"/>
      <color theme="0"/>
      <name val="Segoe UI"/>
      <family val="2"/>
    </font>
    <font>
      <b/>
      <sz val="14"/>
      <name val="Segoe UI"/>
      <family val="2"/>
    </font>
    <font>
      <b/>
      <sz val="11"/>
      <name val="Arial"/>
      <family val="2"/>
    </font>
    <font>
      <b/>
      <sz val="14"/>
      <color indexed="8"/>
      <name val="Arial"/>
      <family val="2"/>
    </font>
    <font>
      <b/>
      <sz val="16"/>
      <color indexed="8"/>
      <name val="Arial"/>
      <family val="2"/>
    </font>
    <font>
      <b/>
      <sz val="16"/>
      <name val="Arial"/>
      <family val="2"/>
    </font>
    <font>
      <b/>
      <sz val="14"/>
      <color theme="0"/>
      <name val="Arial"/>
      <family val="2"/>
    </font>
    <font>
      <b/>
      <sz val="10"/>
      <color indexed="8"/>
      <name val="Arial"/>
      <family val="2"/>
    </font>
    <font>
      <sz val="11"/>
      <name val="Arial"/>
      <family val="2"/>
    </font>
    <font>
      <b/>
      <sz val="20"/>
      <color rgb="FFFF0000"/>
      <name val="Segoe UI"/>
      <family val="2"/>
    </font>
    <font>
      <sz val="10"/>
      <color theme="0"/>
      <name val="Arial"/>
      <family val="2"/>
    </font>
    <font>
      <b/>
      <sz val="14"/>
      <color rgb="FFFF0000"/>
      <name val="Segoe UI"/>
      <family val="2"/>
    </font>
    <font>
      <sz val="10"/>
      <color theme="0"/>
      <name val="Calibri"/>
      <family val="2"/>
      <scheme val="minor"/>
    </font>
    <font>
      <sz val="11"/>
      <color rgb="FF000000"/>
      <name val="Calibri"/>
      <family val="2"/>
    </font>
    <font>
      <b/>
      <sz val="11"/>
      <color rgb="FF000000"/>
      <name val="Calibri"/>
      <family val="2"/>
    </font>
    <font>
      <b/>
      <sz val="11"/>
      <name val="Calibri"/>
      <family val="2"/>
    </font>
    <font>
      <b/>
      <sz val="9"/>
      <name val="Calibri"/>
      <family val="2"/>
    </font>
    <font>
      <sz val="9"/>
      <color rgb="FFFF0000"/>
      <name val="Calibri"/>
      <family val="2"/>
      <scheme val="minor"/>
    </font>
    <font>
      <b/>
      <sz val="9"/>
      <color rgb="FFFF0000"/>
      <name val="Calibri"/>
      <family val="2"/>
      <scheme val="minor"/>
    </font>
    <font>
      <sz val="9"/>
      <color rgb="FF000000"/>
      <name val="Calibri"/>
      <family val="2"/>
    </font>
    <font>
      <sz val="9"/>
      <color theme="1"/>
      <name val="Calibri"/>
      <family val="2"/>
      <scheme val="minor"/>
    </font>
    <font>
      <i/>
      <sz val="11"/>
      <color rgb="FFFF0000"/>
      <name val="Calibri"/>
      <family val="2"/>
    </font>
    <font>
      <i/>
      <sz val="11"/>
      <color rgb="FF000000"/>
      <name val="Calibri"/>
      <family val="2"/>
    </font>
  </fonts>
  <fills count="25">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8C00"/>
        <bgColor indexed="64"/>
      </patternFill>
    </fill>
    <fill>
      <gradientFill degree="180">
        <stop position="0">
          <color theme="0"/>
        </stop>
        <stop position="1">
          <color theme="1" tint="0.49803155613879818"/>
        </stop>
      </gradientFill>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
      <gradientFill degree="270">
        <stop position="0">
          <color theme="0"/>
        </stop>
        <stop position="1">
          <color theme="1" tint="0.49803155613879818"/>
        </stop>
      </gradientFill>
    </fill>
    <fill>
      <gradientFill degree="270">
        <stop position="0">
          <color theme="0"/>
        </stop>
        <stop position="1">
          <color theme="9" tint="0.40000610370189521"/>
        </stop>
      </gradientFill>
    </fill>
    <fill>
      <patternFill patternType="solid">
        <fgColor theme="0" tint="-0.14999847407452621"/>
        <bgColor indexed="64"/>
      </patternFill>
    </fill>
    <fill>
      <patternFill patternType="solid">
        <fgColor theme="0"/>
        <bgColor auto="1"/>
      </patternFill>
    </fill>
    <fill>
      <patternFill patternType="solid">
        <fgColor rgb="FF00B0F0"/>
        <bgColor indexed="64"/>
      </patternFill>
    </fill>
    <fill>
      <patternFill patternType="solid">
        <fgColor rgb="FF00206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82BC46"/>
        <bgColor indexed="64"/>
      </patternFill>
    </fill>
    <fill>
      <patternFill patternType="solid">
        <fgColor rgb="FF9DAF94"/>
        <bgColor indexed="64"/>
      </patternFill>
    </fill>
    <fill>
      <patternFill patternType="solid">
        <fgColor rgb="FFF18B00"/>
        <bgColor indexed="64"/>
      </patternFill>
    </fill>
    <fill>
      <patternFill patternType="solid">
        <fgColor rgb="FFF2D100"/>
        <bgColor indexed="64"/>
      </patternFill>
    </fill>
  </fills>
  <borders count="62">
    <border>
      <left/>
      <right/>
      <top/>
      <bottom/>
      <diagonal/>
    </border>
    <border>
      <left style="thin">
        <color indexed="64"/>
      </left>
      <right style="thin">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right style="thin">
        <color indexed="64"/>
      </right>
      <top/>
      <bottom style="medium">
        <color indexed="64"/>
      </bottom>
      <diagonal/>
    </border>
    <border>
      <left/>
      <right/>
      <top/>
      <bottom style="thin">
        <color theme="8" tint="-0.24994659260841701"/>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8" tint="-0.24994659260841701"/>
      </right>
      <top style="thin">
        <color theme="8" tint="-0.24994659260841701"/>
      </top>
      <bottom style="thin">
        <color theme="8" tint="-0.24994659260841701"/>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8" tint="-0.24994659260841701"/>
      </right>
      <top/>
      <bottom style="thin">
        <color theme="8" tint="-0.24994659260841701"/>
      </bottom>
      <diagonal/>
    </border>
    <border>
      <left/>
      <right style="thin">
        <color indexed="64"/>
      </right>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diagonal/>
    </border>
    <border>
      <left/>
      <right style="medium">
        <color theme="0" tint="-0.499984740745262"/>
      </right>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style="medium">
        <color theme="0" tint="-0.499984740745262"/>
      </left>
      <right/>
      <top/>
      <bottom/>
      <diagonal/>
    </border>
    <border>
      <left style="medium">
        <color theme="0" tint="-0.499984740745262"/>
      </left>
      <right/>
      <top/>
      <bottom style="medium">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0">
    <xf numFmtId="0" fontId="0"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0" fontId="42" fillId="0" borderId="0"/>
    <xf numFmtId="44" fontId="42" fillId="0" borderId="0" applyFont="0" applyFill="0" applyBorder="0" applyAlignment="0" applyProtection="0"/>
    <xf numFmtId="9" fontId="42"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cellStyleXfs>
  <cellXfs count="281">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9" fillId="0" borderId="0" xfId="0" applyFont="1" applyAlignment="1">
      <alignment horizontal="center" vertical="center"/>
    </xf>
    <xf numFmtId="0" fontId="1" fillId="0" borderId="0" xfId="0" applyFont="1" applyAlignment="1">
      <alignment horizontal="center" vertical="center" wrapText="1"/>
    </xf>
    <xf numFmtId="0" fontId="2" fillId="0" borderId="2" xfId="0" applyFont="1" applyBorder="1" applyAlignment="1">
      <alignment horizontal="center" vertical="center"/>
    </xf>
    <xf numFmtId="0" fontId="4" fillId="2" borderId="2" xfId="0" applyFont="1" applyFill="1" applyBorder="1" applyAlignment="1">
      <alignment horizontal="center" vertical="center" wrapText="1"/>
    </xf>
    <xf numFmtId="3" fontId="2" fillId="0" borderId="0" xfId="0" applyNumberFormat="1" applyFont="1" applyAlignment="1">
      <alignment horizontal="center" vertical="center" wrapText="1"/>
    </xf>
    <xf numFmtId="0" fontId="11" fillId="2" borderId="19" xfId="0" applyFont="1" applyFill="1" applyBorder="1" applyAlignment="1">
      <alignment horizontal="center" vertical="center" wrapText="1"/>
    </xf>
    <xf numFmtId="3" fontId="11" fillId="0" borderId="0" xfId="0" applyNumberFormat="1" applyFont="1" applyAlignment="1">
      <alignment horizontal="center" vertical="center" wrapText="1"/>
    </xf>
    <xf numFmtId="0" fontId="11" fillId="2" borderId="0" xfId="0" applyFont="1" applyFill="1" applyAlignment="1">
      <alignment horizontal="center" vertical="center" wrapText="1"/>
    </xf>
    <xf numFmtId="3" fontId="9" fillId="0" borderId="0" xfId="0" applyNumberFormat="1" applyFont="1" applyAlignment="1">
      <alignment horizontal="center" vertical="center" wrapText="1"/>
    </xf>
    <xf numFmtId="3" fontId="13" fillId="0" borderId="0" xfId="0" applyNumberFormat="1" applyFont="1" applyAlignment="1">
      <alignment horizontal="center" vertical="center" wrapText="1"/>
    </xf>
    <xf numFmtId="3" fontId="14" fillId="0" borderId="0" xfId="0" applyNumberFormat="1" applyFont="1" applyAlignment="1">
      <alignment horizontal="center" vertical="center" wrapText="1"/>
    </xf>
    <xf numFmtId="3" fontId="15" fillId="0" borderId="0" xfId="0" applyNumberFormat="1" applyFont="1" applyAlignment="1">
      <alignment horizontal="center" vertical="center" wrapText="1"/>
    </xf>
    <xf numFmtId="0" fontId="11" fillId="0" borderId="0" xfId="0" applyFont="1" applyAlignment="1">
      <alignment horizontal="center" vertical="center"/>
    </xf>
    <xf numFmtId="0" fontId="4" fillId="2" borderId="0" xfId="0" applyFont="1" applyFill="1" applyAlignment="1">
      <alignment horizontal="center" vertical="center" wrapText="1"/>
    </xf>
    <xf numFmtId="0" fontId="11"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5" fillId="4" borderId="0" xfId="0" applyFont="1" applyFill="1" applyAlignment="1">
      <alignment horizontal="center" vertical="center"/>
    </xf>
    <xf numFmtId="0" fontId="11" fillId="2" borderId="0" xfId="0" applyFont="1" applyFill="1" applyAlignment="1" applyProtection="1">
      <alignment horizontal="center" vertical="center" wrapText="1"/>
      <protection locked="0"/>
    </xf>
    <xf numFmtId="0" fontId="0" fillId="0" borderId="3" xfId="0" applyBorder="1"/>
    <xf numFmtId="0" fontId="0" fillId="0" borderId="4" xfId="0" applyBorder="1"/>
    <xf numFmtId="0" fontId="0" fillId="0" borderId="5" xfId="0" applyBorder="1"/>
    <xf numFmtId="0" fontId="0" fillId="0" borderId="6" xfId="0" applyBorder="1"/>
    <xf numFmtId="0" fontId="0" fillId="5" borderId="0" xfId="0" applyFill="1"/>
    <xf numFmtId="0" fontId="8" fillId="0" borderId="0" xfId="0" applyFont="1"/>
    <xf numFmtId="0" fontId="0" fillId="0" borderId="7" xfId="0" applyBorder="1"/>
    <xf numFmtId="0" fontId="0" fillId="7" borderId="0" xfId="0" applyFill="1"/>
    <xf numFmtId="0" fontId="0" fillId="8" borderId="0" xfId="0" applyFill="1"/>
    <xf numFmtId="0" fontId="0" fillId="6" borderId="0" xfId="0" applyFill="1"/>
    <xf numFmtId="0" fontId="0" fillId="0" borderId="8" xfId="0" applyBorder="1"/>
    <xf numFmtId="0" fontId="0" fillId="0" borderId="9" xfId="0" applyBorder="1"/>
    <xf numFmtId="0" fontId="0" fillId="0" borderId="10" xfId="0" applyBorder="1"/>
    <xf numFmtId="0" fontId="15" fillId="0" borderId="0" xfId="0" applyFont="1" applyAlignment="1">
      <alignment horizontal="center" vertical="center"/>
    </xf>
    <xf numFmtId="0" fontId="11" fillId="2" borderId="24" xfId="0" applyFont="1" applyFill="1" applyBorder="1" applyAlignment="1">
      <alignment horizontal="center" vertical="center" wrapText="1"/>
    </xf>
    <xf numFmtId="0" fontId="11" fillId="2" borderId="23" xfId="0" applyFont="1" applyFill="1" applyBorder="1" applyAlignment="1" applyProtection="1">
      <alignment horizontal="center" vertical="center" wrapText="1"/>
      <protection locked="0"/>
    </xf>
    <xf numFmtId="0" fontId="11" fillId="2" borderId="23" xfId="0" applyFont="1" applyFill="1" applyBorder="1" applyAlignment="1">
      <alignment horizontal="center" vertical="center" wrapText="1"/>
    </xf>
    <xf numFmtId="0" fontId="10" fillId="0" borderId="23" xfId="0" applyFont="1" applyBorder="1" applyAlignment="1">
      <alignment horizontal="center" vertical="center"/>
    </xf>
    <xf numFmtId="0" fontId="4" fillId="2" borderId="22" xfId="0" applyFont="1" applyFill="1" applyBorder="1" applyAlignment="1" applyProtection="1">
      <alignment vertical="center" wrapText="1"/>
      <protection locked="0"/>
    </xf>
    <xf numFmtId="0" fontId="2" fillId="9" borderId="0" xfId="0" applyFont="1" applyFill="1" applyAlignment="1">
      <alignment horizontal="center" vertical="center"/>
    </xf>
    <xf numFmtId="0" fontId="2" fillId="12" borderId="11" xfId="0" applyFont="1" applyFill="1" applyBorder="1" applyAlignment="1">
      <alignment horizontal="center" vertical="center"/>
    </xf>
    <xf numFmtId="0" fontId="1" fillId="12" borderId="12" xfId="0" applyFont="1" applyFill="1" applyBorder="1" applyAlignment="1">
      <alignment vertical="center"/>
    </xf>
    <xf numFmtId="0" fontId="1" fillId="12" borderId="13" xfId="0" applyFont="1" applyFill="1" applyBorder="1" applyAlignment="1">
      <alignment vertical="center"/>
    </xf>
    <xf numFmtId="0" fontId="17" fillId="2" borderId="22" xfId="0" applyFont="1" applyFill="1" applyBorder="1" applyAlignment="1" applyProtection="1">
      <alignment horizontal="left" vertical="center" wrapText="1"/>
      <protection locked="0"/>
    </xf>
    <xf numFmtId="0" fontId="2" fillId="0" borderId="0" xfId="0" applyFont="1" applyAlignment="1">
      <alignment horizontal="left" vertical="center" wrapText="1"/>
    </xf>
    <xf numFmtId="0" fontId="4" fillId="2" borderId="0" xfId="0" applyFont="1" applyFill="1" applyAlignment="1" applyProtection="1">
      <alignment horizontal="left" vertical="center" wrapText="1"/>
      <protection locked="0"/>
    </xf>
    <xf numFmtId="0" fontId="4" fillId="2" borderId="0" xfId="0" applyFont="1" applyFill="1" applyAlignment="1">
      <alignment horizontal="left" vertical="center" wrapText="1"/>
    </xf>
    <xf numFmtId="0" fontId="17" fillId="15" borderId="22" xfId="0" applyFont="1" applyFill="1" applyBorder="1" applyAlignment="1" applyProtection="1">
      <alignment horizontal="left" vertical="center" wrapText="1"/>
      <protection locked="0"/>
    </xf>
    <xf numFmtId="0" fontId="2" fillId="16" borderId="0" xfId="0" applyFont="1" applyFill="1" applyAlignment="1">
      <alignment horizontal="center" vertical="center"/>
    </xf>
    <xf numFmtId="0" fontId="17" fillId="4" borderId="22" xfId="0" applyFont="1" applyFill="1" applyBorder="1" applyAlignment="1" applyProtection="1">
      <alignment horizontal="left" vertical="center" wrapText="1"/>
      <protection locked="0"/>
    </xf>
    <xf numFmtId="0" fontId="2" fillId="4" borderId="0" xfId="0" applyFont="1" applyFill="1" applyAlignment="1">
      <alignment horizontal="center" vertical="center" wrapText="1"/>
    </xf>
    <xf numFmtId="0" fontId="11" fillId="4" borderId="23" xfId="0" applyFont="1" applyFill="1" applyBorder="1" applyAlignment="1" applyProtection="1">
      <alignment horizontal="center" vertical="center" wrapText="1"/>
      <protection locked="0"/>
    </xf>
    <xf numFmtId="0" fontId="11" fillId="4" borderId="23" xfId="0" applyFont="1" applyFill="1" applyBorder="1" applyAlignment="1">
      <alignment horizontal="center" vertical="center" wrapText="1"/>
    </xf>
    <xf numFmtId="0" fontId="11" fillId="4" borderId="24" xfId="0" applyFont="1" applyFill="1" applyBorder="1" applyAlignment="1">
      <alignment horizontal="center" vertical="center" wrapText="1"/>
    </xf>
    <xf numFmtId="3" fontId="15" fillId="4" borderId="0" xfId="0" applyNumberFormat="1" applyFont="1" applyFill="1" applyAlignment="1">
      <alignment horizontal="center" vertical="center" wrapText="1"/>
    </xf>
    <xf numFmtId="3" fontId="11" fillId="4" borderId="0" xfId="0" applyNumberFormat="1" applyFont="1" applyFill="1" applyAlignment="1">
      <alignment horizontal="center" vertical="center" wrapText="1"/>
    </xf>
    <xf numFmtId="0" fontId="10" fillId="4" borderId="23" xfId="0" applyFont="1" applyFill="1" applyBorder="1" applyAlignment="1">
      <alignment horizontal="center" vertical="center"/>
    </xf>
    <xf numFmtId="0" fontId="2" fillId="4" borderId="0" xfId="0" applyFont="1" applyFill="1" applyAlignment="1">
      <alignment horizontal="center" vertical="center"/>
    </xf>
    <xf numFmtId="0" fontId="9" fillId="4" borderId="0" xfId="0" applyFont="1" applyFill="1" applyAlignment="1">
      <alignment horizontal="center" vertical="center"/>
    </xf>
    <xf numFmtId="0" fontId="0" fillId="0" borderId="27" xfId="0" applyBorder="1" applyAlignment="1">
      <alignment vertical="center" wrapText="1"/>
    </xf>
    <xf numFmtId="0" fontId="4" fillId="2" borderId="27" xfId="0" applyFont="1" applyFill="1" applyBorder="1" applyAlignment="1" applyProtection="1">
      <alignment vertical="center" wrapText="1"/>
      <protection locked="0"/>
    </xf>
    <xf numFmtId="0" fontId="11" fillId="0" borderId="28" xfId="0" applyFont="1" applyBorder="1" applyAlignment="1" applyProtection="1">
      <alignment horizontal="center" vertical="center" wrapText="1"/>
      <protection locked="0"/>
    </xf>
    <xf numFmtId="0" fontId="1" fillId="0" borderId="23" xfId="0" applyFont="1" applyBorder="1" applyAlignment="1">
      <alignment horizontal="center" vertical="center" wrapText="1"/>
    </xf>
    <xf numFmtId="0" fontId="1" fillId="4" borderId="23" xfId="0" applyFont="1" applyFill="1" applyBorder="1" applyAlignment="1">
      <alignment vertical="center" wrapText="1"/>
    </xf>
    <xf numFmtId="0" fontId="17" fillId="4" borderId="0" xfId="0" applyFont="1" applyFill="1" applyAlignment="1" applyProtection="1">
      <alignment horizontal="left" vertical="center" wrapText="1"/>
      <protection locked="0"/>
    </xf>
    <xf numFmtId="3" fontId="19" fillId="0" borderId="0" xfId="0" applyNumberFormat="1" applyFont="1" applyAlignment="1">
      <alignment horizontal="center" vertical="center" wrapText="1"/>
    </xf>
    <xf numFmtId="3" fontId="20" fillId="0" borderId="0" xfId="0" applyNumberFormat="1" applyFont="1" applyAlignment="1">
      <alignment horizontal="center" vertical="center" wrapText="1"/>
    </xf>
    <xf numFmtId="3" fontId="21" fillId="0" borderId="0" xfId="0" applyNumberFormat="1" applyFont="1" applyAlignment="1">
      <alignment horizontal="center" vertical="center" wrapText="1"/>
    </xf>
    <xf numFmtId="3" fontId="22" fillId="0" borderId="0" xfId="0" applyNumberFormat="1" applyFont="1" applyAlignment="1">
      <alignment horizontal="center" vertical="center" wrapText="1"/>
    </xf>
    <xf numFmtId="0" fontId="20" fillId="0" borderId="0" xfId="0" applyFont="1" applyAlignment="1">
      <alignment horizontal="center" vertical="center" wrapText="1"/>
    </xf>
    <xf numFmtId="0" fontId="21" fillId="4" borderId="0" xfId="0" applyFont="1" applyFill="1" applyAlignment="1">
      <alignment vertical="center"/>
    </xf>
    <xf numFmtId="0" fontId="23" fillId="4" borderId="0" xfId="0" applyFont="1" applyFill="1" applyAlignment="1">
      <alignment horizontal="center" vertical="center" textRotation="90" wrapText="1"/>
    </xf>
    <xf numFmtId="0" fontId="24" fillId="2" borderId="0" xfId="0" applyFont="1" applyFill="1" applyAlignment="1">
      <alignment horizontal="center" vertical="center" wrapText="1"/>
    </xf>
    <xf numFmtId="0" fontId="19" fillId="2" borderId="0" xfId="0" applyFont="1" applyFill="1" applyAlignment="1">
      <alignment horizontal="center" vertical="center" wrapText="1"/>
    </xf>
    <xf numFmtId="0" fontId="11" fillId="2" borderId="32" xfId="0" applyFont="1" applyFill="1" applyBorder="1" applyAlignment="1" applyProtection="1">
      <alignment horizontal="center" vertical="center" wrapText="1"/>
      <protection locked="0"/>
    </xf>
    <xf numFmtId="0" fontId="2" fillId="0" borderId="23" xfId="0" applyFont="1" applyBorder="1" applyAlignment="1">
      <alignment horizontal="center" vertical="center" wrapText="1"/>
    </xf>
    <xf numFmtId="0" fontId="4" fillId="4" borderId="0" xfId="0" applyFont="1" applyFill="1" applyAlignment="1" applyProtection="1">
      <alignment horizontal="left" vertical="center" wrapText="1"/>
      <protection locked="0"/>
    </xf>
    <xf numFmtId="0" fontId="19" fillId="0" borderId="23" xfId="0" applyFont="1" applyBorder="1" applyAlignment="1">
      <alignment horizontal="center" vertical="center"/>
    </xf>
    <xf numFmtId="0" fontId="20" fillId="0" borderId="23" xfId="0" applyFont="1" applyBorder="1" applyAlignment="1">
      <alignment horizontal="center" vertical="center" wrapText="1"/>
    </xf>
    <xf numFmtId="0" fontId="5" fillId="6" borderId="31" xfId="0" applyFont="1" applyFill="1" applyBorder="1" applyAlignment="1">
      <alignment horizontal="center" vertical="center"/>
    </xf>
    <xf numFmtId="0" fontId="4" fillId="0" borderId="23" xfId="0" applyFont="1" applyBorder="1" applyAlignment="1">
      <alignment horizontal="center" vertical="center"/>
    </xf>
    <xf numFmtId="0" fontId="5" fillId="7" borderId="31" xfId="0" applyFont="1" applyFill="1" applyBorder="1" applyAlignment="1">
      <alignment horizontal="center" vertical="center"/>
    </xf>
    <xf numFmtId="0" fontId="5" fillId="5" borderId="31" xfId="0" applyFont="1" applyFill="1" applyBorder="1" applyAlignment="1">
      <alignment horizontal="center" vertical="center"/>
    </xf>
    <xf numFmtId="3" fontId="19" fillId="4" borderId="0" xfId="0" applyNumberFormat="1" applyFont="1" applyFill="1" applyAlignment="1">
      <alignment horizontal="center" vertical="center" wrapText="1"/>
    </xf>
    <xf numFmtId="0" fontId="19" fillId="4" borderId="0" xfId="0" applyFont="1" applyFill="1" applyAlignment="1">
      <alignment horizontal="center" vertical="center" wrapText="1"/>
    </xf>
    <xf numFmtId="0" fontId="0" fillId="0" borderId="31" xfId="0" applyBorder="1" applyAlignment="1">
      <alignment horizontal="center" vertical="center"/>
    </xf>
    <xf numFmtId="0" fontId="28" fillId="0" borderId="31" xfId="0" applyFont="1" applyBorder="1" applyAlignment="1">
      <alignment horizontal="center" vertical="center"/>
    </xf>
    <xf numFmtId="0" fontId="0" fillId="7" borderId="31" xfId="0" applyFill="1" applyBorder="1" applyAlignment="1">
      <alignment horizontal="center" vertical="center"/>
    </xf>
    <xf numFmtId="0" fontId="0" fillId="5" borderId="31" xfId="0" applyFill="1" applyBorder="1" applyAlignment="1">
      <alignment horizontal="center" vertical="center"/>
    </xf>
    <xf numFmtId="0" fontId="28" fillId="0" borderId="31" xfId="0" quotePrefix="1" applyFont="1" applyBorder="1" applyAlignment="1">
      <alignment horizontal="center" vertical="center"/>
    </xf>
    <xf numFmtId="0" fontId="0" fillId="6" borderId="31" xfId="0" applyFill="1" applyBorder="1" applyAlignment="1">
      <alignment horizontal="center" vertical="center"/>
    </xf>
    <xf numFmtId="0" fontId="1" fillId="11" borderId="4" xfId="0" applyFont="1" applyFill="1" applyBorder="1" applyAlignment="1">
      <alignment horizontal="center" vertical="center"/>
    </xf>
    <xf numFmtId="0" fontId="11" fillId="2" borderId="27" xfId="0" applyFont="1" applyFill="1" applyBorder="1" applyAlignment="1">
      <alignment horizontal="center" vertical="center" wrapText="1"/>
    </xf>
    <xf numFmtId="0" fontId="11" fillId="2" borderId="28" xfId="0" applyFont="1" applyFill="1" applyBorder="1" applyAlignment="1" applyProtection="1">
      <alignment horizontal="center" vertical="center" wrapText="1"/>
      <protection locked="0"/>
    </xf>
    <xf numFmtId="0" fontId="1" fillId="11" borderId="0" xfId="0" applyFont="1" applyFill="1" applyAlignment="1">
      <alignment horizontal="center" vertical="center"/>
    </xf>
    <xf numFmtId="0" fontId="11" fillId="2" borderId="30" xfId="0" applyFont="1" applyFill="1" applyBorder="1" applyAlignment="1" applyProtection="1">
      <alignment horizontal="center" vertical="center" wrapText="1"/>
      <protection locked="0"/>
    </xf>
    <xf numFmtId="0" fontId="11" fillId="2" borderId="33" xfId="0" applyFont="1" applyFill="1" applyBorder="1" applyAlignment="1">
      <alignment horizontal="center" vertical="center" wrapText="1"/>
    </xf>
    <xf numFmtId="3" fontId="2" fillId="0" borderId="23" xfId="0" applyNumberFormat="1" applyFont="1" applyBorder="1" applyAlignment="1">
      <alignment horizontal="center" vertical="center" wrapText="1"/>
    </xf>
    <xf numFmtId="3" fontId="1" fillId="19" borderId="23" xfId="0" applyNumberFormat="1" applyFont="1" applyFill="1" applyBorder="1" applyAlignment="1">
      <alignment horizontal="center" vertical="center" wrapText="1"/>
    </xf>
    <xf numFmtId="0" fontId="12" fillId="19" borderId="40" xfId="0" applyFont="1" applyFill="1" applyBorder="1" applyAlignment="1">
      <alignment horizontal="center" vertical="center" wrapText="1"/>
    </xf>
    <xf numFmtId="0" fontId="12" fillId="19" borderId="41" xfId="0" applyFont="1" applyFill="1" applyBorder="1" applyAlignment="1">
      <alignment horizontal="center" vertical="center" wrapText="1"/>
    </xf>
    <xf numFmtId="3" fontId="1" fillId="19" borderId="41" xfId="0" applyNumberFormat="1" applyFont="1" applyFill="1" applyBorder="1" applyAlignment="1">
      <alignment horizontal="center" vertical="center" wrapText="1"/>
    </xf>
    <xf numFmtId="0" fontId="12" fillId="19" borderId="42" xfId="0" applyFont="1" applyFill="1" applyBorder="1" applyAlignment="1">
      <alignment horizontal="center" vertical="center" wrapText="1"/>
    </xf>
    <xf numFmtId="0" fontId="29" fillId="18" borderId="0" xfId="0" applyFont="1" applyFill="1" applyAlignment="1">
      <alignment vertical="center"/>
    </xf>
    <xf numFmtId="0" fontId="30" fillId="19" borderId="0" xfId="0" applyFont="1" applyFill="1" applyAlignment="1">
      <alignment vertical="center"/>
    </xf>
    <xf numFmtId="0" fontId="1" fillId="19" borderId="0" xfId="0" applyFont="1" applyFill="1" applyAlignment="1">
      <alignment horizontal="center" vertical="center" wrapText="1"/>
    </xf>
    <xf numFmtId="0" fontId="1" fillId="19" borderId="4" xfId="0" applyFont="1" applyFill="1" applyBorder="1" applyAlignment="1">
      <alignment horizontal="center" vertical="center"/>
    </xf>
    <xf numFmtId="3" fontId="21" fillId="19" borderId="0" xfId="0" applyNumberFormat="1" applyFont="1" applyFill="1" applyAlignment="1">
      <alignment horizontal="center" vertical="center" wrapText="1"/>
    </xf>
    <xf numFmtId="3" fontId="13" fillId="19" borderId="0" xfId="0" applyNumberFormat="1" applyFont="1" applyFill="1" applyAlignment="1">
      <alignment horizontal="center" vertical="center" wrapText="1"/>
    </xf>
    <xf numFmtId="3" fontId="22" fillId="19" borderId="0" xfId="0" applyNumberFormat="1" applyFont="1" applyFill="1" applyAlignment="1">
      <alignment horizontal="center" vertical="center" wrapText="1"/>
    </xf>
    <xf numFmtId="3" fontId="14" fillId="19" borderId="0" xfId="0" applyNumberFormat="1" applyFont="1" applyFill="1" applyAlignment="1">
      <alignment horizontal="center" vertical="center" wrapText="1"/>
    </xf>
    <xf numFmtId="0" fontId="1" fillId="3" borderId="46" xfId="0" applyFont="1" applyFill="1" applyBorder="1" applyAlignment="1">
      <alignment vertical="center"/>
    </xf>
    <xf numFmtId="0" fontId="18" fillId="6" borderId="23" xfId="0" applyFont="1" applyFill="1" applyBorder="1" applyAlignment="1">
      <alignment horizontal="center" vertical="center"/>
    </xf>
    <xf numFmtId="0" fontId="18" fillId="7" borderId="23" xfId="0" applyFont="1" applyFill="1" applyBorder="1" applyAlignment="1">
      <alignment horizontal="center" vertical="center"/>
    </xf>
    <xf numFmtId="0" fontId="18" fillId="5" borderId="23" xfId="0" applyFont="1" applyFill="1" applyBorder="1" applyAlignment="1">
      <alignment horizontal="center" vertical="center"/>
    </xf>
    <xf numFmtId="0" fontId="4" fillId="4" borderId="0" xfId="0" applyFont="1" applyFill="1" applyAlignment="1">
      <alignment horizontal="left" vertical="center" wrapText="1"/>
    </xf>
    <xf numFmtId="0" fontId="18" fillId="20" borderId="23" xfId="0" applyFont="1" applyFill="1" applyBorder="1" applyAlignment="1">
      <alignment horizontal="center" vertical="center"/>
    </xf>
    <xf numFmtId="0" fontId="37" fillId="0" borderId="23" xfId="0" applyFont="1" applyBorder="1" applyAlignment="1">
      <alignment horizontal="center" vertical="center" wrapText="1"/>
    </xf>
    <xf numFmtId="0" fontId="0" fillId="0" borderId="55" xfId="0" applyBorder="1" applyAlignment="1">
      <alignment horizontal="center" vertical="center"/>
    </xf>
    <xf numFmtId="0" fontId="0" fillId="17" borderId="56" xfId="0" applyFill="1"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17" borderId="59" xfId="0" applyFill="1" applyBorder="1" applyAlignment="1">
      <alignment horizontal="center" vertical="center"/>
    </xf>
    <xf numFmtId="0" fontId="28" fillId="15" borderId="52" xfId="0" applyFont="1" applyFill="1" applyBorder="1" applyAlignment="1">
      <alignment horizontal="center" vertical="center"/>
    </xf>
    <xf numFmtId="0" fontId="28" fillId="15" borderId="53" xfId="0" applyFont="1" applyFill="1" applyBorder="1" applyAlignment="1">
      <alignment horizontal="center" vertical="center"/>
    </xf>
    <xf numFmtId="0" fontId="28" fillId="15" borderId="54" xfId="0" applyFont="1" applyFill="1" applyBorder="1" applyAlignment="1">
      <alignment horizontal="center" vertical="center"/>
    </xf>
    <xf numFmtId="0" fontId="38" fillId="4" borderId="0" xfId="0" applyFont="1" applyFill="1" applyAlignment="1">
      <alignment vertical="center"/>
    </xf>
    <xf numFmtId="0" fontId="20" fillId="4" borderId="0" xfId="0" applyFont="1" applyFill="1" applyAlignment="1">
      <alignment horizontal="center" vertical="center"/>
    </xf>
    <xf numFmtId="0" fontId="20" fillId="0" borderId="0" xfId="0" applyFont="1" applyAlignment="1">
      <alignment horizontal="center" vertical="center"/>
    </xf>
    <xf numFmtId="0" fontId="10" fillId="4" borderId="0" xfId="0" applyFont="1" applyFill="1" applyAlignment="1">
      <alignment horizontal="center" vertical="center"/>
    </xf>
    <xf numFmtId="0" fontId="10" fillId="0" borderId="27" xfId="0" applyFont="1" applyBorder="1" applyAlignment="1">
      <alignment horizontal="center" vertical="center"/>
    </xf>
    <xf numFmtId="0" fontId="35" fillId="4" borderId="0" xfId="0" applyFont="1" applyFill="1" applyAlignment="1">
      <alignment horizontal="center" vertical="center" wrapText="1"/>
    </xf>
    <xf numFmtId="0" fontId="16" fillId="4" borderId="0" xfId="0" applyFont="1" applyFill="1" applyAlignment="1" applyProtection="1">
      <alignment horizontal="center" vertical="center"/>
      <protection locked="0"/>
    </xf>
    <xf numFmtId="0" fontId="2" fillId="0" borderId="23" xfId="0" applyFont="1" applyBorder="1" applyAlignment="1">
      <alignment horizontal="center" vertical="center"/>
    </xf>
    <xf numFmtId="3" fontId="20" fillId="4" borderId="0" xfId="0" applyNumberFormat="1" applyFont="1" applyFill="1" applyAlignment="1">
      <alignment horizontal="center" vertical="center" wrapText="1"/>
    </xf>
    <xf numFmtId="0" fontId="35" fillId="4" borderId="0" xfId="0" applyFont="1" applyFill="1" applyAlignment="1">
      <alignment horizontal="center" vertical="center"/>
    </xf>
    <xf numFmtId="0" fontId="16" fillId="0" borderId="23" xfId="0" applyFont="1" applyBorder="1" applyAlignment="1" applyProtection="1">
      <alignment horizontal="center" vertical="center"/>
      <protection locked="0"/>
    </xf>
    <xf numFmtId="0" fontId="10" fillId="0" borderId="23" xfId="0" applyFont="1" applyBorder="1" applyAlignment="1" applyProtection="1">
      <alignment horizontal="center" vertical="center"/>
      <protection locked="0"/>
    </xf>
    <xf numFmtId="0" fontId="17" fillId="2" borderId="0" xfId="0" applyFont="1" applyFill="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4" fillId="2" borderId="22" xfId="0" applyFont="1" applyFill="1" applyBorder="1" applyAlignment="1" applyProtection="1">
      <alignment horizontal="center" vertical="center" wrapText="1"/>
      <protection locked="0"/>
    </xf>
    <xf numFmtId="0" fontId="40" fillId="4" borderId="0" xfId="0" applyFont="1" applyFill="1" applyAlignment="1">
      <alignment vertical="center"/>
    </xf>
    <xf numFmtId="0" fontId="41" fillId="4" borderId="22" xfId="0" applyFont="1" applyFill="1" applyBorder="1" applyAlignment="1" applyProtection="1">
      <alignment horizontal="left" vertical="center" wrapText="1"/>
      <protection locked="0"/>
    </xf>
    <xf numFmtId="0" fontId="39" fillId="4" borderId="0" xfId="0" applyFont="1" applyFill="1" applyAlignment="1">
      <alignment horizontal="left" vertical="center" wrapText="1"/>
    </xf>
    <xf numFmtId="0" fontId="39" fillId="4" borderId="0" xfId="0" applyFont="1" applyFill="1" applyAlignment="1" applyProtection="1">
      <alignment horizontal="left" vertical="center" wrapText="1"/>
      <protection locked="0"/>
    </xf>
    <xf numFmtId="0" fontId="11" fillId="4" borderId="32" xfId="0" applyFont="1" applyFill="1" applyBorder="1" applyAlignment="1" applyProtection="1">
      <alignment horizontal="center" vertical="center" wrapText="1"/>
      <protection locked="0"/>
    </xf>
    <xf numFmtId="0" fontId="9" fillId="4" borderId="0" xfId="0" applyFont="1" applyFill="1" applyAlignment="1">
      <alignment horizontal="left" vertical="center" wrapText="1"/>
    </xf>
    <xf numFmtId="0" fontId="9" fillId="0" borderId="0" xfId="0" applyFont="1" applyAlignment="1">
      <alignment horizontal="left" vertical="center" wrapText="1"/>
    </xf>
    <xf numFmtId="0" fontId="0" fillId="0" borderId="27" xfId="0" applyBorder="1" applyAlignment="1">
      <alignment horizontal="center" vertical="center" wrapText="1"/>
    </xf>
    <xf numFmtId="0" fontId="43" fillId="0" borderId="0" xfId="4" applyFont="1"/>
    <xf numFmtId="0" fontId="42" fillId="0" borderId="0" xfId="4"/>
    <xf numFmtId="44" fontId="0" fillId="0" borderId="0" xfId="5" applyFont="1" applyAlignment="1">
      <alignment horizontal="center"/>
    </xf>
    <xf numFmtId="10" fontId="0" fillId="0" borderId="0" xfId="6" applyNumberFormat="1" applyFont="1" applyAlignment="1">
      <alignment horizontal="center"/>
    </xf>
    <xf numFmtId="0" fontId="42" fillId="0" borderId="0" xfId="4" applyAlignment="1">
      <alignment horizontal="center"/>
    </xf>
    <xf numFmtId="44" fontId="42" fillId="0" borderId="0" xfId="4" applyNumberFormat="1"/>
    <xf numFmtId="0" fontId="43" fillId="0" borderId="31" xfId="4" applyFont="1" applyBorder="1"/>
    <xf numFmtId="0" fontId="43" fillId="21" borderId="31" xfId="4" applyFont="1" applyFill="1" applyBorder="1" applyAlignment="1">
      <alignment horizontal="center" vertical="center"/>
    </xf>
    <xf numFmtId="0" fontId="43" fillId="22" borderId="31" xfId="4" applyFont="1" applyFill="1" applyBorder="1"/>
    <xf numFmtId="0" fontId="43" fillId="23" borderId="31" xfId="4" applyFont="1" applyFill="1" applyBorder="1"/>
    <xf numFmtId="0" fontId="44" fillId="22" borderId="31" xfId="4" applyFont="1" applyFill="1" applyBorder="1"/>
    <xf numFmtId="44" fontId="42" fillId="0" borderId="31" xfId="4" applyNumberFormat="1" applyBorder="1"/>
    <xf numFmtId="0" fontId="43" fillId="24" borderId="60" xfId="4" applyFont="1" applyFill="1" applyBorder="1" applyAlignment="1">
      <alignment horizontal="center" vertical="center" wrapText="1"/>
    </xf>
    <xf numFmtId="44" fontId="0" fillId="0" borderId="0" xfId="7" applyFont="1" applyAlignment="1">
      <alignment horizontal="center"/>
    </xf>
    <xf numFmtId="17" fontId="43" fillId="0" borderId="0" xfId="0" applyNumberFormat="1" applyFont="1" applyAlignment="1">
      <alignment horizontal="center" vertical="center"/>
    </xf>
    <xf numFmtId="10" fontId="0" fillId="0" borderId="0" xfId="8" applyNumberFormat="1" applyFont="1" applyAlignment="1">
      <alignment horizontal="center" vertical="center"/>
    </xf>
    <xf numFmtId="44" fontId="0" fillId="6" borderId="0" xfId="7" applyFont="1" applyFill="1" applyAlignment="1">
      <alignment horizontal="center"/>
    </xf>
    <xf numFmtId="44" fontId="0" fillId="0" borderId="0" xfId="0" applyNumberFormat="1"/>
    <xf numFmtId="0" fontId="43" fillId="0" borderId="0" xfId="0" applyFont="1"/>
    <xf numFmtId="0" fontId="43" fillId="0" borderId="31" xfId="0" applyFont="1" applyBorder="1"/>
    <xf numFmtId="10" fontId="28" fillId="0" borderId="61" xfId="6" applyNumberFormat="1" applyFont="1" applyBorder="1" applyAlignment="1">
      <alignment horizontal="center"/>
    </xf>
    <xf numFmtId="10" fontId="7" fillId="0" borderId="0" xfId="6" applyNumberFormat="1" applyFont="1" applyBorder="1" applyAlignment="1">
      <alignment horizontal="center"/>
    </xf>
    <xf numFmtId="44" fontId="0" fillId="0" borderId="0" xfId="7" applyFont="1" applyFill="1" applyAlignment="1">
      <alignment horizontal="center"/>
    </xf>
    <xf numFmtId="44" fontId="0" fillId="0" borderId="0" xfId="5" applyFont="1" applyFill="1" applyAlignment="1">
      <alignment horizontal="center"/>
    </xf>
    <xf numFmtId="0" fontId="43" fillId="21" borderId="61" xfId="4" applyFont="1" applyFill="1" applyBorder="1" applyAlignment="1">
      <alignment horizontal="center" vertical="center"/>
    </xf>
    <xf numFmtId="44" fontId="0" fillId="0" borderId="61" xfId="7" applyFont="1" applyBorder="1" applyAlignment="1">
      <alignment horizontal="center"/>
    </xf>
    <xf numFmtId="44" fontId="0" fillId="0" borderId="61" xfId="5" applyFont="1" applyBorder="1" applyAlignment="1">
      <alignment horizontal="center"/>
    </xf>
    <xf numFmtId="44" fontId="28" fillId="0" borderId="61" xfId="5" applyFont="1" applyBorder="1" applyAlignment="1">
      <alignment horizontal="center"/>
    </xf>
    <xf numFmtId="0" fontId="45" fillId="6" borderId="31" xfId="4" applyFont="1" applyFill="1" applyBorder="1" applyAlignment="1">
      <alignment horizontal="center" vertical="center"/>
    </xf>
    <xf numFmtId="9" fontId="46" fillId="0" borderId="31" xfId="7" applyNumberFormat="1" applyFont="1" applyBorder="1" applyAlignment="1">
      <alignment horizontal="center"/>
    </xf>
    <xf numFmtId="1" fontId="46" fillId="0" borderId="31" xfId="9" applyNumberFormat="1" applyFont="1" applyBorder="1" applyAlignment="1">
      <alignment horizontal="center" vertical="center"/>
    </xf>
    <xf numFmtId="10" fontId="46" fillId="0" borderId="31" xfId="5" applyNumberFormat="1" applyFont="1" applyBorder="1" applyAlignment="1">
      <alignment horizontal="center"/>
    </xf>
    <xf numFmtId="44" fontId="46" fillId="0" borderId="31" xfId="5" applyFont="1" applyBorder="1" applyAlignment="1">
      <alignment horizontal="center"/>
    </xf>
    <xf numFmtId="44" fontId="46" fillId="0" borderId="31" xfId="7" applyFont="1" applyBorder="1" applyAlignment="1">
      <alignment horizontal="center"/>
    </xf>
    <xf numFmtId="10" fontId="47" fillId="0" borderId="31" xfId="6" applyNumberFormat="1" applyFont="1" applyBorder="1" applyAlignment="1">
      <alignment horizontal="center"/>
    </xf>
    <xf numFmtId="44" fontId="46" fillId="0" borderId="31" xfId="5" applyFont="1" applyBorder="1" applyAlignment="1">
      <alignment horizontal="center" wrapText="1"/>
    </xf>
    <xf numFmtId="44" fontId="47" fillId="0" borderId="31" xfId="5" applyFont="1" applyBorder="1" applyAlignment="1">
      <alignment horizontal="center"/>
    </xf>
    <xf numFmtId="0" fontId="48" fillId="0" borderId="0" xfId="4" applyFont="1" applyAlignment="1">
      <alignment horizontal="center"/>
    </xf>
    <xf numFmtId="10" fontId="49" fillId="0" borderId="0" xfId="8" applyNumberFormat="1" applyFont="1" applyAlignment="1">
      <alignment horizontal="center" vertical="center"/>
    </xf>
    <xf numFmtId="0" fontId="48" fillId="0" borderId="0" xfId="4" applyFont="1"/>
    <xf numFmtId="44" fontId="50" fillId="0" borderId="31" xfId="4" applyNumberFormat="1" applyFont="1" applyBorder="1"/>
    <xf numFmtId="0" fontId="51" fillId="0" borderId="0" xfId="4" applyFont="1"/>
    <xf numFmtId="44" fontId="48" fillId="0" borderId="0" xfId="4" applyNumberFormat="1" applyFont="1"/>
    <xf numFmtId="0" fontId="10" fillId="19" borderId="23" xfId="0" applyFont="1" applyFill="1" applyBorder="1" applyAlignment="1">
      <alignment horizontal="center" vertical="center" textRotation="90" wrapText="1"/>
    </xf>
    <xf numFmtId="0" fontId="10" fillId="19" borderId="41" xfId="0" applyFont="1" applyFill="1" applyBorder="1" applyAlignment="1">
      <alignment horizontal="center" vertical="center" textRotation="90" wrapText="1"/>
    </xf>
    <xf numFmtId="0" fontId="36" fillId="19" borderId="23" xfId="0" applyFont="1" applyFill="1" applyBorder="1" applyAlignment="1">
      <alignment horizontal="center" vertical="center" wrapText="1"/>
    </xf>
    <xf numFmtId="0" fontId="36" fillId="19" borderId="39" xfId="0" applyFont="1" applyFill="1" applyBorder="1" applyAlignment="1">
      <alignment horizontal="center" vertical="center" wrapText="1"/>
    </xf>
    <xf numFmtId="0" fontId="10" fillId="3" borderId="47" xfId="0" applyFont="1" applyFill="1" applyBorder="1" applyAlignment="1">
      <alignment horizontal="center" vertical="center" textRotation="90" wrapText="1"/>
    </xf>
    <xf numFmtId="0" fontId="10" fillId="3" borderId="48" xfId="0" applyFont="1" applyFill="1" applyBorder="1" applyAlignment="1">
      <alignment horizontal="center" vertical="center" textRotation="90" wrapText="1"/>
    </xf>
    <xf numFmtId="0" fontId="10" fillId="19" borderId="34" xfId="0" applyFont="1" applyFill="1" applyBorder="1" applyAlignment="1">
      <alignment horizontal="center" vertical="center" textRotation="90" wrapText="1"/>
    </xf>
    <xf numFmtId="0" fontId="10" fillId="19" borderId="20" xfId="0" applyFont="1" applyFill="1" applyBorder="1" applyAlignment="1">
      <alignment horizontal="center" vertical="center" textRotation="90" wrapText="1"/>
    </xf>
    <xf numFmtId="0" fontId="10" fillId="19" borderId="1" xfId="0" applyFont="1" applyFill="1" applyBorder="1" applyAlignment="1">
      <alignment horizontal="center" vertical="center" textRotation="90" wrapText="1"/>
    </xf>
    <xf numFmtId="0" fontId="10" fillId="19" borderId="18" xfId="0" applyFont="1" applyFill="1" applyBorder="1" applyAlignment="1">
      <alignment horizontal="center" vertical="center" textRotation="90" wrapText="1"/>
    </xf>
    <xf numFmtId="0" fontId="36" fillId="19" borderId="38" xfId="0" applyFont="1" applyFill="1" applyBorder="1" applyAlignment="1">
      <alignment horizontal="center" vertical="center" wrapText="1"/>
    </xf>
    <xf numFmtId="0" fontId="6" fillId="19" borderId="23" xfId="0" applyFont="1" applyFill="1" applyBorder="1" applyAlignment="1">
      <alignment horizontal="center" vertical="center" wrapText="1"/>
    </xf>
    <xf numFmtId="0" fontId="10" fillId="19" borderId="41" xfId="0" applyFont="1" applyFill="1" applyBorder="1" applyAlignment="1">
      <alignment horizontal="center" vertical="center" wrapText="1"/>
    </xf>
    <xf numFmtId="0" fontId="29" fillId="4" borderId="49" xfId="0" applyFont="1" applyFill="1" applyBorder="1" applyAlignment="1">
      <alignment horizontal="center" vertical="center"/>
    </xf>
    <xf numFmtId="0" fontId="29" fillId="4" borderId="43" xfId="0" applyFont="1" applyFill="1" applyBorder="1" applyAlignment="1">
      <alignment horizontal="center" vertical="center"/>
    </xf>
    <xf numFmtId="0" fontId="29" fillId="4" borderId="50" xfId="0" applyFont="1" applyFill="1" applyBorder="1" applyAlignment="1">
      <alignment horizontal="center" vertical="center"/>
    </xf>
    <xf numFmtId="0" fontId="29" fillId="4" borderId="44" xfId="0" applyFont="1" applyFill="1" applyBorder="1" applyAlignment="1">
      <alignment horizontal="center" vertical="center"/>
    </xf>
    <xf numFmtId="0" fontId="29" fillId="4" borderId="51" xfId="0" applyFont="1" applyFill="1" applyBorder="1" applyAlignment="1">
      <alignment horizontal="center" vertical="center"/>
    </xf>
    <xf numFmtId="0" fontId="29" fillId="4" borderId="45" xfId="0" applyFont="1" applyFill="1" applyBorder="1" applyAlignment="1">
      <alignment horizontal="center" vertical="center"/>
    </xf>
    <xf numFmtId="0" fontId="29" fillId="18" borderId="23" xfId="0" applyFont="1" applyFill="1" applyBorder="1" applyAlignment="1">
      <alignment horizontal="center" vertical="center"/>
    </xf>
    <xf numFmtId="0" fontId="30" fillId="19" borderId="23" xfId="0" applyFont="1" applyFill="1" applyBorder="1" applyAlignment="1" applyProtection="1">
      <alignment horizontal="center" vertical="center"/>
      <protection locked="0"/>
    </xf>
    <xf numFmtId="0" fontId="31" fillId="19" borderId="49" xfId="0" applyFont="1" applyFill="1" applyBorder="1" applyAlignment="1">
      <alignment horizontal="center" vertical="center"/>
    </xf>
    <xf numFmtId="0" fontId="31" fillId="19" borderId="50" xfId="0" applyFont="1" applyFill="1" applyBorder="1" applyAlignment="1">
      <alignment horizontal="center" vertical="center"/>
    </xf>
    <xf numFmtId="0" fontId="31" fillId="19" borderId="51" xfId="0" applyFont="1" applyFill="1" applyBorder="1" applyAlignment="1">
      <alignment horizontal="center" vertical="center"/>
    </xf>
    <xf numFmtId="0" fontId="33" fillId="19" borderId="46" xfId="0" applyFont="1" applyFill="1" applyBorder="1" applyAlignment="1">
      <alignment horizontal="center" vertical="center"/>
    </xf>
    <xf numFmtId="0" fontId="33" fillId="19" borderId="47" xfId="0" applyFont="1" applyFill="1" applyBorder="1" applyAlignment="1">
      <alignment horizontal="center" vertical="center"/>
    </xf>
    <xf numFmtId="0" fontId="33" fillId="19" borderId="48" xfId="0" applyFont="1" applyFill="1" applyBorder="1" applyAlignment="1">
      <alignment horizontal="center" vertical="center"/>
    </xf>
    <xf numFmtId="0" fontId="32" fillId="19" borderId="35" xfId="0" applyFont="1" applyFill="1" applyBorder="1" applyAlignment="1">
      <alignment horizontal="center" vertical="center"/>
    </xf>
    <xf numFmtId="0" fontId="32" fillId="19" borderId="36" xfId="0" applyFont="1" applyFill="1" applyBorder="1" applyAlignment="1">
      <alignment horizontal="center" vertical="center"/>
    </xf>
    <xf numFmtId="0" fontId="32" fillId="19" borderId="37" xfId="0" applyFont="1" applyFill="1" applyBorder="1" applyAlignment="1">
      <alignment horizontal="center" vertical="center"/>
    </xf>
    <xf numFmtId="0" fontId="35" fillId="18" borderId="23" xfId="0" applyFont="1" applyFill="1" applyBorder="1" applyAlignment="1">
      <alignment horizontal="center" vertical="center"/>
    </xf>
    <xf numFmtId="0" fontId="6" fillId="19" borderId="38" xfId="0" applyFont="1" applyFill="1" applyBorder="1" applyAlignment="1">
      <alignment horizontal="center" vertical="center" wrapText="1"/>
    </xf>
    <xf numFmtId="0" fontId="6" fillId="19" borderId="40"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10" fillId="19" borderId="42" xfId="0" applyFont="1" applyFill="1" applyBorder="1" applyAlignment="1">
      <alignment horizontal="center" vertical="center" wrapText="1"/>
    </xf>
    <xf numFmtId="0" fontId="6" fillId="19" borderId="23" xfId="0" applyFont="1" applyFill="1" applyBorder="1" applyAlignment="1">
      <alignment horizontal="center" vertical="center" textRotation="90" wrapText="1"/>
    </xf>
    <xf numFmtId="0" fontId="6" fillId="19" borderId="41" xfId="0" applyFont="1" applyFill="1" applyBorder="1" applyAlignment="1">
      <alignment horizontal="center" vertical="center" textRotation="90" wrapText="1"/>
    </xf>
    <xf numFmtId="0" fontId="6" fillId="19" borderId="41" xfId="0" applyFont="1" applyFill="1" applyBorder="1" applyAlignment="1">
      <alignment horizontal="center" vertical="center" wrapText="1"/>
    </xf>
    <xf numFmtId="0" fontId="2" fillId="9" borderId="0" xfId="0" applyFont="1" applyFill="1" applyAlignment="1">
      <alignment horizontal="center" vertical="center"/>
    </xf>
    <xf numFmtId="0" fontId="4" fillId="2" borderId="2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6" fillId="0" borderId="21" xfId="0" applyFont="1" applyBorder="1" applyAlignment="1">
      <alignment horizontal="center" vertical="center"/>
    </xf>
    <xf numFmtId="0" fontId="6" fillId="0" borderId="26" xfId="0" applyFont="1" applyBorder="1" applyAlignment="1">
      <alignment horizontal="center" vertical="center"/>
    </xf>
    <xf numFmtId="0" fontId="10"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3" fillId="13" borderId="0" xfId="0" applyFont="1" applyFill="1" applyAlignment="1">
      <alignment horizontal="center" vertical="center"/>
    </xf>
    <xf numFmtId="0" fontId="1" fillId="12" borderId="11" xfId="0" applyFont="1" applyFill="1" applyBorder="1" applyAlignment="1">
      <alignment horizontal="center" vertical="center"/>
    </xf>
    <xf numFmtId="0" fontId="1" fillId="12" borderId="12" xfId="0" applyFont="1" applyFill="1" applyBorder="1" applyAlignment="1">
      <alignment horizontal="center" vertical="center"/>
    </xf>
    <xf numFmtId="0" fontId="1" fillId="12" borderId="13" xfId="0" applyFont="1" applyFill="1" applyBorder="1" applyAlignment="1">
      <alignment horizontal="center" vertical="center"/>
    </xf>
    <xf numFmtId="0" fontId="6" fillId="10" borderId="11" xfId="0" applyFont="1" applyFill="1" applyBorder="1" applyAlignment="1">
      <alignment horizontal="center" vertical="center" textRotation="90"/>
    </xf>
    <xf numFmtId="0" fontId="6" fillId="10" borderId="12" xfId="0" applyFont="1" applyFill="1" applyBorder="1" applyAlignment="1">
      <alignment horizontal="center" vertical="center" textRotation="90"/>
    </xf>
    <xf numFmtId="0" fontId="6" fillId="10" borderId="13" xfId="0" applyFont="1" applyFill="1" applyBorder="1" applyAlignment="1">
      <alignment horizontal="center" vertical="center" textRotation="90"/>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1" borderId="16" xfId="0" applyFont="1" applyFill="1" applyBorder="1" applyAlignment="1">
      <alignment horizontal="center" vertical="center" wrapText="1"/>
    </xf>
    <xf numFmtId="0" fontId="1" fillId="11" borderId="14" xfId="0" applyFont="1" applyFill="1" applyBorder="1" applyAlignment="1">
      <alignment horizontal="center" vertical="center" wrapText="1"/>
    </xf>
    <xf numFmtId="0" fontId="1" fillId="11" borderId="17" xfId="0" applyFont="1" applyFill="1" applyBorder="1" applyAlignment="1">
      <alignment horizontal="center" vertical="center" wrapText="1"/>
    </xf>
    <xf numFmtId="0" fontId="1" fillId="11" borderId="15" xfId="0" applyFont="1" applyFill="1" applyBorder="1" applyAlignment="1">
      <alignment horizontal="center" vertical="center" wrapText="1"/>
    </xf>
    <xf numFmtId="0" fontId="27" fillId="0" borderId="31" xfId="0" applyFont="1" applyBorder="1" applyAlignment="1">
      <alignment horizontal="center" vertical="center"/>
    </xf>
    <xf numFmtId="0" fontId="10" fillId="11" borderId="34" xfId="0" applyFont="1" applyFill="1" applyBorder="1" applyAlignment="1">
      <alignment horizontal="center" vertical="center" textRotation="90" wrapText="1"/>
    </xf>
    <xf numFmtId="0" fontId="10" fillId="11" borderId="20" xfId="0" applyFont="1" applyFill="1" applyBorder="1" applyAlignment="1">
      <alignment horizontal="center" vertical="center" textRotation="90" wrapText="1"/>
    </xf>
    <xf numFmtId="0" fontId="10" fillId="11" borderId="1" xfId="0" applyFont="1" applyFill="1" applyBorder="1" applyAlignment="1">
      <alignment horizontal="center" vertical="center" textRotation="90" wrapText="1"/>
    </xf>
    <xf numFmtId="0" fontId="10" fillId="11" borderId="18" xfId="0" applyFont="1" applyFill="1" applyBorder="1" applyAlignment="1">
      <alignment horizontal="center" vertical="center" textRotation="90" wrapText="1"/>
    </xf>
    <xf numFmtId="0" fontId="29" fillId="18" borderId="0" xfId="0" applyFont="1" applyFill="1" applyAlignment="1">
      <alignment horizontal="center" vertical="center"/>
    </xf>
    <xf numFmtId="0" fontId="30" fillId="19" borderId="0" xfId="0" applyFont="1" applyFill="1" applyAlignment="1" applyProtection="1">
      <alignment horizontal="center" vertical="center"/>
      <protection locked="0"/>
    </xf>
    <xf numFmtId="0" fontId="31" fillId="19" borderId="46" xfId="0" applyFont="1" applyFill="1" applyBorder="1" applyAlignment="1">
      <alignment horizontal="center" vertical="center"/>
    </xf>
    <xf numFmtId="0" fontId="31" fillId="19" borderId="47" xfId="0" applyFont="1" applyFill="1" applyBorder="1" applyAlignment="1">
      <alignment horizontal="center" vertical="center"/>
    </xf>
    <xf numFmtId="0" fontId="31" fillId="19" borderId="48" xfId="0" applyFont="1" applyFill="1" applyBorder="1" applyAlignment="1">
      <alignment horizontal="center" vertical="center"/>
    </xf>
    <xf numFmtId="0" fontId="34" fillId="19" borderId="43" xfId="0" applyFont="1" applyFill="1" applyBorder="1" applyAlignment="1">
      <alignment horizontal="center" vertical="center"/>
    </xf>
    <xf numFmtId="0" fontId="34" fillId="19" borderId="44" xfId="0" applyFont="1" applyFill="1" applyBorder="1" applyAlignment="1">
      <alignment horizontal="center" vertical="center"/>
    </xf>
    <xf numFmtId="0" fontId="34" fillId="19" borderId="45" xfId="0" applyFont="1" applyFill="1" applyBorder="1" applyAlignment="1">
      <alignment horizontal="center" vertical="center"/>
    </xf>
    <xf numFmtId="0" fontId="35" fillId="18" borderId="23" xfId="0" applyFont="1" applyFill="1" applyBorder="1" applyAlignment="1">
      <alignment horizontal="center" vertical="center" wrapText="1"/>
    </xf>
    <xf numFmtId="0" fontId="6" fillId="11" borderId="34" xfId="0" applyFont="1" applyFill="1" applyBorder="1" applyAlignment="1">
      <alignment horizontal="center" vertical="center" textRotation="90" wrapText="1"/>
    </xf>
    <xf numFmtId="0" fontId="6" fillId="11" borderId="20" xfId="0" applyFont="1" applyFill="1" applyBorder="1" applyAlignment="1">
      <alignment horizontal="center" vertical="center" textRotation="90" wrapText="1"/>
    </xf>
    <xf numFmtId="0" fontId="4" fillId="2" borderId="25" xfId="0" applyFont="1" applyFill="1" applyBorder="1" applyAlignment="1" applyProtection="1">
      <alignment horizontal="center" vertical="center" wrapText="1"/>
      <protection locked="0"/>
    </xf>
    <xf numFmtId="0" fontId="0" fillId="0" borderId="25" xfId="0" applyBorder="1" applyAlignment="1">
      <alignment horizontal="center" vertical="center" wrapText="1"/>
    </xf>
    <xf numFmtId="0" fontId="0" fillId="0" borderId="22" xfId="0" applyBorder="1" applyAlignment="1">
      <alignment horizontal="center" vertical="center" wrapText="1"/>
    </xf>
    <xf numFmtId="0" fontId="0" fillId="0" borderId="25" xfId="0" applyBorder="1" applyAlignment="1">
      <alignment vertical="center" wrapText="1"/>
    </xf>
    <xf numFmtId="0" fontId="0" fillId="0" borderId="22" xfId="0" applyBorder="1" applyAlignment="1">
      <alignment vertical="center" wrapText="1"/>
    </xf>
    <xf numFmtId="0" fontId="3" fillId="14" borderId="0" xfId="0" applyFont="1" applyFill="1" applyAlignment="1">
      <alignment horizontal="center" vertical="center"/>
    </xf>
    <xf numFmtId="0" fontId="1" fillId="11" borderId="28" xfId="0" applyFont="1" applyFill="1" applyBorder="1" applyAlignment="1">
      <alignment horizontal="center" vertical="center" wrapText="1"/>
    </xf>
    <xf numFmtId="0" fontId="1" fillId="11" borderId="29" xfId="0" applyFont="1" applyFill="1" applyBorder="1" applyAlignment="1">
      <alignment horizontal="center" vertical="center" wrapText="1"/>
    </xf>
    <xf numFmtId="0" fontId="1" fillId="11" borderId="30"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0" fillId="0" borderId="0" xfId="0" applyAlignment="1">
      <alignment horizontal="center" vertical="center" wrapText="1"/>
    </xf>
  </cellXfs>
  <cellStyles count="10">
    <cellStyle name="Moeda" xfId="7" builtinId="4"/>
    <cellStyle name="Moeda 2" xfId="5" xr:uid="{81DC1F57-B658-48E2-A6A6-A0FF343A1BE1}"/>
    <cellStyle name="Normal" xfId="0" builtinId="0"/>
    <cellStyle name="Normal 2" xfId="4" xr:uid="{C223D18A-2995-4387-B415-2BC3ED5D6718}"/>
    <cellStyle name="Normal 2 2" xfId="1" xr:uid="{00000000-0005-0000-0000-000001000000}"/>
    <cellStyle name="Porcentagem" xfId="8" builtinId="5"/>
    <cellStyle name="Porcentagem 2" xfId="6" xr:uid="{03EE8D75-17F7-4F9D-8EB0-4AB1BC40A625}"/>
    <cellStyle name="Separador de milhares 2" xfId="2" xr:uid="{00000000-0005-0000-0000-000002000000}"/>
    <cellStyle name="Separador de milhares 2 2" xfId="3" xr:uid="{0793F48D-55AF-4D98-8A6F-50BBA1E4D66B}"/>
    <cellStyle name="Vírgula" xfId="9" builtinId="3"/>
  </cellStyles>
  <dxfs count="68">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theme="9" tint="0.39994506668294322"/>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ont>
        <color theme="0"/>
      </font>
    </dxf>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s>
  <tableStyles count="0" defaultTableStyle="TableStyleMedium9" defaultPivotStyle="PivotStyleLight16"/>
  <colors>
    <mruColors>
      <color rgb="FF363636"/>
      <color rgb="FF1A665B"/>
      <color rgb="FF00B871"/>
      <color rgb="FFF2D100"/>
      <color rgb="FFF18B00"/>
      <color rgb="FF9DAF94"/>
      <color rgb="FF82BC46"/>
      <color rgb="FF455358"/>
      <color rgb="FFFFFF93"/>
      <color rgb="FF0A1D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96578515326923E-2"/>
          <c:y val="5.9693671064142383E-2"/>
          <c:w val="0.9555555555555556"/>
          <c:h val="0.93758865248226952"/>
        </c:manualLayout>
      </c:layout>
      <c:bubbleChart>
        <c:varyColors val="0"/>
        <c:ser>
          <c:idx val="0"/>
          <c:order val="0"/>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0-5052-42DF-890D-40C38F6BB1D2}"/>
            </c:ext>
          </c:extLst>
        </c:ser>
        <c:ser>
          <c:idx val="1"/>
          <c:order val="1"/>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1-5052-42DF-890D-40C38F6BB1D2}"/>
            </c:ext>
          </c:extLst>
        </c:ser>
        <c:ser>
          <c:idx val="2"/>
          <c:order val="2"/>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5052-42DF-890D-40C38F6BB1D2}"/>
            </c:ext>
          </c:extLst>
        </c:ser>
        <c:ser>
          <c:idx val="3"/>
          <c:order val="3"/>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5052-42DF-890D-40C38F6BB1D2}"/>
            </c:ext>
          </c:extLst>
        </c:ser>
        <c:ser>
          <c:idx val="4"/>
          <c:order val="4"/>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5052-42DF-890D-40C38F6BB1D2}"/>
            </c:ext>
          </c:extLst>
        </c:ser>
        <c:ser>
          <c:idx val="5"/>
          <c:order val="5"/>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5052-42DF-890D-40C38F6BB1D2}"/>
            </c:ext>
          </c:extLst>
        </c:ser>
        <c:ser>
          <c:idx val="6"/>
          <c:order val="6"/>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5052-42DF-890D-40C38F6BB1D2}"/>
            </c:ext>
          </c:extLst>
        </c:ser>
        <c:ser>
          <c:idx val="7"/>
          <c:order val="7"/>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7-5052-42DF-890D-40C38F6BB1D2}"/>
            </c:ext>
          </c:extLst>
        </c:ser>
        <c:ser>
          <c:idx val="8"/>
          <c:order val="8"/>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8-5052-42DF-890D-40C38F6BB1D2}"/>
            </c:ext>
          </c:extLst>
        </c:ser>
        <c:ser>
          <c:idx val="9"/>
          <c:order val="9"/>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9-5052-42DF-890D-40C38F6BB1D2}"/>
            </c:ext>
          </c:extLst>
        </c:ser>
        <c:ser>
          <c:idx val="10"/>
          <c:order val="10"/>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BCB3-4646-930A-1BEB2B266CF6}"/>
            </c:ext>
          </c:extLst>
        </c:ser>
        <c:ser>
          <c:idx val="11"/>
          <c:order val="11"/>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BCB3-4646-930A-1BEB2B266CF6}"/>
            </c:ext>
          </c:extLst>
        </c:ser>
        <c:ser>
          <c:idx val="12"/>
          <c:order val="12"/>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BCB3-4646-930A-1BEB2B266CF6}"/>
            </c:ext>
          </c:extLst>
        </c:ser>
        <c:ser>
          <c:idx val="13"/>
          <c:order val="13"/>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BCB3-4646-930A-1BEB2B266CF6}"/>
            </c:ext>
          </c:extLst>
        </c:ser>
        <c:ser>
          <c:idx val="14"/>
          <c:order val="14"/>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BCB3-4646-930A-1BEB2B266CF6}"/>
            </c:ext>
          </c:extLst>
        </c:ser>
        <c:ser>
          <c:idx val="15"/>
          <c:order val="15"/>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1-C2E2-4681-8F45-F6CF4226778C}"/>
            </c:ext>
          </c:extLst>
        </c:ser>
        <c:ser>
          <c:idx val="16"/>
          <c:order val="16"/>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C2E2-4681-8F45-F6CF4226778C}"/>
            </c:ext>
          </c:extLst>
        </c:ser>
        <c:ser>
          <c:idx val="17"/>
          <c:order val="17"/>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C2E2-4681-8F45-F6CF4226778C}"/>
            </c:ext>
          </c:extLst>
        </c:ser>
        <c:ser>
          <c:idx val="18"/>
          <c:order val="18"/>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C2E2-4681-8F45-F6CF4226778C}"/>
            </c:ext>
          </c:extLst>
        </c:ser>
        <c:ser>
          <c:idx val="19"/>
          <c:order val="19"/>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C2E2-4681-8F45-F6CF4226778C}"/>
            </c:ext>
          </c:extLst>
        </c:ser>
        <c:ser>
          <c:idx val="20"/>
          <c:order val="20"/>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C2E2-4681-8F45-F6CF4226778C}"/>
            </c:ext>
          </c:extLst>
        </c:ser>
        <c:dLbls>
          <c:showLegendKey val="0"/>
          <c:showVal val="0"/>
          <c:showCatName val="0"/>
          <c:showSerName val="0"/>
          <c:showPercent val="0"/>
          <c:showBubbleSize val="0"/>
        </c:dLbls>
        <c:bubbleScale val="20"/>
        <c:showNegBubbles val="0"/>
        <c:sizeRepresents val="w"/>
        <c:axId val="124339328"/>
        <c:axId val="124340864"/>
      </c:bubbleChart>
      <c:valAx>
        <c:axId val="124339328"/>
        <c:scaling>
          <c:orientation val="minMax"/>
          <c:max val="20"/>
          <c:min val="0"/>
        </c:scaling>
        <c:delete val="1"/>
        <c:axPos val="b"/>
        <c:numFmt formatCode="#,##0" sourceLinked="1"/>
        <c:majorTickMark val="out"/>
        <c:minorTickMark val="none"/>
        <c:tickLblPos val="none"/>
        <c:crossAx val="124340864"/>
        <c:crosses val="autoZero"/>
        <c:crossBetween val="midCat"/>
        <c:majorUnit val="1"/>
      </c:valAx>
      <c:valAx>
        <c:axId val="124340864"/>
        <c:scaling>
          <c:orientation val="minMax"/>
          <c:max val="4"/>
          <c:min val="0"/>
        </c:scaling>
        <c:delete val="1"/>
        <c:axPos val="l"/>
        <c:numFmt formatCode="General" sourceLinked="1"/>
        <c:majorTickMark val="out"/>
        <c:minorTickMark val="none"/>
        <c:tickLblPos val="none"/>
        <c:crossAx val="124339328"/>
        <c:crosses val="autoZero"/>
        <c:crossBetween val="midCat"/>
        <c:majorUnit val="1"/>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8740157499999996" l="0.511811024" r="0.511811024" t="0.78740157499999996" header="0.31496062000000385" footer="0.3149606200000038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341312</xdr:colOff>
      <xdr:row>0</xdr:row>
      <xdr:rowOff>0</xdr:rowOff>
    </xdr:from>
    <xdr:to>
      <xdr:col>2</xdr:col>
      <xdr:colOff>2260624</xdr:colOff>
      <xdr:row>3</xdr:row>
      <xdr:rowOff>261765</xdr:rowOff>
    </xdr:to>
    <xdr:pic>
      <xdr:nvPicPr>
        <xdr:cNvPr id="2" name="Imagem 1">
          <a:extLst>
            <a:ext uri="{FF2B5EF4-FFF2-40B4-BE49-F238E27FC236}">
              <a16:creationId xmlns:a16="http://schemas.microsoft.com/office/drawing/2014/main" id="{43A50011-E40A-4F93-8397-7EE3ED76C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137" y="0"/>
          <a:ext cx="2338412" cy="8713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0</xdr:row>
      <xdr:rowOff>0</xdr:rowOff>
    </xdr:from>
    <xdr:to>
      <xdr:col>2</xdr:col>
      <xdr:colOff>2130450</xdr:colOff>
      <xdr:row>3</xdr:row>
      <xdr:rowOff>320503</xdr:rowOff>
    </xdr:to>
    <xdr:pic>
      <xdr:nvPicPr>
        <xdr:cNvPr id="2" name="Imagem 1">
          <a:extLst>
            <a:ext uri="{FF2B5EF4-FFF2-40B4-BE49-F238E27FC236}">
              <a16:creationId xmlns:a16="http://schemas.microsoft.com/office/drawing/2014/main" id="{8F3BF6F6-CBB9-4F4A-9D3E-2E97DE7B2B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0"/>
          <a:ext cx="2340000" cy="8729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590550</xdr:colOff>
      <xdr:row>16</xdr:row>
      <xdr:rowOff>133350</xdr:rowOff>
    </xdr:from>
    <xdr:to>
      <xdr:col>11</xdr:col>
      <xdr:colOff>276225</xdr:colOff>
      <xdr:row>21</xdr:row>
      <xdr:rowOff>180975</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4857750" y="3267075"/>
          <a:ext cx="904875" cy="1000125"/>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16</xdr:row>
      <xdr:rowOff>142875</xdr:rowOff>
    </xdr:from>
    <xdr:to>
      <xdr:col>9</xdr:col>
      <xdr:colOff>590549</xdr:colOff>
      <xdr:row>21</xdr:row>
      <xdr:rowOff>180975</xdr:rowOff>
    </xdr:to>
    <xdr:sp macro="" textlink="">
      <xdr:nvSpPr>
        <xdr:cNvPr id="3" name="Retângulo 2">
          <a:extLst>
            <a:ext uri="{FF2B5EF4-FFF2-40B4-BE49-F238E27FC236}">
              <a16:creationId xmlns:a16="http://schemas.microsoft.com/office/drawing/2014/main" id="{00000000-0008-0000-0200-000003000000}"/>
            </a:ext>
          </a:extLst>
        </xdr:cNvPr>
        <xdr:cNvSpPr/>
      </xdr:nvSpPr>
      <xdr:spPr>
        <a:xfrm>
          <a:off x="2809874" y="3276600"/>
          <a:ext cx="2047875" cy="99060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11</xdr:row>
      <xdr:rowOff>76200</xdr:rowOff>
    </xdr:from>
    <xdr:to>
      <xdr:col>9</xdr:col>
      <xdr:colOff>590550</xdr:colOff>
      <xdr:row>16</xdr:row>
      <xdr:rowOff>142875</xdr:rowOff>
    </xdr:to>
    <xdr:sp macro="" textlink="">
      <xdr:nvSpPr>
        <xdr:cNvPr id="4" name="Retângulo 3">
          <a:extLst>
            <a:ext uri="{FF2B5EF4-FFF2-40B4-BE49-F238E27FC236}">
              <a16:creationId xmlns:a16="http://schemas.microsoft.com/office/drawing/2014/main" id="{00000000-0008-0000-0200-000004000000}"/>
            </a:ext>
          </a:extLst>
        </xdr:cNvPr>
        <xdr:cNvSpPr/>
      </xdr:nvSpPr>
      <xdr:spPr>
        <a:xfrm>
          <a:off x="2809875" y="2228850"/>
          <a:ext cx="2047875" cy="104775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6</xdr:row>
      <xdr:rowOff>76200</xdr:rowOff>
    </xdr:from>
    <xdr:to>
      <xdr:col>12</xdr:col>
      <xdr:colOff>533400</xdr:colOff>
      <xdr:row>11</xdr:row>
      <xdr:rowOff>95250</xdr:rowOff>
    </xdr:to>
    <xdr:sp macro="" textlink="">
      <xdr:nvSpPr>
        <xdr:cNvPr id="5" name="Retângulo 4">
          <a:extLst>
            <a:ext uri="{FF2B5EF4-FFF2-40B4-BE49-F238E27FC236}">
              <a16:creationId xmlns:a16="http://schemas.microsoft.com/office/drawing/2014/main" id="{00000000-0008-0000-0200-000005000000}"/>
            </a:ext>
          </a:extLst>
        </xdr:cNvPr>
        <xdr:cNvSpPr/>
      </xdr:nvSpPr>
      <xdr:spPr>
        <a:xfrm>
          <a:off x="5743575" y="1228725"/>
          <a:ext cx="885825"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0</xdr:row>
      <xdr:rowOff>180975</xdr:rowOff>
    </xdr:from>
    <xdr:to>
      <xdr:col>11</xdr:col>
      <xdr:colOff>276225</xdr:colOff>
      <xdr:row>6</xdr:row>
      <xdr:rowOff>85725</xdr:rowOff>
    </xdr:to>
    <xdr:sp macro="" textlink="">
      <xdr:nvSpPr>
        <xdr:cNvPr id="6" name="Retângulo 5">
          <a:extLst>
            <a:ext uri="{FF2B5EF4-FFF2-40B4-BE49-F238E27FC236}">
              <a16:creationId xmlns:a16="http://schemas.microsoft.com/office/drawing/2014/main" id="{00000000-0008-0000-0200-000006000000}"/>
            </a:ext>
          </a:extLst>
        </xdr:cNvPr>
        <xdr:cNvSpPr/>
      </xdr:nvSpPr>
      <xdr:spPr>
        <a:xfrm>
          <a:off x="2809874" y="180975"/>
          <a:ext cx="2952751" cy="10572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6</xdr:row>
      <xdr:rowOff>76199</xdr:rowOff>
    </xdr:from>
    <xdr:to>
      <xdr:col>9</xdr:col>
      <xdr:colOff>590549</xdr:colOff>
      <xdr:row>11</xdr:row>
      <xdr:rowOff>95250</xdr:rowOff>
    </xdr:to>
    <xdr:sp macro="" textlink="">
      <xdr:nvSpPr>
        <xdr:cNvPr id="7" name="Retângulo 6">
          <a:extLst>
            <a:ext uri="{FF2B5EF4-FFF2-40B4-BE49-F238E27FC236}">
              <a16:creationId xmlns:a16="http://schemas.microsoft.com/office/drawing/2014/main" id="{00000000-0008-0000-0200-000007000000}"/>
            </a:ext>
          </a:extLst>
        </xdr:cNvPr>
        <xdr:cNvSpPr/>
      </xdr:nvSpPr>
      <xdr:spPr>
        <a:xfrm>
          <a:off x="2809874" y="1228724"/>
          <a:ext cx="2047875" cy="1019176"/>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561975</xdr:colOff>
      <xdr:row>6</xdr:row>
      <xdr:rowOff>76200</xdr:rowOff>
    </xdr:from>
    <xdr:to>
      <xdr:col>11</xdr:col>
      <xdr:colOff>257175</xdr:colOff>
      <xdr:row>11</xdr:row>
      <xdr:rowOff>95250</xdr:rowOff>
    </xdr:to>
    <xdr:sp macro="" textlink="">
      <xdr:nvSpPr>
        <xdr:cNvPr id="8" name="Retângulo 7">
          <a:extLst>
            <a:ext uri="{FF2B5EF4-FFF2-40B4-BE49-F238E27FC236}">
              <a16:creationId xmlns:a16="http://schemas.microsoft.com/office/drawing/2014/main" id="{00000000-0008-0000-0200-000008000000}"/>
            </a:ext>
          </a:extLst>
        </xdr:cNvPr>
        <xdr:cNvSpPr/>
      </xdr:nvSpPr>
      <xdr:spPr>
        <a:xfrm>
          <a:off x="4829175" y="1228725"/>
          <a:ext cx="914400"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276225</xdr:colOff>
      <xdr:row>11</xdr:row>
      <xdr:rowOff>95250</xdr:rowOff>
    </xdr:from>
    <xdr:to>
      <xdr:col>12</xdr:col>
      <xdr:colOff>533400</xdr:colOff>
      <xdr:row>16</xdr:row>
      <xdr:rowOff>133350</xdr:rowOff>
    </xdr:to>
    <xdr:sp macro="" textlink="">
      <xdr:nvSpPr>
        <xdr:cNvPr id="9" name="Retângulo 8">
          <a:extLst>
            <a:ext uri="{FF2B5EF4-FFF2-40B4-BE49-F238E27FC236}">
              <a16:creationId xmlns:a16="http://schemas.microsoft.com/office/drawing/2014/main" id="{00000000-0008-0000-0200-000009000000}"/>
            </a:ext>
          </a:extLst>
        </xdr:cNvPr>
        <xdr:cNvSpPr/>
      </xdr:nvSpPr>
      <xdr:spPr>
        <a:xfrm>
          <a:off x="5762625" y="2247900"/>
          <a:ext cx="86677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590550</xdr:colOff>
      <xdr:row>11</xdr:row>
      <xdr:rowOff>95250</xdr:rowOff>
    </xdr:from>
    <xdr:to>
      <xdr:col>11</xdr:col>
      <xdr:colOff>333375</xdr:colOff>
      <xdr:row>16</xdr:row>
      <xdr:rowOff>133350</xdr:rowOff>
    </xdr:to>
    <xdr:sp macro="" textlink="">
      <xdr:nvSpPr>
        <xdr:cNvPr id="10" name="Retângulo 9">
          <a:extLst>
            <a:ext uri="{FF2B5EF4-FFF2-40B4-BE49-F238E27FC236}">
              <a16:creationId xmlns:a16="http://schemas.microsoft.com/office/drawing/2014/main" id="{00000000-0008-0000-0200-00000A000000}"/>
            </a:ext>
          </a:extLst>
        </xdr:cNvPr>
        <xdr:cNvSpPr/>
      </xdr:nvSpPr>
      <xdr:spPr>
        <a:xfrm>
          <a:off x="4857750" y="2247900"/>
          <a:ext cx="96202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266700</xdr:colOff>
      <xdr:row>16</xdr:row>
      <xdr:rowOff>95250</xdr:rowOff>
    </xdr:from>
    <xdr:to>
      <xdr:col>12</xdr:col>
      <xdr:colOff>523875</xdr:colOff>
      <xdr:row>21</xdr:row>
      <xdr:rowOff>180975</xdr:rowOff>
    </xdr:to>
    <xdr:sp macro="" textlink="">
      <xdr:nvSpPr>
        <xdr:cNvPr id="11" name="Retângulo 10">
          <a:extLst>
            <a:ext uri="{FF2B5EF4-FFF2-40B4-BE49-F238E27FC236}">
              <a16:creationId xmlns:a16="http://schemas.microsoft.com/office/drawing/2014/main" id="{00000000-0008-0000-0200-00000B000000}"/>
            </a:ext>
          </a:extLst>
        </xdr:cNvPr>
        <xdr:cNvSpPr/>
      </xdr:nvSpPr>
      <xdr:spPr>
        <a:xfrm>
          <a:off x="5753100" y="3228975"/>
          <a:ext cx="866775" cy="103822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16</xdr:row>
      <xdr:rowOff>114300</xdr:rowOff>
    </xdr:from>
    <xdr:to>
      <xdr:col>16</xdr:col>
      <xdr:colOff>104775</xdr:colOff>
      <xdr:row>21</xdr:row>
      <xdr:rowOff>180975</xdr:rowOff>
    </xdr:to>
    <xdr:sp macro="" textlink="">
      <xdr:nvSpPr>
        <xdr:cNvPr id="12" name="Retângulo 11">
          <a:extLst>
            <a:ext uri="{FF2B5EF4-FFF2-40B4-BE49-F238E27FC236}">
              <a16:creationId xmlns:a16="http://schemas.microsoft.com/office/drawing/2014/main" id="{00000000-0008-0000-0200-00000C000000}"/>
            </a:ext>
          </a:extLst>
        </xdr:cNvPr>
        <xdr:cNvSpPr/>
      </xdr:nvSpPr>
      <xdr:spPr>
        <a:xfrm>
          <a:off x="6619875" y="3248025"/>
          <a:ext cx="201930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11</xdr:row>
      <xdr:rowOff>95250</xdr:rowOff>
    </xdr:from>
    <xdr:to>
      <xdr:col>16</xdr:col>
      <xdr:colOff>85725</xdr:colOff>
      <xdr:row>16</xdr:row>
      <xdr:rowOff>133350</xdr:rowOff>
    </xdr:to>
    <xdr:sp macro="" textlink="">
      <xdr:nvSpPr>
        <xdr:cNvPr id="13" name="Retângulo 12">
          <a:extLst>
            <a:ext uri="{FF2B5EF4-FFF2-40B4-BE49-F238E27FC236}">
              <a16:creationId xmlns:a16="http://schemas.microsoft.com/office/drawing/2014/main" id="{00000000-0008-0000-0200-00000D000000}"/>
            </a:ext>
          </a:extLst>
        </xdr:cNvPr>
        <xdr:cNvSpPr/>
      </xdr:nvSpPr>
      <xdr:spPr>
        <a:xfrm>
          <a:off x="6619875" y="2247900"/>
          <a:ext cx="200025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0</xdr:row>
      <xdr:rowOff>171450</xdr:rowOff>
    </xdr:from>
    <xdr:to>
      <xdr:col>16</xdr:col>
      <xdr:colOff>95250</xdr:colOff>
      <xdr:row>6</xdr:row>
      <xdr:rowOff>76200</xdr:rowOff>
    </xdr:to>
    <xdr:sp macro="" textlink="">
      <xdr:nvSpPr>
        <xdr:cNvPr id="14" name="Retângulo 13">
          <a:extLst>
            <a:ext uri="{FF2B5EF4-FFF2-40B4-BE49-F238E27FC236}">
              <a16:creationId xmlns:a16="http://schemas.microsoft.com/office/drawing/2014/main" id="{00000000-0008-0000-0200-00000E000000}"/>
            </a:ext>
          </a:extLst>
        </xdr:cNvPr>
        <xdr:cNvSpPr/>
      </xdr:nvSpPr>
      <xdr:spPr>
        <a:xfrm>
          <a:off x="5743575" y="171450"/>
          <a:ext cx="2886075" cy="10572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3300"/>
            </a:solidFill>
          </a:endParaRPr>
        </a:p>
      </xdr:txBody>
    </xdr:sp>
    <xdr:clientData/>
  </xdr:twoCellAnchor>
  <xdr:twoCellAnchor>
    <xdr:from>
      <xdr:col>12</xdr:col>
      <xdr:colOff>523875</xdr:colOff>
      <xdr:row>6</xdr:row>
      <xdr:rowOff>76200</xdr:rowOff>
    </xdr:from>
    <xdr:to>
      <xdr:col>16</xdr:col>
      <xdr:colOff>95250</xdr:colOff>
      <xdr:row>11</xdr:row>
      <xdr:rowOff>95250</xdr:rowOff>
    </xdr:to>
    <xdr:sp macro="" textlink="">
      <xdr:nvSpPr>
        <xdr:cNvPr id="15" name="Retângulo 14">
          <a:extLst>
            <a:ext uri="{FF2B5EF4-FFF2-40B4-BE49-F238E27FC236}">
              <a16:creationId xmlns:a16="http://schemas.microsoft.com/office/drawing/2014/main" id="{00000000-0008-0000-0200-00000F000000}"/>
            </a:ext>
          </a:extLst>
        </xdr:cNvPr>
        <xdr:cNvSpPr/>
      </xdr:nvSpPr>
      <xdr:spPr>
        <a:xfrm>
          <a:off x="6619875" y="1228725"/>
          <a:ext cx="2009775" cy="10191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0</xdr:row>
      <xdr:rowOff>171450</xdr:rowOff>
    </xdr:from>
    <xdr:to>
      <xdr:col>16</xdr:col>
      <xdr:colOff>95250</xdr:colOff>
      <xdr:row>21</xdr:row>
      <xdr:rowOff>180975</xdr:rowOff>
    </xdr:to>
    <xdr:sp macro="" textlink="">
      <xdr:nvSpPr>
        <xdr:cNvPr id="16" name="Retângulo 15">
          <a:extLst>
            <a:ext uri="{FF2B5EF4-FFF2-40B4-BE49-F238E27FC236}">
              <a16:creationId xmlns:a16="http://schemas.microsoft.com/office/drawing/2014/main" id="{00000000-0008-0000-0200-000010000000}"/>
            </a:ext>
          </a:extLst>
        </xdr:cNvPr>
        <xdr:cNvSpPr/>
      </xdr:nvSpPr>
      <xdr:spPr>
        <a:xfrm>
          <a:off x="2809875" y="171450"/>
          <a:ext cx="5819775" cy="4095750"/>
        </a:xfrm>
        <a:prstGeom prst="rect">
          <a:avLst/>
        </a:prstGeom>
        <a:no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361950</xdr:colOff>
      <xdr:row>22</xdr:row>
      <xdr:rowOff>9525</xdr:rowOff>
    </xdr:from>
    <xdr:to>
      <xdr:col>16</xdr:col>
      <xdr:colOff>114300</xdr:colOff>
      <xdr:row>23</xdr:row>
      <xdr:rowOff>95250</xdr:rowOff>
    </xdr:to>
    <xdr:sp macro="" textlink="">
      <xdr:nvSpPr>
        <xdr:cNvPr id="17" name="CaixaDeTexto 16">
          <a:extLst>
            <a:ext uri="{FF2B5EF4-FFF2-40B4-BE49-F238E27FC236}">
              <a16:creationId xmlns:a16="http://schemas.microsoft.com/office/drawing/2014/main" id="{00000000-0008-0000-0200-000011000000}"/>
            </a:ext>
          </a:extLst>
        </xdr:cNvPr>
        <xdr:cNvSpPr txBox="1"/>
      </xdr:nvSpPr>
      <xdr:spPr>
        <a:xfrm>
          <a:off x="2800350" y="4286250"/>
          <a:ext cx="5848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Remota	                     Improvável	      Possível	                                Provável	</a:t>
          </a:r>
        </a:p>
      </xdr:txBody>
    </xdr:sp>
    <xdr:clientData/>
  </xdr:twoCellAnchor>
  <xdr:twoCellAnchor>
    <xdr:from>
      <xdr:col>5</xdr:col>
      <xdr:colOff>180975</xdr:colOff>
      <xdr:row>2</xdr:row>
      <xdr:rowOff>47626</xdr:rowOff>
    </xdr:from>
    <xdr:to>
      <xdr:col>6</xdr:col>
      <xdr:colOff>152400</xdr:colOff>
      <xdr:row>3</xdr:row>
      <xdr:rowOff>180976</xdr:rowOff>
    </xdr:to>
    <xdr:sp macro="" textlink="">
      <xdr:nvSpPr>
        <xdr:cNvPr id="18" name="CaixaDeTexto 17">
          <a:extLst>
            <a:ext uri="{FF2B5EF4-FFF2-40B4-BE49-F238E27FC236}">
              <a16:creationId xmlns:a16="http://schemas.microsoft.com/office/drawing/2014/main" id="{00000000-0008-0000-0200-000012000000}"/>
            </a:ext>
          </a:extLst>
        </xdr:cNvPr>
        <xdr:cNvSpPr txBox="1"/>
      </xdr:nvSpPr>
      <xdr:spPr>
        <a:xfrm>
          <a:off x="2009775" y="428626"/>
          <a:ext cx="5810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Alto</a:t>
          </a:r>
        </a:p>
      </xdr:txBody>
    </xdr:sp>
    <xdr:clientData/>
  </xdr:twoCellAnchor>
  <xdr:twoCellAnchor>
    <xdr:from>
      <xdr:col>4</xdr:col>
      <xdr:colOff>466725</xdr:colOff>
      <xdr:row>8</xdr:row>
      <xdr:rowOff>1</xdr:rowOff>
    </xdr:from>
    <xdr:to>
      <xdr:col>6</xdr:col>
      <xdr:colOff>285750</xdr:colOff>
      <xdr:row>9</xdr:row>
      <xdr:rowOff>133351</xdr:rowOff>
    </xdr:to>
    <xdr:sp macro="" textlink="">
      <xdr:nvSpPr>
        <xdr:cNvPr id="19" name="CaixaDeTexto 18">
          <a:extLst>
            <a:ext uri="{FF2B5EF4-FFF2-40B4-BE49-F238E27FC236}">
              <a16:creationId xmlns:a16="http://schemas.microsoft.com/office/drawing/2014/main" id="{00000000-0008-0000-0200-000013000000}"/>
            </a:ext>
          </a:extLst>
        </xdr:cNvPr>
        <xdr:cNvSpPr txBox="1"/>
      </xdr:nvSpPr>
      <xdr:spPr>
        <a:xfrm>
          <a:off x="1685925" y="1552576"/>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Sifnificativo</a:t>
          </a:r>
        </a:p>
      </xdr:txBody>
    </xdr:sp>
    <xdr:clientData/>
  </xdr:twoCellAnchor>
  <xdr:twoCellAnchor>
    <xdr:from>
      <xdr:col>4</xdr:col>
      <xdr:colOff>409575</xdr:colOff>
      <xdr:row>13</xdr:row>
      <xdr:rowOff>95251</xdr:rowOff>
    </xdr:from>
    <xdr:to>
      <xdr:col>6</xdr:col>
      <xdr:colOff>228600</xdr:colOff>
      <xdr:row>15</xdr:row>
      <xdr:rowOff>38101</xdr:rowOff>
    </xdr:to>
    <xdr:sp macro="" textlink="">
      <xdr:nvSpPr>
        <xdr:cNvPr id="20" name="CaixaDeTexto 19">
          <a:extLst>
            <a:ext uri="{FF2B5EF4-FFF2-40B4-BE49-F238E27FC236}">
              <a16:creationId xmlns:a16="http://schemas.microsoft.com/office/drawing/2014/main" id="{00000000-0008-0000-0200-000014000000}"/>
            </a:ext>
          </a:extLst>
        </xdr:cNvPr>
        <xdr:cNvSpPr txBox="1"/>
      </xdr:nvSpPr>
      <xdr:spPr>
        <a:xfrm>
          <a:off x="1628775" y="2647951"/>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Moderado</a:t>
          </a:r>
        </a:p>
      </xdr:txBody>
    </xdr:sp>
    <xdr:clientData/>
  </xdr:twoCellAnchor>
  <xdr:twoCellAnchor>
    <xdr:from>
      <xdr:col>5</xdr:col>
      <xdr:colOff>38101</xdr:colOff>
      <xdr:row>17</xdr:row>
      <xdr:rowOff>152401</xdr:rowOff>
    </xdr:from>
    <xdr:to>
      <xdr:col>6</xdr:col>
      <xdr:colOff>57151</xdr:colOff>
      <xdr:row>19</xdr:row>
      <xdr:rowOff>95251</xdr:rowOff>
    </xdr:to>
    <xdr:sp macro="" textlink="">
      <xdr:nvSpPr>
        <xdr:cNvPr id="21" name="CaixaDeTexto 20">
          <a:extLst>
            <a:ext uri="{FF2B5EF4-FFF2-40B4-BE49-F238E27FC236}">
              <a16:creationId xmlns:a16="http://schemas.microsoft.com/office/drawing/2014/main" id="{00000000-0008-0000-0200-000015000000}"/>
            </a:ext>
          </a:extLst>
        </xdr:cNvPr>
        <xdr:cNvSpPr txBox="1"/>
      </xdr:nvSpPr>
      <xdr:spPr>
        <a:xfrm>
          <a:off x="1866901" y="3476626"/>
          <a:ext cx="6286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Baixo</a:t>
          </a:r>
        </a:p>
      </xdr:txBody>
    </xdr:sp>
    <xdr:clientData/>
  </xdr:twoCellAnchor>
  <xdr:twoCellAnchor>
    <xdr:from>
      <xdr:col>10</xdr:col>
      <xdr:colOff>38101</xdr:colOff>
      <xdr:row>24</xdr:row>
      <xdr:rowOff>104776</xdr:rowOff>
    </xdr:from>
    <xdr:to>
      <xdr:col>13</xdr:col>
      <xdr:colOff>133351</xdr:colOff>
      <xdr:row>26</xdr:row>
      <xdr:rowOff>47626</xdr:rowOff>
    </xdr:to>
    <xdr:sp macro="" textlink="">
      <xdr:nvSpPr>
        <xdr:cNvPr id="22" name="CaixaDeTexto 21">
          <a:extLst>
            <a:ext uri="{FF2B5EF4-FFF2-40B4-BE49-F238E27FC236}">
              <a16:creationId xmlns:a16="http://schemas.microsoft.com/office/drawing/2014/main" id="{00000000-0008-0000-0200-000016000000}"/>
            </a:ext>
          </a:extLst>
        </xdr:cNvPr>
        <xdr:cNvSpPr txBox="1"/>
      </xdr:nvSpPr>
      <xdr:spPr>
        <a:xfrm>
          <a:off x="4914901" y="4762501"/>
          <a:ext cx="1924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PROBABILIDADE</a:t>
          </a:r>
        </a:p>
      </xdr:txBody>
    </xdr:sp>
    <xdr:clientData/>
  </xdr:twoCellAnchor>
  <xdr:twoCellAnchor>
    <xdr:from>
      <xdr:col>3</xdr:col>
      <xdr:colOff>581026</xdr:colOff>
      <xdr:row>5</xdr:row>
      <xdr:rowOff>114301</xdr:rowOff>
    </xdr:from>
    <xdr:to>
      <xdr:col>4</xdr:col>
      <xdr:colOff>295276</xdr:colOff>
      <xdr:row>15</xdr:row>
      <xdr:rowOff>133351</xdr:rowOff>
    </xdr:to>
    <xdr:sp macro="" textlink="">
      <xdr:nvSpPr>
        <xdr:cNvPr id="23" name="CaixaDeTexto 22">
          <a:extLst>
            <a:ext uri="{FF2B5EF4-FFF2-40B4-BE49-F238E27FC236}">
              <a16:creationId xmlns:a16="http://schemas.microsoft.com/office/drawing/2014/main" id="{00000000-0008-0000-0200-000017000000}"/>
            </a:ext>
          </a:extLst>
        </xdr:cNvPr>
        <xdr:cNvSpPr txBox="1"/>
      </xdr:nvSpPr>
      <xdr:spPr>
        <a:xfrm rot="16200000">
          <a:off x="352426" y="1914526"/>
          <a:ext cx="2000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IMPACTO</a:t>
          </a:r>
        </a:p>
      </xdr:txBody>
    </xdr:sp>
    <xdr:clientData/>
  </xdr:twoCellAnchor>
  <xdr:twoCellAnchor>
    <xdr:from>
      <xdr:col>6</xdr:col>
      <xdr:colOff>133349</xdr:colOff>
      <xdr:row>0</xdr:row>
      <xdr:rowOff>76200</xdr:rowOff>
    </xdr:from>
    <xdr:to>
      <xdr:col>16</xdr:col>
      <xdr:colOff>323849</xdr:colOff>
      <xdr:row>23</xdr:row>
      <xdr:rowOff>85725</xdr:rowOff>
    </xdr:to>
    <xdr:graphicFrame macro="">
      <xdr:nvGraphicFramePr>
        <xdr:cNvPr id="27" name="Gráfico 26">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201083</xdr:colOff>
      <xdr:row>1</xdr:row>
      <xdr:rowOff>0</xdr:rowOff>
    </xdr:from>
    <xdr:to>
      <xdr:col>3</xdr:col>
      <xdr:colOff>158749</xdr:colOff>
      <xdr:row>4</xdr:row>
      <xdr:rowOff>148166</xdr:rowOff>
    </xdr:to>
    <xdr:sp macro="" textlink="">
      <xdr:nvSpPr>
        <xdr:cNvPr id="25" name="Retângulo 24">
          <a:extLst>
            <a:ext uri="{FF2B5EF4-FFF2-40B4-BE49-F238E27FC236}">
              <a16:creationId xmlns:a16="http://schemas.microsoft.com/office/drawing/2014/main" id="{00000000-0008-0000-0200-000019000000}"/>
            </a:ext>
          </a:extLst>
        </xdr:cNvPr>
        <xdr:cNvSpPr/>
      </xdr:nvSpPr>
      <xdr:spPr>
        <a:xfrm>
          <a:off x="201083" y="190500"/>
          <a:ext cx="1799166" cy="719666"/>
        </a:xfrm>
        <a:prstGeom prst="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rtlCol="0" anchor="ctr"/>
        <a:lstStyle/>
        <a:p>
          <a:pPr algn="ctr"/>
          <a:r>
            <a:rPr lang="pt-BR" sz="1000" b="1">
              <a:solidFill>
                <a:sysClr val="windowText" lastClr="000000"/>
              </a:solidFill>
              <a:latin typeface="Arial" pitchFamily="34" charset="0"/>
              <a:cs typeface="Arial" pitchFamily="34" charset="0"/>
            </a:rPr>
            <a:t>Observação:</a:t>
          </a:r>
          <a:r>
            <a:rPr lang="pt-BR" sz="1000" b="1" baseline="0">
              <a:solidFill>
                <a:sysClr val="windowText" lastClr="000000"/>
              </a:solidFill>
              <a:latin typeface="Arial" pitchFamily="34" charset="0"/>
              <a:cs typeface="Arial" pitchFamily="34" charset="0"/>
            </a:rPr>
            <a:t> </a:t>
          </a:r>
          <a:r>
            <a:rPr lang="pt-BR" sz="1000" b="0" baseline="0">
              <a:solidFill>
                <a:sysClr val="windowText" lastClr="000000"/>
              </a:solidFill>
              <a:latin typeface="Arial" pitchFamily="34" charset="0"/>
              <a:cs typeface="Arial" pitchFamily="34" charset="0"/>
            </a:rPr>
            <a:t>Este gráfico será exibido corretamente quando a versão do Officce for 2007 ou posterior.</a:t>
          </a:r>
          <a:endParaRPr lang="pt-BR" sz="1000" b="0">
            <a:solidFill>
              <a:sysClr val="windowText" lastClr="000000"/>
            </a:solidFill>
            <a:latin typeface="Arial" pitchFamily="34" charset="0"/>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laudionor.pedroso/AppData/Local/Microsoft/Windows/INetCache/Content.Outlook/DXPAF6JO/Gest&#227;o%20de%20Risco%20e%20Oportunidades%20-%20CANTU.xlsx" TargetMode="External"/><Relationship Id="rId1" Type="http://schemas.openxmlformats.org/officeDocument/2006/relationships/externalLinkPath" Target="/Users/claudionor.pedroso/AppData/Local/Microsoft/Windows/INetCache/Content.Outlook/DXPAF6JO/Gest&#227;o%20de%20Risco%20e%20Oportunidades%20-%20CANT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iscos-CANTU"/>
      <sheetName val="Impacto (legenda)"/>
      <sheetName val="Probabilidade (legenda)"/>
      <sheetName val="Ações-Riscos-CANTU"/>
      <sheetName val=" Aval.Oportunidades-CANTU"/>
      <sheetName val="Condição de Exequibilidade"/>
      <sheetName val="Ações - Oportunidades-CANTU"/>
      <sheetName val="Estratégias"/>
      <sheetName val="Classificação"/>
      <sheetName val="Gráfico"/>
    </sheetNames>
    <sheetDataSet>
      <sheetData sheetId="0">
        <row r="10">
          <cell r="B10" t="str">
            <v>1.</v>
          </cell>
          <cell r="C10" t="str">
            <v>Comercial - Vacância</v>
          </cell>
          <cell r="AS10" t="str">
            <v>Administrável</v>
          </cell>
        </row>
        <row r="12">
          <cell r="B12" t="str">
            <v>2.</v>
          </cell>
          <cell r="C12" t="str">
            <v xml:space="preserve">Eventos de Sinistros em Imóveis </v>
          </cell>
          <cell r="AS12" t="str">
            <v>Administrável</v>
          </cell>
        </row>
        <row r="14">
          <cell r="B14" t="str">
            <v>3.</v>
          </cell>
          <cell r="C14" t="str">
            <v>Novos Negócios - Aquisição de Imóveis</v>
          </cell>
          <cell r="AS14" t="str">
            <v>Administrável</v>
          </cell>
        </row>
        <row r="16">
          <cell r="B16" t="str">
            <v>4.</v>
          </cell>
          <cell r="C16" t="str">
            <v>Novos Negócios - Definição do Produto</v>
          </cell>
          <cell r="AS16" t="str">
            <v>Administrável</v>
          </cell>
        </row>
        <row r="18">
          <cell r="B18" t="str">
            <v>5.</v>
          </cell>
          <cell r="C18" t="str">
            <v>Assistência Técnica - Conservação dos Imóveis</v>
          </cell>
          <cell r="AS18" t="str">
            <v>Administrável</v>
          </cell>
        </row>
        <row r="20">
          <cell r="B20" t="str">
            <v>6.</v>
          </cell>
          <cell r="C20" t="str">
            <v>Administrativo - Inadimplência</v>
          </cell>
          <cell r="AS20" t="str">
            <v>Administrável</v>
          </cell>
        </row>
        <row r="22">
          <cell r="B22" t="str">
            <v>7.</v>
          </cell>
          <cell r="C22" t="str">
            <v>Redução de faturamento em decorrência de Pandemias "Covid-19"</v>
          </cell>
          <cell r="AS22" t="str">
            <v>Administrável</v>
          </cell>
        </row>
        <row r="24">
          <cell r="B24" t="str">
            <v>8.</v>
          </cell>
          <cell r="AS24" t="str">
            <v/>
          </cell>
        </row>
        <row r="26">
          <cell r="B26" t="str">
            <v>9.</v>
          </cell>
          <cell r="AS26" t="str">
            <v/>
          </cell>
        </row>
        <row r="28">
          <cell r="B28" t="str">
            <v>10.</v>
          </cell>
          <cell r="AS28" t="str">
            <v/>
          </cell>
        </row>
        <row r="30">
          <cell r="B30" t="str">
            <v>11.</v>
          </cell>
          <cell r="AS30" t="str">
            <v/>
          </cell>
        </row>
        <row r="32">
          <cell r="B32" t="str">
            <v>12.</v>
          </cell>
          <cell r="AS32" t="str">
            <v/>
          </cell>
        </row>
        <row r="34">
          <cell r="B34" t="str">
            <v>13.</v>
          </cell>
          <cell r="AS34" t="str">
            <v/>
          </cell>
        </row>
        <row r="36">
          <cell r="B36" t="str">
            <v>14.</v>
          </cell>
          <cell r="AS36" t="str">
            <v/>
          </cell>
        </row>
        <row r="38">
          <cell r="B38" t="str">
            <v>15.</v>
          </cell>
          <cell r="AS38" t="str">
            <v/>
          </cell>
        </row>
        <row r="40">
          <cell r="B40" t="str">
            <v>16.</v>
          </cell>
          <cell r="AS40" t="str">
            <v/>
          </cell>
        </row>
        <row r="42">
          <cell r="B42" t="str">
            <v>17.</v>
          </cell>
          <cell r="AS42" t="str">
            <v/>
          </cell>
        </row>
        <row r="44">
          <cell r="B44" t="str">
            <v>18.</v>
          </cell>
          <cell r="AS44" t="str">
            <v/>
          </cell>
        </row>
        <row r="46">
          <cell r="B46" t="str">
            <v>19.</v>
          </cell>
          <cell r="AS46" t="str">
            <v/>
          </cell>
        </row>
        <row r="48">
          <cell r="B48" t="str">
            <v>20.</v>
          </cell>
          <cell r="AS48" t="str">
            <v/>
          </cell>
        </row>
      </sheetData>
      <sheetData sheetId="1"/>
      <sheetData sheetId="2"/>
      <sheetData sheetId="3"/>
      <sheetData sheetId="4">
        <row r="10">
          <cell r="C10" t="str">
            <v>Expansão/aumento de faturamento na captação de  Novos Negocios</v>
          </cell>
        </row>
      </sheetData>
      <sheetData sheetId="5"/>
      <sheetData sheetId="6"/>
      <sheetData sheetId="7">
        <row r="2">
          <cell r="A2" t="str">
            <v>Prevenir</v>
          </cell>
          <cell r="D2" t="str">
            <v>Explorar</v>
          </cell>
        </row>
        <row r="3">
          <cell r="A3" t="str">
            <v>Transferir</v>
          </cell>
          <cell r="D3" t="str">
            <v>Melhorar</v>
          </cell>
        </row>
        <row r="4">
          <cell r="A4" t="str">
            <v>Mitigar</v>
          </cell>
          <cell r="D4" t="str">
            <v>Compartilhar</v>
          </cell>
        </row>
        <row r="5">
          <cell r="A5" t="str">
            <v>Aceitar</v>
          </cell>
          <cell r="D5" t="str">
            <v>Aceitar</v>
          </cell>
        </row>
      </sheetData>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C763-818E-4FD9-9FEF-50454DC0A655}">
  <sheetPr>
    <pageSetUpPr fitToPage="1"/>
  </sheetPr>
  <dimension ref="B1:BD52"/>
  <sheetViews>
    <sheetView showGridLines="0" zoomScale="120" zoomScaleNormal="120" workbookViewId="0">
      <pane xSplit="4" ySplit="9" topLeftCell="Y10" activePane="bottomRight" state="frozen"/>
      <selection pane="topRight" activeCell="G1" sqref="G1"/>
      <selection pane="bottomLeft" activeCell="A8" sqref="A8"/>
      <selection pane="bottomRight" activeCell="AM10" sqref="AM10"/>
    </sheetView>
  </sheetViews>
  <sheetFormatPr defaultColWidth="9.109375" defaultRowHeight="13.8" x14ac:dyDescent="0.3"/>
  <cols>
    <col min="1" max="1" width="1.88671875" style="1" customWidth="1"/>
    <col min="2" max="2" width="6.33203125" style="1" customWidth="1"/>
    <col min="3" max="3" width="42.5546875" style="46" bestFit="1" customWidth="1"/>
    <col min="4" max="4" width="0.109375" style="2" customWidth="1"/>
    <col min="5" max="5" width="11.6640625" style="2" customWidth="1"/>
    <col min="6" max="6" width="2.33203125" style="2" hidden="1" customWidth="1"/>
    <col min="7" max="7" width="2" style="2" hidden="1" customWidth="1"/>
    <col min="8" max="8" width="10.33203125" style="2" customWidth="1"/>
    <col min="9" max="10" width="3" style="2" hidden="1" customWidth="1"/>
    <col min="11" max="11" width="10.109375" style="2" customWidth="1"/>
    <col min="12" max="12" width="3" style="2" hidden="1" customWidth="1"/>
    <col min="13" max="13" width="2.44140625" style="2" hidden="1" customWidth="1"/>
    <col min="14" max="14" width="15.5546875" style="2" customWidth="1"/>
    <col min="15" max="15" width="3.88671875" style="2" hidden="1" customWidth="1"/>
    <col min="16" max="16" width="2" style="2" hidden="1" customWidth="1"/>
    <col min="17" max="17" width="10" style="2" customWidth="1"/>
    <col min="18" max="18" width="2" style="2" hidden="1" customWidth="1"/>
    <col min="19" max="19" width="3.33203125" style="2" hidden="1" customWidth="1"/>
    <col min="20" max="20" width="1.44140625" style="68" hidden="1" customWidth="1"/>
    <col min="21" max="21" width="2.6640625" style="68" hidden="1" customWidth="1"/>
    <col min="22" max="22" width="2.109375" style="11" customWidth="1"/>
    <col min="23" max="24" width="10.6640625" style="2" customWidth="1"/>
    <col min="25" max="25" width="11.6640625" style="2" customWidth="1"/>
    <col min="26" max="26" width="10.5546875" style="2" customWidth="1"/>
    <col min="27" max="27" width="3.33203125" style="2" hidden="1" customWidth="1"/>
    <col min="28" max="28" width="2.5546875" style="7" customWidth="1"/>
    <col min="29" max="30" width="9.6640625" style="2" customWidth="1"/>
    <col min="31" max="31" width="9.5546875" style="2" customWidth="1"/>
    <col min="32" max="32" width="3.5546875" style="2" hidden="1" customWidth="1"/>
    <col min="33" max="33" width="3.33203125" style="7" customWidth="1"/>
    <col min="34" max="37" width="7" style="2" customWidth="1"/>
    <col min="38" max="38" width="7.33203125" style="2" customWidth="1"/>
    <col min="39" max="39" width="9.109375" style="2" customWidth="1"/>
    <col min="40" max="40" width="3" style="2" hidden="1" customWidth="1"/>
    <col min="41" max="41" width="2.33203125" style="71" customWidth="1"/>
    <col min="42" max="42" width="2" style="68" hidden="1" customWidth="1"/>
    <col min="43" max="43" width="2.44140625" style="68" hidden="1" customWidth="1"/>
    <col min="44" max="44" width="3.88671875" style="68" hidden="1" customWidth="1"/>
    <col min="45" max="45" width="17.6640625" style="1" customWidth="1"/>
    <col min="46" max="46" width="1" style="59" customWidth="1"/>
    <col min="47" max="47" width="17.6640625" style="1" customWidth="1"/>
    <col min="48" max="48" width="5.109375" style="130" customWidth="1"/>
    <col min="49" max="49" width="0.88671875" style="3" customWidth="1"/>
    <col min="50" max="51" width="12.109375" style="35" hidden="1" customWidth="1"/>
    <col min="52" max="52" width="11.5546875" style="35" hidden="1" customWidth="1"/>
    <col min="53" max="53" width="11.33203125" style="35" hidden="1" customWidth="1"/>
    <col min="54" max="54" width="9.109375" style="1"/>
    <col min="55" max="55" width="9.109375" style="3"/>
    <col min="56" max="16384" width="9.109375" style="1"/>
  </cols>
  <sheetData>
    <row r="1" spans="2:56" ht="21.75" customHeight="1" x14ac:dyDescent="0.3">
      <c r="B1" s="207"/>
      <c r="C1" s="208"/>
      <c r="D1" s="105"/>
      <c r="E1" s="213" t="s">
        <v>97</v>
      </c>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128"/>
    </row>
    <row r="2" spans="2:56" ht="23.25" customHeight="1" x14ac:dyDescent="0.3">
      <c r="B2" s="209"/>
      <c r="C2" s="210"/>
      <c r="D2" s="105"/>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128"/>
    </row>
    <row r="3" spans="2:56" ht="3" customHeight="1" x14ac:dyDescent="0.3">
      <c r="B3" s="209"/>
      <c r="C3" s="210"/>
      <c r="AP3" s="2"/>
      <c r="AS3" s="68"/>
      <c r="AT3" s="136"/>
      <c r="AU3" s="68"/>
      <c r="AV3" s="129"/>
    </row>
    <row r="4" spans="2:56" ht="21" thickBot="1" x14ac:dyDescent="0.35">
      <c r="B4" s="211"/>
      <c r="C4" s="212"/>
      <c r="D4" s="106"/>
      <c r="E4" s="214" t="s">
        <v>125</v>
      </c>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143"/>
    </row>
    <row r="5" spans="2:56" ht="3" customHeight="1" thickBot="1" x14ac:dyDescent="0.35"/>
    <row r="6" spans="2:56" ht="27" customHeight="1" x14ac:dyDescent="0.3">
      <c r="B6" s="215" t="s">
        <v>0</v>
      </c>
      <c r="C6" s="218" t="s">
        <v>85</v>
      </c>
      <c r="D6" s="107"/>
      <c r="E6" s="221" t="s">
        <v>21</v>
      </c>
      <c r="F6" s="222"/>
      <c r="G6" s="222"/>
      <c r="H6" s="222"/>
      <c r="I6" s="222"/>
      <c r="J6" s="222"/>
      <c r="K6" s="222"/>
      <c r="L6" s="222"/>
      <c r="M6" s="222"/>
      <c r="N6" s="222"/>
      <c r="O6" s="222"/>
      <c r="P6" s="222"/>
      <c r="Q6" s="223"/>
      <c r="R6" s="108"/>
      <c r="S6" s="108"/>
      <c r="T6" s="109"/>
      <c r="U6" s="109"/>
      <c r="V6" s="110"/>
      <c r="W6" s="221" t="s">
        <v>25</v>
      </c>
      <c r="X6" s="222"/>
      <c r="Y6" s="222"/>
      <c r="Z6" s="222"/>
      <c r="AA6" s="222"/>
      <c r="AB6" s="222"/>
      <c r="AC6" s="222"/>
      <c r="AD6" s="222"/>
      <c r="AE6" s="222"/>
      <c r="AF6" s="222"/>
      <c r="AG6" s="222"/>
      <c r="AH6" s="222"/>
      <c r="AI6" s="222"/>
      <c r="AJ6" s="222"/>
      <c r="AK6" s="222"/>
      <c r="AL6" s="222"/>
      <c r="AM6" s="223"/>
      <c r="AN6" s="113"/>
      <c r="AO6" s="72"/>
      <c r="AP6" s="69"/>
      <c r="AQ6" s="69"/>
      <c r="AR6" s="69"/>
      <c r="AS6" s="224" t="s">
        <v>1</v>
      </c>
      <c r="AT6" s="137"/>
      <c r="AU6" s="224" t="s">
        <v>89</v>
      </c>
    </row>
    <row r="7" spans="2:56" ht="16.5" customHeight="1" x14ac:dyDescent="0.3">
      <c r="B7" s="216" t="s">
        <v>0</v>
      </c>
      <c r="C7" s="219"/>
      <c r="D7" s="107"/>
      <c r="E7" s="225" t="s">
        <v>2</v>
      </c>
      <c r="F7" s="229" t="s">
        <v>22</v>
      </c>
      <c r="G7" s="229" t="s">
        <v>23</v>
      </c>
      <c r="H7" s="205" t="s">
        <v>3</v>
      </c>
      <c r="I7" s="194" t="s">
        <v>22</v>
      </c>
      <c r="J7" s="194" t="s">
        <v>23</v>
      </c>
      <c r="K7" s="205" t="s">
        <v>60</v>
      </c>
      <c r="L7" s="194" t="s">
        <v>22</v>
      </c>
      <c r="M7" s="194" t="s">
        <v>23</v>
      </c>
      <c r="N7" s="205" t="s">
        <v>68</v>
      </c>
      <c r="O7" s="194" t="s">
        <v>22</v>
      </c>
      <c r="P7" s="194" t="s">
        <v>23</v>
      </c>
      <c r="Q7" s="227" t="s">
        <v>78</v>
      </c>
      <c r="R7" s="200" t="s">
        <v>22</v>
      </c>
      <c r="S7" s="202" t="s">
        <v>23</v>
      </c>
      <c r="T7" s="109"/>
      <c r="U7" s="109"/>
      <c r="V7" s="110"/>
      <c r="W7" s="204" t="s">
        <v>4</v>
      </c>
      <c r="X7" s="196"/>
      <c r="Y7" s="196"/>
      <c r="Z7" s="196"/>
      <c r="AA7" s="194" t="s">
        <v>22</v>
      </c>
      <c r="AB7" s="100"/>
      <c r="AC7" s="196" t="s">
        <v>6</v>
      </c>
      <c r="AD7" s="196"/>
      <c r="AE7" s="196"/>
      <c r="AF7" s="194" t="s">
        <v>22</v>
      </c>
      <c r="AG7" s="100"/>
      <c r="AH7" s="196" t="s">
        <v>79</v>
      </c>
      <c r="AI7" s="196"/>
      <c r="AJ7" s="196"/>
      <c r="AK7" s="196"/>
      <c r="AL7" s="196"/>
      <c r="AM7" s="197"/>
      <c r="AN7" s="198" t="s">
        <v>22</v>
      </c>
      <c r="AO7" s="73"/>
      <c r="AP7" s="69"/>
      <c r="AQ7" s="69"/>
      <c r="AR7" s="69"/>
      <c r="AS7" s="224"/>
      <c r="AT7" s="137"/>
      <c r="AU7" s="224"/>
    </row>
    <row r="8" spans="2:56" ht="27.9" customHeight="1" thickBot="1" x14ac:dyDescent="0.35">
      <c r="B8" s="217"/>
      <c r="C8" s="220"/>
      <c r="D8" s="107"/>
      <c r="E8" s="226"/>
      <c r="F8" s="230"/>
      <c r="G8" s="230"/>
      <c r="H8" s="231"/>
      <c r="I8" s="195"/>
      <c r="J8" s="195"/>
      <c r="K8" s="206"/>
      <c r="L8" s="195"/>
      <c r="M8" s="195"/>
      <c r="N8" s="206"/>
      <c r="O8" s="195"/>
      <c r="P8" s="195"/>
      <c r="Q8" s="228"/>
      <c r="R8" s="201"/>
      <c r="S8" s="203"/>
      <c r="T8" s="109"/>
      <c r="U8" s="111" t="s">
        <v>32</v>
      </c>
      <c r="V8" s="112"/>
      <c r="W8" s="101" t="s">
        <v>14</v>
      </c>
      <c r="X8" s="102" t="s">
        <v>26</v>
      </c>
      <c r="Y8" s="102" t="s">
        <v>84</v>
      </c>
      <c r="Z8" s="102" t="s">
        <v>5</v>
      </c>
      <c r="AA8" s="195"/>
      <c r="AB8" s="103"/>
      <c r="AC8" s="102" t="s">
        <v>15</v>
      </c>
      <c r="AD8" s="102" t="s">
        <v>16</v>
      </c>
      <c r="AE8" s="102" t="s">
        <v>81</v>
      </c>
      <c r="AF8" s="195"/>
      <c r="AG8" s="103"/>
      <c r="AH8" s="102" t="s">
        <v>7</v>
      </c>
      <c r="AI8" s="102" t="s">
        <v>8</v>
      </c>
      <c r="AJ8" s="102" t="s">
        <v>9</v>
      </c>
      <c r="AK8" s="102" t="s">
        <v>10</v>
      </c>
      <c r="AL8" s="102" t="s">
        <v>11</v>
      </c>
      <c r="AM8" s="104" t="s">
        <v>80</v>
      </c>
      <c r="AN8" s="199"/>
      <c r="AO8" s="73"/>
      <c r="AP8" s="70" t="s">
        <v>27</v>
      </c>
      <c r="AQ8" s="70" t="s">
        <v>13</v>
      </c>
      <c r="AR8" s="70"/>
      <c r="AS8" s="224"/>
      <c r="AT8" s="137"/>
      <c r="AU8" s="224"/>
      <c r="AX8" s="116" t="s">
        <v>20</v>
      </c>
      <c r="AY8" s="115" t="s">
        <v>17</v>
      </c>
      <c r="AZ8" s="118" t="s">
        <v>18</v>
      </c>
      <c r="BA8" s="114" t="s">
        <v>19</v>
      </c>
    </row>
    <row r="9" spans="2:56" ht="3" customHeight="1" x14ac:dyDescent="0.3">
      <c r="C9" s="48"/>
      <c r="E9" s="16"/>
      <c r="F9" s="16"/>
      <c r="G9" s="16"/>
      <c r="H9" s="16"/>
      <c r="I9" s="16"/>
      <c r="J9" s="16"/>
      <c r="K9" s="16"/>
      <c r="L9" s="16"/>
      <c r="M9" s="16"/>
      <c r="N9" s="16"/>
      <c r="O9" s="16"/>
      <c r="P9" s="16"/>
      <c r="Q9" s="16"/>
      <c r="R9" s="16"/>
      <c r="S9" s="16"/>
      <c r="W9" s="16"/>
      <c r="X9" s="16"/>
      <c r="Y9" s="16"/>
      <c r="Z9" s="16"/>
      <c r="AA9" s="16"/>
      <c r="AC9" s="16"/>
      <c r="AD9" s="16"/>
      <c r="AE9" s="16"/>
      <c r="AF9" s="16"/>
      <c r="AH9" s="16"/>
      <c r="AI9" s="16"/>
      <c r="AJ9" s="16"/>
      <c r="AK9" s="16"/>
      <c r="AL9" s="16"/>
      <c r="AM9" s="16"/>
      <c r="AN9" s="16"/>
      <c r="AO9" s="74"/>
      <c r="AS9" s="135"/>
      <c r="AU9" s="135"/>
      <c r="AX9" s="79"/>
      <c r="AY9" s="79"/>
      <c r="AZ9" s="79"/>
      <c r="BA9" s="79"/>
    </row>
    <row r="10" spans="2:56" ht="15.75" customHeight="1" x14ac:dyDescent="0.3">
      <c r="B10" s="41" t="s">
        <v>35</v>
      </c>
      <c r="C10" s="45" t="s">
        <v>98</v>
      </c>
      <c r="E10" s="37" t="s">
        <v>31</v>
      </c>
      <c r="F10" s="38">
        <f t="shared" ref="F10" si="0">IF(E10="N.A.",0)+IF(E10="Baixo",1)+IF(E10="Moderado",2)+IF(E10="Significativo",4)+IF(E10="Alto",6)</f>
        <v>6</v>
      </c>
      <c r="G10" s="38">
        <f t="shared" ref="G10:G49" si="1">IF(F10&gt;0,1,0)</f>
        <v>1</v>
      </c>
      <c r="H10" s="37" t="s">
        <v>28</v>
      </c>
      <c r="I10" s="38">
        <f t="shared" ref="I10:I11" si="2">IF(H10="N.A.",0)+IF(H10="Baixo",1)+IF(H10="Moderado",2)+IF(H10="Significativo",4)+IF(H10="Alto",6)</f>
        <v>1</v>
      </c>
      <c r="J10" s="38">
        <f t="shared" ref="J10:J49" si="3">IF(I10&gt;0,1,0)</f>
        <v>1</v>
      </c>
      <c r="K10" s="37" t="s">
        <v>28</v>
      </c>
      <c r="L10" s="38">
        <f>IF(K10="N.A.",0)+IF(K10="Baixo",1)+IF(K10="Moderado",2)+IF(K10="Significativo",4)+IF(K10="Alto",6)</f>
        <v>1</v>
      </c>
      <c r="M10" s="8">
        <f>IF(L10&gt;0,1,0)</f>
        <v>1</v>
      </c>
      <c r="N10" s="37" t="s">
        <v>30</v>
      </c>
      <c r="O10" s="38">
        <f t="shared" ref="O10" si="4">IF(N10="N.A.",0)+IF(N10="Baixo",1)+IF(N10="Moderado",2)+IF(N10="Significativo",4)+IF(N10="Alto",6)</f>
        <v>4</v>
      </c>
      <c r="P10" s="38">
        <f t="shared" ref="P10:P49" si="5">IF(O10&gt;0,1,0)</f>
        <v>1</v>
      </c>
      <c r="Q10" s="37" t="s">
        <v>29</v>
      </c>
      <c r="R10" s="38">
        <f t="shared" ref="R10:R49" si="6">IF(Q10="N.A.",0)+IF(Q10="Baixo",1)+IF(Q10="Moderado",2)+IF(Q10="Significativo",4)+IF(Q10="Alto",6)</f>
        <v>2</v>
      </c>
      <c r="S10" s="38">
        <f t="shared" ref="S10:S15" si="7">IF(R10&gt;0,1,0)</f>
        <v>1</v>
      </c>
      <c r="T10" s="67">
        <f>SUM(G10,J10,M10,P10,S10)</f>
        <v>5</v>
      </c>
      <c r="U10" s="67">
        <f>IFERROR(SUM(F10,I10,L10,O10,R10)/T10,0)</f>
        <v>2.8</v>
      </c>
      <c r="V10" s="14"/>
      <c r="W10" s="37"/>
      <c r="X10" s="37"/>
      <c r="Y10" s="37" t="s">
        <v>24</v>
      </c>
      <c r="Z10" s="37"/>
      <c r="AA10" s="36">
        <f>IF(W10="X",-1)+IF(X10="X",2)+IF(Y10="X",4)+IF(Z10="X",9)</f>
        <v>4</v>
      </c>
      <c r="AB10" s="9"/>
      <c r="AC10" s="37"/>
      <c r="AD10" s="76" t="s">
        <v>24</v>
      </c>
      <c r="AE10" s="37"/>
      <c r="AF10" s="36">
        <f>IF(AC10="X",1)+IF(AD10="X",2)+IF(AE10="X",5)</f>
        <v>2</v>
      </c>
      <c r="AG10" s="9"/>
      <c r="AH10" s="37"/>
      <c r="AI10" s="37"/>
      <c r="AJ10" s="37" t="s">
        <v>24</v>
      </c>
      <c r="AK10" s="37"/>
      <c r="AL10" s="37"/>
      <c r="AM10" s="37"/>
      <c r="AN10" s="36">
        <f>IF(AH10="X",1)+IF(AI10="X",2)+IF(AJ10="X",3)+IF(AK10="X",4)+IF(AL10="X",5)+IF(AM10="X",6)</f>
        <v>3</v>
      </c>
      <c r="AO10" s="75"/>
      <c r="AP10" s="67">
        <f>AA10+AF10+AN10</f>
        <v>9</v>
      </c>
      <c r="AQ10" s="67">
        <f>(AP10+U10)/2</f>
        <v>5.9</v>
      </c>
      <c r="AR10" s="67">
        <f>IF(AS10="",0,10)</f>
        <v>10</v>
      </c>
      <c r="AS10" s="39" t="str">
        <f>IF(AX10=TRUE,"Desprezível",IF(AY10=TRUE,"Administrável",IF(AZ10=TRUE,"Indesejável",IF(BA10=TRUE,"Intolerável",""))))</f>
        <v>Administrável</v>
      </c>
      <c r="AT10" s="131"/>
      <c r="AU10" s="139" t="s">
        <v>92</v>
      </c>
      <c r="AW10" s="20" t="s">
        <v>12</v>
      </c>
      <c r="AX10" s="79" t="b">
        <f>AND(U10&gt;0,U10&lt;=2,AP10&gt;0,AP10&lt;=7)</f>
        <v>0</v>
      </c>
      <c r="AY10" s="79" t="b">
        <f>OR(AND(U10&gt;0,U10&lt;=2,AP10&gt;0,AP10&gt;7,AP10&lt;=13),AND(U10&gt;0,U10&gt;2,U10&lt;=3,AP10&gt;0,AP10&lt;=10))</f>
        <v>1</v>
      </c>
      <c r="AZ10" s="79" t="b">
        <f>OR(AND(U10&gt;0,U10&lt;=2,AP10&gt;0,AP10&gt;12,AP10&lt;=17),AND(U10&gt;0,U10&gt;2,U10&lt;=3,AP10&gt;0,AP10&gt;10,AP10&lt;=13),AND(U10&gt;0,U10&gt;3,U10&lt;=5,AP10&gt;0,AP10&lt;=10),AND(U10&gt;0,U10&gt;4,U10&lt;=6,AP10&gt;0,AP10&lt;=7))</f>
        <v>0</v>
      </c>
      <c r="BA10" s="79" t="b">
        <f>OR(AND(U10&gt;0,U10&gt;2,U10&lt;=3,AP10&gt;0,AP10&gt;14,AP10&lt;=20),AND(U10&gt;0,U10&gt;3,U10&lt;=5,AP10&gt;0,AP10&gt;10),AND(U10&gt;0,U10&gt;5,U10&lt;=6,AP10&gt;0,AP10&gt;7,AP10&lt;=20))</f>
        <v>0</v>
      </c>
      <c r="BC10" s="20" t="s">
        <v>12</v>
      </c>
    </row>
    <row r="11" spans="2:56" ht="3.75" customHeight="1" x14ac:dyDescent="0.3">
      <c r="C11" s="140"/>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67">
        <f t="shared" ref="T11:T49" si="8">SUM(G11,J11,M11,P11,S11)</f>
        <v>0</v>
      </c>
      <c r="U11" s="67">
        <f t="shared" ref="U11:U49" si="9">IFERROR(SUM(F11,I11,L11,O11,R11)/T11,0)</f>
        <v>0</v>
      </c>
      <c r="V11" s="14"/>
      <c r="W11" s="21"/>
      <c r="X11" s="21"/>
      <c r="Y11" s="21"/>
      <c r="Z11" s="21"/>
      <c r="AA11" s="10"/>
      <c r="AB11" s="9"/>
      <c r="AC11" s="21"/>
      <c r="AD11" s="21"/>
      <c r="AE11" s="37"/>
      <c r="AF11" s="36">
        <f t="shared" ref="AF11:AF49" si="10">IF(AC11="X",1)+IF(AD11="X",2)+IF(AE11="X",5)</f>
        <v>0</v>
      </c>
      <c r="AG11" s="9"/>
      <c r="AH11" s="21"/>
      <c r="AI11" s="21"/>
      <c r="AJ11" s="21"/>
      <c r="AK11" s="21"/>
      <c r="AL11" s="21"/>
      <c r="AM11" s="21"/>
      <c r="AN11" s="10"/>
      <c r="AO11" s="75"/>
      <c r="AP11" s="67"/>
      <c r="AQ11" s="67"/>
      <c r="AR11" s="67"/>
      <c r="AS11" s="138"/>
      <c r="AT11" s="134"/>
      <c r="AU11" s="139"/>
      <c r="AW11" s="20" t="s">
        <v>28</v>
      </c>
      <c r="AX11" s="79"/>
      <c r="AY11" s="79"/>
      <c r="AZ11" s="79" t="b">
        <f t="shared" ref="AZ11:AZ49" si="11">OR(AND(U11&gt;0,U11&lt;=2,AP11&gt;0,AP11&gt;12,AP11&lt;=17),AND(U11&gt;0,U11&gt;2,U11&lt;=3,AP11&gt;0,AP11&gt;10,AP11&lt;=13),AND(U11&gt;0,U11&gt;3,U11&lt;=5,AP11&gt;0,AP11&lt;=10),AND(U11&gt;0,U11&gt;4,U11&lt;=6,AP11&gt;0,AP11&lt;=7))</f>
        <v>0</v>
      </c>
      <c r="BA11" s="79" t="b">
        <f t="shared" ref="BA11:BA49" si="12">OR(AND(U11&gt;0,U11&gt;2,U11&lt;=3,AP11&gt;0,AP11&gt;14,AP11&lt;=20),AND(U11&gt;0,U11&gt;3,U11&lt;=5,AP11&gt;0,AP11&gt;10),AND(U11&gt;0,U11&gt;5,U11&lt;=6,AP11&gt;0,AP11&gt;7,AP11&lt;=20))</f>
        <v>0</v>
      </c>
      <c r="BC11" s="20" t="s">
        <v>28</v>
      </c>
    </row>
    <row r="12" spans="2:56" ht="15" customHeight="1" x14ac:dyDescent="0.3">
      <c r="B12" s="41" t="s">
        <v>36</v>
      </c>
      <c r="C12" s="45" t="s">
        <v>99</v>
      </c>
      <c r="E12" s="37" t="s">
        <v>30</v>
      </c>
      <c r="F12" s="38">
        <f>IF(E12="N.A.",0)+IF(E12="Baixo",1)+IF(E12="Moderado",2)+IF(E12="Significativo",4)+IF(E12="Alto",6)</f>
        <v>4</v>
      </c>
      <c r="G12" s="38">
        <f t="shared" si="1"/>
        <v>1</v>
      </c>
      <c r="H12" s="37" t="s">
        <v>29</v>
      </c>
      <c r="I12" s="38">
        <f>IF(H12="N.A.",0)+IF(H12="Baixo",1)+IF(H12="Moderado",2)+IF(H12="Significativo",4)+IF(H12="Alto",6)</f>
        <v>2</v>
      </c>
      <c r="J12" s="38">
        <f t="shared" si="3"/>
        <v>1</v>
      </c>
      <c r="K12" s="37" t="s">
        <v>28</v>
      </c>
      <c r="L12" s="38">
        <f>IF(K12="N.A.",0)+IF(K12="Baixo",1)+IF(K12="Moderado",2)+IF(K12="Significativo",4)+IF(K12="Alto",6)</f>
        <v>1</v>
      </c>
      <c r="M12" s="8">
        <f>IF(L12&gt;0,1,0)</f>
        <v>1</v>
      </c>
      <c r="N12" s="37" t="s">
        <v>30</v>
      </c>
      <c r="O12" s="38">
        <f>IF(N12="N.A.",0)+IF(N12="Baixo",1)+IF(N12="Moderado",2)+IF(N12="Significativo",4)+IF(N12="Alto",6)</f>
        <v>4</v>
      </c>
      <c r="P12" s="38">
        <f t="shared" si="5"/>
        <v>1</v>
      </c>
      <c r="Q12" s="37" t="s">
        <v>30</v>
      </c>
      <c r="R12" s="38">
        <f>IF(Q12="N.A.",0)+IF(Q12="Baixo",1)+IF(Q12="Moderado",2)+IF(Q12="Significativo",4)+IF(Q12="Alto",6)</f>
        <v>4</v>
      </c>
      <c r="S12" s="38">
        <f t="shared" si="7"/>
        <v>1</v>
      </c>
      <c r="T12" s="67">
        <f t="shared" si="8"/>
        <v>5</v>
      </c>
      <c r="U12" s="67">
        <f t="shared" si="9"/>
        <v>3</v>
      </c>
      <c r="V12" s="14"/>
      <c r="W12" s="37"/>
      <c r="X12" s="37" t="s">
        <v>24</v>
      </c>
      <c r="Y12" s="37"/>
      <c r="Z12" s="37"/>
      <c r="AA12" s="36">
        <f>IF(W12="X",0)+IF(X12="X",2)+IF(Y12="X",4)+IF(Z12="X",9)</f>
        <v>2</v>
      </c>
      <c r="AB12" s="9"/>
      <c r="AC12" s="37"/>
      <c r="AD12" s="76" t="s">
        <v>24</v>
      </c>
      <c r="AE12" s="37"/>
      <c r="AF12" s="36">
        <f t="shared" si="10"/>
        <v>2</v>
      </c>
      <c r="AG12" s="9"/>
      <c r="AH12" s="37"/>
      <c r="AI12" s="37"/>
      <c r="AJ12" s="37" t="s">
        <v>24</v>
      </c>
      <c r="AK12" s="37"/>
      <c r="AL12" s="37"/>
      <c r="AM12" s="37"/>
      <c r="AN12" s="36">
        <f>IF(AH12="X",1)+IF(AI12="X",2)+IF(AJ12="X",3)+IF(AK12="X",4)+IF(AL12="X",5)+IF(AM12="X",6)</f>
        <v>3</v>
      </c>
      <c r="AO12" s="75"/>
      <c r="AP12" s="67">
        <f>AA12+AF12+AN12</f>
        <v>7</v>
      </c>
      <c r="AQ12" s="67">
        <f>(AP12+U12)/2</f>
        <v>5</v>
      </c>
      <c r="AR12" s="67">
        <f>IF(AS12="",0,10)</f>
        <v>10</v>
      </c>
      <c r="AS12" s="39" t="str">
        <f>IF(AX12=TRUE,"Desprezível",IF(AY12=TRUE,"Administrável",IF(AZ12=TRUE,"Indesejável",IF(BA12=TRUE,"Intolerável",""))))</f>
        <v>Administrável</v>
      </c>
      <c r="AT12" s="131"/>
      <c r="AU12" s="139" t="s">
        <v>91</v>
      </c>
      <c r="AW12" s="20" t="s">
        <v>31</v>
      </c>
      <c r="AX12" s="79" t="b">
        <f t="shared" ref="AX12:AX48" si="13">AND(U12&gt;0,U12&lt;=2,AP12&gt;0,AP12&lt;=7)</f>
        <v>0</v>
      </c>
      <c r="AY12" s="79" t="b">
        <f t="shared" ref="AY12:AY48" si="14">OR(AND(U12&gt;0,U12&lt;=2,AP12&gt;0,AP12&gt;7,AP12&lt;=13),AND(U12&gt;0,U12&gt;2,U12&lt;=3,AP12&gt;0,AP12&lt;=10))</f>
        <v>1</v>
      </c>
      <c r="AZ12" s="79" t="b">
        <f t="shared" si="11"/>
        <v>0</v>
      </c>
      <c r="BA12" s="79" t="b">
        <f t="shared" si="12"/>
        <v>0</v>
      </c>
      <c r="BC12" s="20" t="s">
        <v>31</v>
      </c>
      <c r="BD12" s="3"/>
    </row>
    <row r="13" spans="2:56" ht="4.5" customHeight="1" x14ac:dyDescent="0.3">
      <c r="C13" s="140"/>
      <c r="E13" s="21"/>
      <c r="F13" s="38">
        <f t="shared" ref="F13:F49" si="15">IF(E13="N.A.",0)+IF(E13="Baixo",1)+IF(E13="Moderado",2)+IF(E13="Significativo",4)+IF(E13="Alto",6)</f>
        <v>0</v>
      </c>
      <c r="G13" s="38">
        <f t="shared" si="1"/>
        <v>0</v>
      </c>
      <c r="H13" s="21"/>
      <c r="I13" s="38">
        <f t="shared" ref="I13:I49" si="16">IF(H13="N.A.",0)+IF(H13="Baixo",1)+IF(H13="Moderado",2)+IF(H13="Significativo",4)+IF(H13="Alto",6)</f>
        <v>0</v>
      </c>
      <c r="J13" s="38">
        <f t="shared" si="3"/>
        <v>0</v>
      </c>
      <c r="K13" s="21"/>
      <c r="L13" s="38">
        <f t="shared" ref="L13:L49" si="17">IF(K13="N.A.",0)+IF(K13="Baixo",1)+IF(K13="Moderado",2)+IF(K13="Significativo",4)+IF(K13="Alto",6)</f>
        <v>0</v>
      </c>
      <c r="M13" s="8">
        <f t="shared" ref="M13:M49" si="18">IF(L13&gt;0,1,0)</f>
        <v>0</v>
      </c>
      <c r="N13" s="37"/>
      <c r="O13" s="38">
        <f t="shared" ref="O13:O49" si="19">IF(N13="N.A.",0)+IF(N13="Baixo",1)+IF(N13="Moderado",2)+IF(N13="Significativo",4)+IF(N13="Alto",6)</f>
        <v>0</v>
      </c>
      <c r="P13" s="38">
        <f t="shared" si="5"/>
        <v>0</v>
      </c>
      <c r="Q13" s="37"/>
      <c r="R13" s="38">
        <f t="shared" si="6"/>
        <v>0</v>
      </c>
      <c r="S13" s="38">
        <f t="shared" si="7"/>
        <v>0</v>
      </c>
      <c r="T13" s="67">
        <f t="shared" si="8"/>
        <v>0</v>
      </c>
      <c r="U13" s="67">
        <f t="shared" si="9"/>
        <v>0</v>
      </c>
      <c r="V13" s="14"/>
      <c r="W13" s="21"/>
      <c r="X13" s="21"/>
      <c r="Y13" s="21"/>
      <c r="Z13" s="21"/>
      <c r="AA13" s="36">
        <f t="shared" ref="AA13:AA48" si="20">IF(W13="X",0)+IF(X13="X",2)+IF(Y13="X",4)+IF(Z13="X",9)</f>
        <v>0</v>
      </c>
      <c r="AB13" s="9"/>
      <c r="AC13" s="21"/>
      <c r="AD13" s="21"/>
      <c r="AE13" s="37"/>
      <c r="AF13" s="36">
        <f t="shared" si="10"/>
        <v>0</v>
      </c>
      <c r="AG13" s="9"/>
      <c r="AH13" s="21"/>
      <c r="AI13" s="21"/>
      <c r="AJ13" s="21"/>
      <c r="AK13" s="21"/>
      <c r="AL13" s="21"/>
      <c r="AM13" s="21"/>
      <c r="AN13" s="10"/>
      <c r="AO13" s="75"/>
      <c r="AP13" s="67"/>
      <c r="AQ13" s="67"/>
      <c r="AR13" s="67"/>
      <c r="AS13" s="138"/>
      <c r="AT13" s="134"/>
      <c r="AU13" s="139"/>
      <c r="AX13" s="79"/>
      <c r="AY13" s="79"/>
      <c r="AZ13" s="79" t="b">
        <f t="shared" si="11"/>
        <v>0</v>
      </c>
      <c r="BA13" s="79" t="b">
        <f t="shared" si="12"/>
        <v>0</v>
      </c>
    </row>
    <row r="14" spans="2:56" ht="15" customHeight="1" x14ac:dyDescent="0.3">
      <c r="B14" s="41" t="s">
        <v>37</v>
      </c>
      <c r="C14" s="45" t="s">
        <v>100</v>
      </c>
      <c r="E14" s="37" t="s">
        <v>31</v>
      </c>
      <c r="F14" s="38">
        <f t="shared" si="15"/>
        <v>6</v>
      </c>
      <c r="G14" s="38">
        <f t="shared" si="1"/>
        <v>1</v>
      </c>
      <c r="H14" s="37" t="s">
        <v>28</v>
      </c>
      <c r="I14" s="38">
        <f t="shared" si="16"/>
        <v>1</v>
      </c>
      <c r="J14" s="38">
        <f t="shared" si="3"/>
        <v>1</v>
      </c>
      <c r="K14" s="37" t="s">
        <v>28</v>
      </c>
      <c r="L14" s="38">
        <f t="shared" si="17"/>
        <v>1</v>
      </c>
      <c r="M14" s="8">
        <f t="shared" si="18"/>
        <v>1</v>
      </c>
      <c r="N14" s="37" t="s">
        <v>30</v>
      </c>
      <c r="O14" s="38">
        <f t="shared" si="19"/>
        <v>4</v>
      </c>
      <c r="P14" s="38">
        <f t="shared" si="5"/>
        <v>1</v>
      </c>
      <c r="Q14" s="37" t="s">
        <v>29</v>
      </c>
      <c r="R14" s="38">
        <f t="shared" si="6"/>
        <v>2</v>
      </c>
      <c r="S14" s="38">
        <f t="shared" si="7"/>
        <v>1</v>
      </c>
      <c r="T14" s="67">
        <f t="shared" si="8"/>
        <v>5</v>
      </c>
      <c r="U14" s="67">
        <f t="shared" si="9"/>
        <v>2.8</v>
      </c>
      <c r="V14" s="14"/>
      <c r="W14" s="37"/>
      <c r="X14" s="37" t="s">
        <v>24</v>
      </c>
      <c r="Y14" s="37"/>
      <c r="Z14" s="37"/>
      <c r="AA14" s="36">
        <f t="shared" si="20"/>
        <v>2</v>
      </c>
      <c r="AB14" s="9"/>
      <c r="AC14" s="37"/>
      <c r="AD14" s="76" t="s">
        <v>24</v>
      </c>
      <c r="AE14" s="37"/>
      <c r="AF14" s="36">
        <f t="shared" si="10"/>
        <v>2</v>
      </c>
      <c r="AG14" s="9"/>
      <c r="AH14" s="37"/>
      <c r="AI14" s="37"/>
      <c r="AJ14" s="37" t="s">
        <v>24</v>
      </c>
      <c r="AK14" s="37"/>
      <c r="AL14" s="37"/>
      <c r="AM14" s="37"/>
      <c r="AN14" s="36">
        <f>IF(AH14="X",1)+IF(AI14="X",2)+IF(AJ14="X",3)+IF(AK14="X",4)+IF(AL14="X",5)+IF(AM14="X",6)</f>
        <v>3</v>
      </c>
      <c r="AO14" s="75"/>
      <c r="AP14" s="67">
        <f>AA14+AF14+AN14</f>
        <v>7</v>
      </c>
      <c r="AQ14" s="67">
        <f>(AP14+U14)/2</f>
        <v>4.9000000000000004</v>
      </c>
      <c r="AR14" s="67">
        <f>IF(AS14="",0,10)</f>
        <v>10</v>
      </c>
      <c r="AS14" s="39" t="str">
        <f>IF(AX14=TRUE,"Desprezível",IF(AY14=TRUE,"Administrável",IF(AZ14=TRUE,"Indesejável",IF(BA14=TRUE,"Intolerável",""))))</f>
        <v>Administrável</v>
      </c>
      <c r="AT14" s="131"/>
      <c r="AU14" s="139" t="s">
        <v>92</v>
      </c>
      <c r="AX14" s="79" t="b">
        <f t="shared" si="13"/>
        <v>0</v>
      </c>
      <c r="AY14" s="79" t="b">
        <f t="shared" si="14"/>
        <v>1</v>
      </c>
      <c r="AZ14" s="79" t="b">
        <f t="shared" si="11"/>
        <v>0</v>
      </c>
      <c r="BA14" s="79" t="b">
        <f t="shared" si="12"/>
        <v>0</v>
      </c>
      <c r="BD14" s="3"/>
    </row>
    <row r="15" spans="2:56" ht="5.25" customHeight="1" x14ac:dyDescent="0.3">
      <c r="C15" s="140"/>
      <c r="E15" s="21"/>
      <c r="F15" s="38">
        <f t="shared" si="15"/>
        <v>0</v>
      </c>
      <c r="G15" s="38">
        <f t="shared" si="1"/>
        <v>0</v>
      </c>
      <c r="H15" s="21"/>
      <c r="I15" s="38">
        <f t="shared" si="16"/>
        <v>0</v>
      </c>
      <c r="J15" s="38">
        <f t="shared" si="3"/>
        <v>0</v>
      </c>
      <c r="K15" s="21"/>
      <c r="L15" s="38">
        <f t="shared" si="17"/>
        <v>0</v>
      </c>
      <c r="M15" s="8">
        <f t="shared" si="18"/>
        <v>0</v>
      </c>
      <c r="N15" s="37"/>
      <c r="O15" s="38">
        <f t="shared" si="19"/>
        <v>0</v>
      </c>
      <c r="P15" s="38">
        <f t="shared" si="5"/>
        <v>0</v>
      </c>
      <c r="Q15" s="37"/>
      <c r="R15" s="38">
        <f t="shared" si="6"/>
        <v>0</v>
      </c>
      <c r="S15" s="38">
        <f t="shared" si="7"/>
        <v>0</v>
      </c>
      <c r="T15" s="67">
        <f t="shared" si="8"/>
        <v>0</v>
      </c>
      <c r="U15" s="67">
        <f t="shared" si="9"/>
        <v>0</v>
      </c>
      <c r="V15" s="14"/>
      <c r="W15" s="21"/>
      <c r="X15" s="21"/>
      <c r="Y15" s="21"/>
      <c r="Z15" s="21"/>
      <c r="AA15" s="36">
        <f t="shared" si="20"/>
        <v>0</v>
      </c>
      <c r="AB15" s="9"/>
      <c r="AC15" s="21"/>
      <c r="AD15" s="21"/>
      <c r="AE15" s="37"/>
      <c r="AF15" s="36">
        <f t="shared" si="10"/>
        <v>0</v>
      </c>
      <c r="AG15" s="9"/>
      <c r="AH15" s="21"/>
      <c r="AI15" s="21"/>
      <c r="AJ15" s="21"/>
      <c r="AK15" s="21"/>
      <c r="AL15" s="21"/>
      <c r="AM15" s="21"/>
      <c r="AN15" s="10"/>
      <c r="AO15" s="75"/>
      <c r="AP15" s="67"/>
      <c r="AQ15" s="67"/>
      <c r="AR15" s="67"/>
      <c r="AS15" s="138"/>
      <c r="AT15" s="134"/>
      <c r="AU15" s="139"/>
      <c r="AX15" s="79"/>
      <c r="AY15" s="79"/>
      <c r="AZ15" s="79" t="b">
        <f t="shared" si="11"/>
        <v>0</v>
      </c>
      <c r="BA15" s="79" t="b">
        <f t="shared" si="12"/>
        <v>0</v>
      </c>
    </row>
    <row r="16" spans="2:56" x14ac:dyDescent="0.3">
      <c r="B16" s="41" t="s">
        <v>38</v>
      </c>
      <c r="C16" s="45" t="s">
        <v>101</v>
      </c>
      <c r="E16" s="37" t="s">
        <v>31</v>
      </c>
      <c r="F16" s="38">
        <f t="shared" si="15"/>
        <v>6</v>
      </c>
      <c r="G16" s="38">
        <f t="shared" si="1"/>
        <v>1</v>
      </c>
      <c r="H16" s="37" t="s">
        <v>28</v>
      </c>
      <c r="I16" s="38">
        <f t="shared" si="16"/>
        <v>1</v>
      </c>
      <c r="J16" s="38">
        <f t="shared" si="3"/>
        <v>1</v>
      </c>
      <c r="K16" s="37" t="s">
        <v>28</v>
      </c>
      <c r="L16" s="38">
        <f t="shared" si="17"/>
        <v>1</v>
      </c>
      <c r="M16" s="8">
        <f t="shared" si="18"/>
        <v>1</v>
      </c>
      <c r="N16" s="37" t="s">
        <v>30</v>
      </c>
      <c r="O16" s="38">
        <f t="shared" si="19"/>
        <v>4</v>
      </c>
      <c r="P16" s="38">
        <f t="shared" si="5"/>
        <v>1</v>
      </c>
      <c r="Q16" s="37" t="s">
        <v>28</v>
      </c>
      <c r="R16" s="38">
        <f t="shared" si="6"/>
        <v>1</v>
      </c>
      <c r="S16" s="38">
        <f>IF(R16&gt;0,1,0)</f>
        <v>1</v>
      </c>
      <c r="T16" s="67">
        <f t="shared" si="8"/>
        <v>5</v>
      </c>
      <c r="U16" s="67">
        <f t="shared" si="9"/>
        <v>2.6</v>
      </c>
      <c r="V16" s="14"/>
      <c r="W16" s="37"/>
      <c r="X16" s="37" t="s">
        <v>24</v>
      </c>
      <c r="Y16" s="37"/>
      <c r="Z16" s="37"/>
      <c r="AA16" s="36">
        <f t="shared" si="20"/>
        <v>2</v>
      </c>
      <c r="AB16" s="9"/>
      <c r="AC16" s="37"/>
      <c r="AD16" s="76" t="s">
        <v>24</v>
      </c>
      <c r="AE16" s="37"/>
      <c r="AF16" s="36">
        <f t="shared" si="10"/>
        <v>2</v>
      </c>
      <c r="AG16" s="9"/>
      <c r="AH16" s="37"/>
      <c r="AI16" s="37"/>
      <c r="AJ16" s="37" t="s">
        <v>24</v>
      </c>
      <c r="AK16" s="37"/>
      <c r="AL16" s="37"/>
      <c r="AM16" s="37"/>
      <c r="AN16" s="36">
        <f>IF(AH16="X",1)+IF(AI16="X",2)+IF(AJ16="X",3)+IF(AK16="X",4)+IF(AL16="X",5)+IF(AM16="X",6)</f>
        <v>3</v>
      </c>
      <c r="AO16" s="75"/>
      <c r="AP16" s="67">
        <f>AA16+AF16+AN16</f>
        <v>7</v>
      </c>
      <c r="AQ16" s="67">
        <f>(AP16+U16)/2</f>
        <v>4.8</v>
      </c>
      <c r="AR16" s="67">
        <f>IF(AS16="",0,10)</f>
        <v>10</v>
      </c>
      <c r="AS16" s="39" t="str">
        <f>IF(AX16=TRUE,"Desprezível",IF(AY16=TRUE,"Administrável",IF(AZ16=TRUE,"Indesejável",IF(BA16=TRUE,"Intolerável",""))))</f>
        <v>Administrável</v>
      </c>
      <c r="AT16" s="131"/>
      <c r="AU16" s="139" t="s">
        <v>92</v>
      </c>
      <c r="AW16" s="3" t="s">
        <v>24</v>
      </c>
      <c r="AX16" s="79" t="b">
        <f t="shared" si="13"/>
        <v>0</v>
      </c>
      <c r="AY16" s="79" t="b">
        <f t="shared" si="14"/>
        <v>1</v>
      </c>
      <c r="AZ16" s="79" t="b">
        <f t="shared" si="11"/>
        <v>0</v>
      </c>
      <c r="BA16" s="79" t="b">
        <f t="shared" si="12"/>
        <v>0</v>
      </c>
      <c r="BC16" s="3" t="s">
        <v>24</v>
      </c>
      <c r="BD16" s="3"/>
    </row>
    <row r="17" spans="2:56" ht="4.5" customHeight="1" x14ac:dyDescent="0.3">
      <c r="C17" s="140"/>
      <c r="E17" s="21"/>
      <c r="F17" s="38">
        <f t="shared" si="15"/>
        <v>0</v>
      </c>
      <c r="G17" s="38">
        <f t="shared" si="1"/>
        <v>0</v>
      </c>
      <c r="H17" s="21"/>
      <c r="I17" s="38">
        <f t="shared" si="16"/>
        <v>0</v>
      </c>
      <c r="J17" s="38">
        <f t="shared" si="3"/>
        <v>0</v>
      </c>
      <c r="K17" s="21"/>
      <c r="L17" s="38">
        <f t="shared" si="17"/>
        <v>0</v>
      </c>
      <c r="M17" s="8">
        <f t="shared" si="18"/>
        <v>0</v>
      </c>
      <c r="N17" s="37"/>
      <c r="O17" s="38">
        <f t="shared" si="19"/>
        <v>0</v>
      </c>
      <c r="P17" s="38">
        <f t="shared" si="5"/>
        <v>0</v>
      </c>
      <c r="Q17" s="37"/>
      <c r="R17" s="38">
        <f t="shared" si="6"/>
        <v>0</v>
      </c>
      <c r="S17" s="10"/>
      <c r="T17" s="67">
        <f t="shared" si="8"/>
        <v>0</v>
      </c>
      <c r="U17" s="67">
        <f t="shared" si="9"/>
        <v>0</v>
      </c>
      <c r="V17" s="14"/>
      <c r="W17" s="21"/>
      <c r="X17" s="21"/>
      <c r="Y17" s="21"/>
      <c r="Z17" s="21"/>
      <c r="AA17" s="36">
        <f t="shared" si="20"/>
        <v>0</v>
      </c>
      <c r="AB17" s="9"/>
      <c r="AC17" s="21"/>
      <c r="AD17" s="21"/>
      <c r="AE17" s="37"/>
      <c r="AF17" s="36">
        <f t="shared" si="10"/>
        <v>0</v>
      </c>
      <c r="AG17" s="9"/>
      <c r="AH17" s="21"/>
      <c r="AI17" s="21"/>
      <c r="AJ17" s="21"/>
      <c r="AK17" s="21"/>
      <c r="AL17" s="21"/>
      <c r="AM17" s="21"/>
      <c r="AN17" s="10"/>
      <c r="AO17" s="75"/>
      <c r="AP17" s="67"/>
      <c r="AQ17" s="67"/>
      <c r="AR17" s="67"/>
      <c r="AS17" s="138"/>
      <c r="AT17" s="134"/>
      <c r="AU17" s="139"/>
      <c r="AX17" s="79"/>
      <c r="AY17" s="79"/>
      <c r="AZ17" s="79" t="b">
        <f t="shared" si="11"/>
        <v>0</v>
      </c>
      <c r="BA17" s="79" t="b">
        <f t="shared" si="12"/>
        <v>0</v>
      </c>
    </row>
    <row r="18" spans="2:56" ht="14.25" customHeight="1" x14ac:dyDescent="0.3">
      <c r="B18" s="41" t="s">
        <v>39</v>
      </c>
      <c r="C18" s="45" t="s">
        <v>102</v>
      </c>
      <c r="E18" s="37" t="s">
        <v>30</v>
      </c>
      <c r="F18" s="38">
        <f t="shared" si="15"/>
        <v>4</v>
      </c>
      <c r="G18" s="38">
        <f t="shared" si="1"/>
        <v>1</v>
      </c>
      <c r="H18" s="37" t="s">
        <v>28</v>
      </c>
      <c r="I18" s="38">
        <f t="shared" si="16"/>
        <v>1</v>
      </c>
      <c r="J18" s="38">
        <f t="shared" si="3"/>
        <v>1</v>
      </c>
      <c r="K18" s="37" t="s">
        <v>28</v>
      </c>
      <c r="L18" s="38">
        <f t="shared" si="17"/>
        <v>1</v>
      </c>
      <c r="M18" s="8">
        <f t="shared" si="18"/>
        <v>1</v>
      </c>
      <c r="N18" s="37" t="s">
        <v>28</v>
      </c>
      <c r="O18" s="38">
        <f t="shared" si="19"/>
        <v>1</v>
      </c>
      <c r="P18" s="38">
        <f t="shared" si="5"/>
        <v>1</v>
      </c>
      <c r="Q18" s="37" t="s">
        <v>30</v>
      </c>
      <c r="R18" s="38">
        <f t="shared" si="6"/>
        <v>4</v>
      </c>
      <c r="S18" s="38">
        <f>IF(R18&gt;0,1,0)</f>
        <v>1</v>
      </c>
      <c r="T18" s="67">
        <f t="shared" si="8"/>
        <v>5</v>
      </c>
      <c r="U18" s="67">
        <f t="shared" si="9"/>
        <v>2.2000000000000002</v>
      </c>
      <c r="V18" s="14"/>
      <c r="W18" s="37"/>
      <c r="X18" s="37"/>
      <c r="Y18" s="37" t="s">
        <v>24</v>
      </c>
      <c r="Z18" s="37"/>
      <c r="AA18" s="36">
        <f t="shared" si="20"/>
        <v>4</v>
      </c>
      <c r="AB18" s="9"/>
      <c r="AC18" s="37"/>
      <c r="AD18" s="76" t="s">
        <v>24</v>
      </c>
      <c r="AE18" s="37"/>
      <c r="AF18" s="36">
        <f t="shared" si="10"/>
        <v>2</v>
      </c>
      <c r="AG18" s="9"/>
      <c r="AH18" s="37"/>
      <c r="AI18" s="37"/>
      <c r="AJ18" s="37" t="s">
        <v>24</v>
      </c>
      <c r="AK18" s="37"/>
      <c r="AL18" s="37"/>
      <c r="AM18" s="37"/>
      <c r="AN18" s="36">
        <f>IF(AH18="X",1)+IF(AI18="X",2)+IF(AJ18="X",3)+IF(AK18="X",4)+IF(AL18="X",5)+IF(AM18="X",6)</f>
        <v>3</v>
      </c>
      <c r="AO18" s="75"/>
      <c r="AP18" s="67">
        <f>AA18+AF18+AN18</f>
        <v>9</v>
      </c>
      <c r="AQ18" s="67">
        <f>(AP18+U18)/2</f>
        <v>5.6</v>
      </c>
      <c r="AR18" s="67">
        <f>IF(AS18="",0,10)</f>
        <v>10</v>
      </c>
      <c r="AS18" s="39" t="str">
        <f>IF(AX18=TRUE,"Desprezível",IF(AY18=TRUE,"Administrável",IF(AZ18=TRUE,"Indesejável",IF(BA18=TRUE,"Intolerável",""))))</f>
        <v>Administrável</v>
      </c>
      <c r="AT18" s="131"/>
      <c r="AU18" s="139" t="s">
        <v>90</v>
      </c>
      <c r="AX18" s="79" t="b">
        <f t="shared" si="13"/>
        <v>0</v>
      </c>
      <c r="AY18" s="79" t="b">
        <f t="shared" si="14"/>
        <v>1</v>
      </c>
      <c r="AZ18" s="79" t="b">
        <f t="shared" si="11"/>
        <v>0</v>
      </c>
      <c r="BA18" s="79" t="b">
        <f t="shared" si="12"/>
        <v>0</v>
      </c>
      <c r="BD18" s="3"/>
    </row>
    <row r="19" spans="2:56" ht="3" customHeight="1" x14ac:dyDescent="0.3">
      <c r="C19" s="141"/>
      <c r="E19" s="21"/>
      <c r="F19" s="38">
        <f t="shared" si="15"/>
        <v>0</v>
      </c>
      <c r="G19" s="38">
        <f t="shared" si="1"/>
        <v>0</v>
      </c>
      <c r="H19" s="21"/>
      <c r="I19" s="38">
        <f t="shared" si="16"/>
        <v>0</v>
      </c>
      <c r="J19" s="38">
        <f t="shared" si="3"/>
        <v>0</v>
      </c>
      <c r="K19" s="21"/>
      <c r="L19" s="38">
        <f t="shared" si="17"/>
        <v>0</v>
      </c>
      <c r="M19" s="8">
        <f t="shared" si="18"/>
        <v>0</v>
      </c>
      <c r="N19" s="37"/>
      <c r="O19" s="38">
        <f t="shared" si="19"/>
        <v>0</v>
      </c>
      <c r="P19" s="38">
        <f t="shared" si="5"/>
        <v>0</v>
      </c>
      <c r="Q19" s="37"/>
      <c r="R19" s="38">
        <f t="shared" si="6"/>
        <v>0</v>
      </c>
      <c r="S19" s="10"/>
      <c r="T19" s="67">
        <f t="shared" si="8"/>
        <v>0</v>
      </c>
      <c r="U19" s="67">
        <f t="shared" si="9"/>
        <v>0</v>
      </c>
      <c r="V19" s="14"/>
      <c r="W19" s="21"/>
      <c r="X19" s="21"/>
      <c r="Y19" s="21"/>
      <c r="Z19" s="21"/>
      <c r="AA19" s="36">
        <f t="shared" si="20"/>
        <v>0</v>
      </c>
      <c r="AB19" s="9"/>
      <c r="AC19" s="21"/>
      <c r="AD19" s="21"/>
      <c r="AE19" s="37"/>
      <c r="AF19" s="36">
        <f t="shared" si="10"/>
        <v>0</v>
      </c>
      <c r="AG19" s="9"/>
      <c r="AH19" s="21"/>
      <c r="AI19" s="21"/>
      <c r="AJ19" s="21"/>
      <c r="AK19" s="21"/>
      <c r="AL19" s="21"/>
      <c r="AM19" s="21"/>
      <c r="AN19" s="10"/>
      <c r="AO19" s="75"/>
      <c r="AP19" s="67"/>
      <c r="AQ19" s="67"/>
      <c r="AR19" s="67"/>
      <c r="AS19" s="138"/>
      <c r="AT19" s="134"/>
      <c r="AU19" s="139"/>
      <c r="AX19" s="79"/>
      <c r="AY19" s="79"/>
      <c r="AZ19" s="79" t="b">
        <f t="shared" si="11"/>
        <v>0</v>
      </c>
      <c r="BA19" s="79" t="b">
        <f t="shared" si="12"/>
        <v>0</v>
      </c>
    </row>
    <row r="20" spans="2:56" x14ac:dyDescent="0.3">
      <c r="B20" s="41" t="s">
        <v>40</v>
      </c>
      <c r="C20" s="45" t="s">
        <v>103</v>
      </c>
      <c r="E20" s="37" t="s">
        <v>30</v>
      </c>
      <c r="F20" s="38">
        <f t="shared" si="15"/>
        <v>4</v>
      </c>
      <c r="G20" s="38">
        <f t="shared" si="1"/>
        <v>1</v>
      </c>
      <c r="H20" s="37" t="s">
        <v>28</v>
      </c>
      <c r="I20" s="38">
        <f t="shared" si="16"/>
        <v>1</v>
      </c>
      <c r="J20" s="38">
        <f t="shared" si="3"/>
        <v>1</v>
      </c>
      <c r="K20" s="37" t="s">
        <v>28</v>
      </c>
      <c r="L20" s="38">
        <f t="shared" si="17"/>
        <v>1</v>
      </c>
      <c r="M20" s="8">
        <f t="shared" si="18"/>
        <v>1</v>
      </c>
      <c r="N20" s="37" t="s">
        <v>30</v>
      </c>
      <c r="O20" s="38">
        <f t="shared" si="19"/>
        <v>4</v>
      </c>
      <c r="P20" s="38">
        <f t="shared" si="5"/>
        <v>1</v>
      </c>
      <c r="Q20" s="37" t="s">
        <v>28</v>
      </c>
      <c r="R20" s="38">
        <f t="shared" si="6"/>
        <v>1</v>
      </c>
      <c r="S20" s="38">
        <f>IF(R20&gt;0,1,0)</f>
        <v>1</v>
      </c>
      <c r="T20" s="67">
        <f t="shared" si="8"/>
        <v>5</v>
      </c>
      <c r="U20" s="67">
        <f t="shared" si="9"/>
        <v>2.2000000000000002</v>
      </c>
      <c r="V20" s="14"/>
      <c r="W20" s="37"/>
      <c r="X20" s="37"/>
      <c r="Y20" s="37" t="s">
        <v>24</v>
      </c>
      <c r="Z20" s="37"/>
      <c r="AA20" s="36">
        <f t="shared" si="20"/>
        <v>4</v>
      </c>
      <c r="AB20" s="9"/>
      <c r="AC20" s="37" t="s">
        <v>24</v>
      </c>
      <c r="AD20" s="76"/>
      <c r="AE20" s="37"/>
      <c r="AF20" s="36">
        <f t="shared" si="10"/>
        <v>1</v>
      </c>
      <c r="AG20" s="9"/>
      <c r="AH20" s="37"/>
      <c r="AI20" s="37"/>
      <c r="AJ20" s="37" t="s">
        <v>24</v>
      </c>
      <c r="AK20" s="37"/>
      <c r="AL20" s="37"/>
      <c r="AM20" s="37"/>
      <c r="AN20" s="36">
        <f>IF(AH20="X",1)+IF(AI20="X",2)+IF(AJ20="X",3)+IF(AK20="X",4)+IF(AL20="X",5)+IF(AM20="X",6)</f>
        <v>3</v>
      </c>
      <c r="AO20" s="75"/>
      <c r="AP20" s="67">
        <f>AA20+AF20+AN20</f>
        <v>8</v>
      </c>
      <c r="AQ20" s="67">
        <f>(AP20+U20)/2</f>
        <v>5.0999999999999996</v>
      </c>
      <c r="AR20" s="67">
        <f>IF(AS20="",0,10)</f>
        <v>10</v>
      </c>
      <c r="AS20" s="39" t="str">
        <f>IF(AX20=TRUE,"Desprezível",IF(AY20=TRUE,"Administrável",IF(AZ20=TRUE,"Indesejável",IF(BA20=TRUE,"Intolerável",""))))</f>
        <v>Administrável</v>
      </c>
      <c r="AT20" s="131"/>
      <c r="AU20" s="139" t="s">
        <v>92</v>
      </c>
      <c r="AX20" s="79" t="b">
        <f t="shared" si="13"/>
        <v>0</v>
      </c>
      <c r="AY20" s="79" t="b">
        <f t="shared" si="14"/>
        <v>1</v>
      </c>
      <c r="AZ20" s="79" t="b">
        <f t="shared" si="11"/>
        <v>0</v>
      </c>
      <c r="BA20" s="79" t="b">
        <f t="shared" si="12"/>
        <v>0</v>
      </c>
    </row>
    <row r="21" spans="2:56" ht="6" customHeight="1" x14ac:dyDescent="0.3">
      <c r="C21" s="1"/>
      <c r="E21" s="21"/>
      <c r="F21" s="38">
        <f t="shared" si="15"/>
        <v>0</v>
      </c>
      <c r="G21" s="38">
        <f t="shared" si="1"/>
        <v>0</v>
      </c>
      <c r="H21" s="21"/>
      <c r="I21" s="38">
        <f t="shared" si="16"/>
        <v>0</v>
      </c>
      <c r="J21" s="38">
        <f t="shared" si="3"/>
        <v>0</v>
      </c>
      <c r="K21" s="21"/>
      <c r="L21" s="38">
        <f t="shared" si="17"/>
        <v>0</v>
      </c>
      <c r="M21" s="8">
        <f t="shared" si="18"/>
        <v>0</v>
      </c>
      <c r="N21" s="37"/>
      <c r="O21" s="38">
        <f t="shared" si="19"/>
        <v>0</v>
      </c>
      <c r="P21" s="38">
        <f t="shared" si="5"/>
        <v>0</v>
      </c>
      <c r="Q21" s="37"/>
      <c r="R21" s="38">
        <f t="shared" si="6"/>
        <v>0</v>
      </c>
      <c r="S21" s="10"/>
      <c r="T21" s="67">
        <f t="shared" si="8"/>
        <v>0</v>
      </c>
      <c r="U21" s="67">
        <f t="shared" si="9"/>
        <v>0</v>
      </c>
      <c r="V21" s="14"/>
      <c r="W21" s="21"/>
      <c r="X21" s="21"/>
      <c r="Y21" s="21"/>
      <c r="Z21" s="21"/>
      <c r="AA21" s="36">
        <f t="shared" si="20"/>
        <v>0</v>
      </c>
      <c r="AB21" s="9"/>
      <c r="AC21" s="21"/>
      <c r="AD21" s="21"/>
      <c r="AE21" s="37"/>
      <c r="AF21" s="36">
        <f t="shared" si="10"/>
        <v>0</v>
      </c>
      <c r="AG21" s="9"/>
      <c r="AH21" s="21"/>
      <c r="AI21" s="21"/>
      <c r="AJ21" s="21"/>
      <c r="AK21" s="21"/>
      <c r="AL21" s="21"/>
      <c r="AM21" s="21"/>
      <c r="AN21" s="10"/>
      <c r="AO21" s="75"/>
      <c r="AP21" s="67"/>
      <c r="AQ21" s="67"/>
      <c r="AR21" s="67"/>
      <c r="AS21" s="138"/>
      <c r="AT21" s="134"/>
      <c r="AU21" s="139"/>
      <c r="AX21" s="79"/>
      <c r="AY21" s="79"/>
      <c r="AZ21" s="79" t="b">
        <f t="shared" si="11"/>
        <v>0</v>
      </c>
      <c r="BA21" s="79" t="b">
        <f t="shared" si="12"/>
        <v>0</v>
      </c>
    </row>
    <row r="22" spans="2:56" ht="27.6" x14ac:dyDescent="0.3">
      <c r="B22" s="41" t="s">
        <v>41</v>
      </c>
      <c r="C22" s="45" t="s">
        <v>104</v>
      </c>
      <c r="E22" s="37" t="s">
        <v>31</v>
      </c>
      <c r="F22" s="38">
        <f t="shared" si="15"/>
        <v>6</v>
      </c>
      <c r="G22" s="38">
        <f t="shared" si="1"/>
        <v>1</v>
      </c>
      <c r="H22" s="37" t="s">
        <v>28</v>
      </c>
      <c r="I22" s="38">
        <f t="shared" si="16"/>
        <v>1</v>
      </c>
      <c r="J22" s="38">
        <f t="shared" si="3"/>
        <v>1</v>
      </c>
      <c r="K22" s="37" t="s">
        <v>28</v>
      </c>
      <c r="L22" s="38">
        <f t="shared" si="17"/>
        <v>1</v>
      </c>
      <c r="M22" s="8">
        <f t="shared" si="18"/>
        <v>1</v>
      </c>
      <c r="N22" s="37" t="s">
        <v>30</v>
      </c>
      <c r="O22" s="38">
        <f t="shared" si="19"/>
        <v>4</v>
      </c>
      <c r="P22" s="38">
        <f t="shared" si="5"/>
        <v>1</v>
      </c>
      <c r="Q22" s="37" t="s">
        <v>28</v>
      </c>
      <c r="R22" s="38">
        <f t="shared" si="6"/>
        <v>1</v>
      </c>
      <c r="S22" s="38">
        <f>IF(R22&gt;0,1,0)</f>
        <v>1</v>
      </c>
      <c r="T22" s="67">
        <f t="shared" si="8"/>
        <v>5</v>
      </c>
      <c r="U22" s="67">
        <f t="shared" si="9"/>
        <v>2.6</v>
      </c>
      <c r="V22" s="14"/>
      <c r="W22" s="37"/>
      <c r="X22" s="37"/>
      <c r="Y22" s="37" t="s">
        <v>24</v>
      </c>
      <c r="Z22" s="37"/>
      <c r="AA22" s="36">
        <f t="shared" si="20"/>
        <v>4</v>
      </c>
      <c r="AB22" s="9"/>
      <c r="AC22" s="37"/>
      <c r="AD22" s="76" t="s">
        <v>24</v>
      </c>
      <c r="AE22" s="37"/>
      <c r="AF22" s="36">
        <f t="shared" si="10"/>
        <v>2</v>
      </c>
      <c r="AG22" s="9"/>
      <c r="AH22" s="37"/>
      <c r="AI22" s="37"/>
      <c r="AJ22" s="37" t="s">
        <v>24</v>
      </c>
      <c r="AK22" s="37"/>
      <c r="AL22" s="37"/>
      <c r="AM22" s="37"/>
      <c r="AN22" s="36">
        <f>IF(AH22="X",1)+IF(AI22="X",2)+IF(AJ22="X",3)+IF(AK22="X",4)+IF(AL22="X",5)+IF(AM22="X",6)</f>
        <v>3</v>
      </c>
      <c r="AO22" s="75"/>
      <c r="AP22" s="67">
        <f>AA22+AF22+AN22</f>
        <v>9</v>
      </c>
      <c r="AQ22" s="67">
        <f>(AP22+U22)/2</f>
        <v>5.8</v>
      </c>
      <c r="AR22" s="67">
        <f>IF(AS22="",0,10)</f>
        <v>10</v>
      </c>
      <c r="AS22" s="39" t="str">
        <f>IF(AX22=TRUE,"Desprezível",IF(AY22=TRUE,"Administrável",IF(AZ22=TRUE,"Indesejável",IF(BA22=TRUE,"Intolerável",""))))</f>
        <v>Administrável</v>
      </c>
      <c r="AT22" s="131"/>
      <c r="AU22" s="139" t="s">
        <v>92</v>
      </c>
      <c r="AX22" s="79" t="b">
        <f t="shared" si="13"/>
        <v>0</v>
      </c>
      <c r="AY22" s="79" t="b">
        <f t="shared" si="14"/>
        <v>1</v>
      </c>
      <c r="AZ22" s="79" t="b">
        <f t="shared" si="11"/>
        <v>0</v>
      </c>
      <c r="BA22" s="79" t="b">
        <f t="shared" si="12"/>
        <v>0</v>
      </c>
    </row>
    <row r="23" spans="2:56" ht="3.75" customHeight="1" x14ac:dyDescent="0.3">
      <c r="C23" s="78"/>
      <c r="E23" s="21"/>
      <c r="F23" s="38">
        <f t="shared" si="15"/>
        <v>0</v>
      </c>
      <c r="G23" s="38">
        <f t="shared" si="1"/>
        <v>0</v>
      </c>
      <c r="H23" s="21"/>
      <c r="I23" s="38">
        <f t="shared" si="16"/>
        <v>0</v>
      </c>
      <c r="J23" s="38">
        <f t="shared" si="3"/>
        <v>0</v>
      </c>
      <c r="K23" s="21"/>
      <c r="L23" s="38">
        <f t="shared" si="17"/>
        <v>0</v>
      </c>
      <c r="M23" s="8">
        <f t="shared" si="18"/>
        <v>0</v>
      </c>
      <c r="N23" s="37"/>
      <c r="O23" s="38">
        <f t="shared" si="19"/>
        <v>0</v>
      </c>
      <c r="P23" s="38">
        <f t="shared" si="5"/>
        <v>0</v>
      </c>
      <c r="Q23" s="37"/>
      <c r="R23" s="38">
        <f t="shared" si="6"/>
        <v>0</v>
      </c>
      <c r="S23" s="10"/>
      <c r="T23" s="67">
        <f t="shared" si="8"/>
        <v>0</v>
      </c>
      <c r="U23" s="67">
        <f t="shared" si="9"/>
        <v>0</v>
      </c>
      <c r="V23" s="14"/>
      <c r="W23" s="21"/>
      <c r="X23" s="21"/>
      <c r="Y23" s="21"/>
      <c r="Z23" s="21"/>
      <c r="AA23" s="36">
        <f t="shared" si="20"/>
        <v>0</v>
      </c>
      <c r="AB23" s="9"/>
      <c r="AC23" s="21"/>
      <c r="AD23" s="21"/>
      <c r="AE23" s="37"/>
      <c r="AF23" s="36">
        <f t="shared" si="10"/>
        <v>0</v>
      </c>
      <c r="AG23" s="9"/>
      <c r="AH23" s="21"/>
      <c r="AI23" s="21"/>
      <c r="AJ23" s="21"/>
      <c r="AK23" s="21"/>
      <c r="AL23" s="21"/>
      <c r="AM23" s="21"/>
      <c r="AN23" s="10"/>
      <c r="AO23" s="75"/>
      <c r="AP23" s="67"/>
      <c r="AQ23" s="67"/>
      <c r="AR23" s="67"/>
      <c r="AS23" s="138"/>
      <c r="AT23" s="134"/>
      <c r="AU23" s="139"/>
      <c r="AX23" s="79"/>
      <c r="AY23" s="79"/>
      <c r="AZ23" s="79" t="b">
        <f t="shared" si="11"/>
        <v>0</v>
      </c>
      <c r="BA23" s="79" t="b">
        <f t="shared" si="12"/>
        <v>0</v>
      </c>
    </row>
    <row r="24" spans="2:56" x14ac:dyDescent="0.3">
      <c r="B24" s="41" t="s">
        <v>42</v>
      </c>
      <c r="C24" s="51"/>
      <c r="E24" s="37"/>
      <c r="F24" s="38">
        <f t="shared" si="15"/>
        <v>0</v>
      </c>
      <c r="G24" s="38">
        <f t="shared" si="1"/>
        <v>0</v>
      </c>
      <c r="H24" s="37"/>
      <c r="I24" s="38">
        <f t="shared" si="16"/>
        <v>0</v>
      </c>
      <c r="J24" s="38">
        <f t="shared" si="3"/>
        <v>0</v>
      </c>
      <c r="K24" s="37"/>
      <c r="L24" s="38">
        <f t="shared" si="17"/>
        <v>0</v>
      </c>
      <c r="M24" s="8">
        <f t="shared" si="18"/>
        <v>0</v>
      </c>
      <c r="N24" s="37"/>
      <c r="O24" s="38">
        <f t="shared" si="19"/>
        <v>0</v>
      </c>
      <c r="P24" s="38">
        <f t="shared" si="5"/>
        <v>0</v>
      </c>
      <c r="Q24" s="37"/>
      <c r="R24" s="38">
        <f t="shared" si="6"/>
        <v>0</v>
      </c>
      <c r="S24" s="38">
        <f>IF(R24&gt;0,1,0)</f>
        <v>0</v>
      </c>
      <c r="T24" s="67">
        <f t="shared" si="8"/>
        <v>0</v>
      </c>
      <c r="U24" s="67">
        <f t="shared" si="9"/>
        <v>0</v>
      </c>
      <c r="V24" s="14"/>
      <c r="W24" s="37"/>
      <c r="X24" s="37"/>
      <c r="Y24" s="37"/>
      <c r="Z24" s="37"/>
      <c r="AA24" s="36">
        <f t="shared" si="20"/>
        <v>0</v>
      </c>
      <c r="AB24" s="9"/>
      <c r="AC24" s="37"/>
      <c r="AD24" s="76"/>
      <c r="AE24" s="37"/>
      <c r="AF24" s="36">
        <f t="shared" si="10"/>
        <v>0</v>
      </c>
      <c r="AG24" s="9"/>
      <c r="AH24" s="37"/>
      <c r="AI24" s="37"/>
      <c r="AJ24" s="37"/>
      <c r="AK24" s="37"/>
      <c r="AL24" s="37"/>
      <c r="AM24" s="37"/>
      <c r="AN24" s="36">
        <f>IF(AH24="X",1)+IF(AI24="X",2)+IF(AJ24="X",3)+IF(AK24="X",4)+IF(AL24="X",5)+IF(AM24="X",6)</f>
        <v>0</v>
      </c>
      <c r="AO24" s="75"/>
      <c r="AP24" s="67">
        <f>AA24+AF24+AN24</f>
        <v>0</v>
      </c>
      <c r="AQ24" s="67">
        <f>(AP24+U24)/2</f>
        <v>0</v>
      </c>
      <c r="AR24" s="67">
        <f>IF(AS24="",0,10)</f>
        <v>0</v>
      </c>
      <c r="AS24" s="39" t="str">
        <f>IF(AX24=TRUE,"Desprezível",IF(AY24=TRUE,"Administrável",IF(AZ24=TRUE,"Indesejável",IF(BA24=TRUE,"Intolerável",""))))</f>
        <v/>
      </c>
      <c r="AT24" s="131"/>
      <c r="AU24" s="139"/>
      <c r="AX24" s="79" t="b">
        <f t="shared" si="13"/>
        <v>0</v>
      </c>
      <c r="AY24" s="79" t="b">
        <f t="shared" si="14"/>
        <v>0</v>
      </c>
      <c r="AZ24" s="79" t="b">
        <f t="shared" si="11"/>
        <v>0</v>
      </c>
      <c r="BA24" s="79" t="b">
        <f t="shared" si="12"/>
        <v>0</v>
      </c>
    </row>
    <row r="25" spans="2:56" ht="3" customHeight="1" x14ac:dyDescent="0.3">
      <c r="C25" s="47"/>
      <c r="E25" s="21"/>
      <c r="F25" s="38">
        <f t="shared" si="15"/>
        <v>0</v>
      </c>
      <c r="G25" s="38">
        <f t="shared" si="1"/>
        <v>0</v>
      </c>
      <c r="H25" s="21"/>
      <c r="I25" s="38">
        <f t="shared" si="16"/>
        <v>0</v>
      </c>
      <c r="J25" s="38">
        <f t="shared" si="3"/>
        <v>0</v>
      </c>
      <c r="K25" s="21"/>
      <c r="L25" s="38">
        <f t="shared" si="17"/>
        <v>0</v>
      </c>
      <c r="M25" s="8">
        <f t="shared" si="18"/>
        <v>0</v>
      </c>
      <c r="N25" s="37"/>
      <c r="O25" s="38">
        <f t="shared" si="19"/>
        <v>0</v>
      </c>
      <c r="P25" s="38">
        <f t="shared" si="5"/>
        <v>0</v>
      </c>
      <c r="Q25" s="37"/>
      <c r="R25" s="38">
        <f t="shared" si="6"/>
        <v>0</v>
      </c>
      <c r="S25" s="10"/>
      <c r="T25" s="67">
        <f t="shared" si="8"/>
        <v>0</v>
      </c>
      <c r="U25" s="67">
        <f t="shared" si="9"/>
        <v>0</v>
      </c>
      <c r="V25" s="14"/>
      <c r="W25" s="21"/>
      <c r="X25" s="21"/>
      <c r="Y25" s="21"/>
      <c r="Z25" s="21"/>
      <c r="AA25" s="36">
        <f t="shared" si="20"/>
        <v>0</v>
      </c>
      <c r="AB25" s="9"/>
      <c r="AC25" s="21"/>
      <c r="AD25" s="21"/>
      <c r="AE25" s="37"/>
      <c r="AF25" s="36">
        <f t="shared" si="10"/>
        <v>0</v>
      </c>
      <c r="AG25" s="9"/>
      <c r="AH25" s="21"/>
      <c r="AI25" s="21"/>
      <c r="AJ25" s="21"/>
      <c r="AK25" s="21"/>
      <c r="AL25" s="21"/>
      <c r="AM25" s="21"/>
      <c r="AN25" s="10"/>
      <c r="AO25" s="75"/>
      <c r="AP25" s="67"/>
      <c r="AQ25" s="67"/>
      <c r="AR25" s="67"/>
      <c r="AS25" s="138"/>
      <c r="AT25" s="134"/>
      <c r="AU25" s="139"/>
      <c r="AX25" s="79"/>
      <c r="AY25" s="79"/>
      <c r="AZ25" s="79" t="b">
        <f t="shared" si="11"/>
        <v>0</v>
      </c>
      <c r="BA25" s="79" t="b">
        <f t="shared" si="12"/>
        <v>0</v>
      </c>
    </row>
    <row r="26" spans="2:56" x14ac:dyDescent="0.3">
      <c r="B26" s="41" t="s">
        <v>43</v>
      </c>
      <c r="C26" s="144"/>
      <c r="E26" s="37"/>
      <c r="F26" s="38">
        <f t="shared" si="15"/>
        <v>0</v>
      </c>
      <c r="G26" s="38">
        <f t="shared" si="1"/>
        <v>0</v>
      </c>
      <c r="H26" s="37"/>
      <c r="I26" s="38">
        <f t="shared" si="16"/>
        <v>0</v>
      </c>
      <c r="J26" s="38">
        <f t="shared" si="3"/>
        <v>0</v>
      </c>
      <c r="K26" s="37"/>
      <c r="L26" s="38">
        <f t="shared" si="17"/>
        <v>0</v>
      </c>
      <c r="M26" s="8">
        <f t="shared" si="18"/>
        <v>0</v>
      </c>
      <c r="N26" s="37"/>
      <c r="O26" s="38">
        <f t="shared" si="19"/>
        <v>0</v>
      </c>
      <c r="P26" s="38">
        <f t="shared" si="5"/>
        <v>0</v>
      </c>
      <c r="Q26" s="37"/>
      <c r="R26" s="38">
        <f t="shared" si="6"/>
        <v>0</v>
      </c>
      <c r="S26" s="38">
        <f>IF(R26&gt;0,1,0)</f>
        <v>0</v>
      </c>
      <c r="T26" s="67">
        <f t="shared" si="8"/>
        <v>0</v>
      </c>
      <c r="U26" s="67">
        <f t="shared" si="9"/>
        <v>0</v>
      </c>
      <c r="V26" s="14"/>
      <c r="W26" s="37"/>
      <c r="X26" s="37"/>
      <c r="Y26" s="37"/>
      <c r="Z26" s="37"/>
      <c r="AA26" s="36">
        <f t="shared" si="20"/>
        <v>0</v>
      </c>
      <c r="AB26" s="9"/>
      <c r="AC26" s="37"/>
      <c r="AD26" s="76"/>
      <c r="AE26" s="37"/>
      <c r="AF26" s="36">
        <f t="shared" si="10"/>
        <v>0</v>
      </c>
      <c r="AG26" s="9"/>
      <c r="AH26" s="37"/>
      <c r="AI26" s="37"/>
      <c r="AJ26" s="37"/>
      <c r="AK26" s="37"/>
      <c r="AL26" s="37"/>
      <c r="AM26" s="37"/>
      <c r="AN26" s="36">
        <f>IF(AH26="X",1)+IF(AI26="X",2)+IF(AJ26="X",3)+IF(AK26="X",4)+IF(AL26="X",5)+IF(AM26="X",6)</f>
        <v>0</v>
      </c>
      <c r="AO26" s="75"/>
      <c r="AP26" s="67">
        <f>AA26+AF26+AN26</f>
        <v>0</v>
      </c>
      <c r="AQ26" s="67">
        <f>(AP26+U26)/2</f>
        <v>0</v>
      </c>
      <c r="AR26" s="67">
        <f>IF(AS26="",0,10)</f>
        <v>0</v>
      </c>
      <c r="AS26" s="39" t="str">
        <f>IF(AX26=TRUE,"Desprezível",IF(AY26=TRUE,"Administrável",IF(AZ26=TRUE,"Indesejável",IF(BA26=TRUE,"Intolerável",""))))</f>
        <v/>
      </c>
      <c r="AT26" s="131"/>
      <c r="AU26" s="139"/>
      <c r="AX26" s="79" t="b">
        <f t="shared" si="13"/>
        <v>0</v>
      </c>
      <c r="AY26" s="79" t="b">
        <f t="shared" si="14"/>
        <v>0</v>
      </c>
      <c r="AZ26" s="79" t="b">
        <f t="shared" si="11"/>
        <v>0</v>
      </c>
      <c r="BA26" s="79" t="b">
        <f t="shared" si="12"/>
        <v>0</v>
      </c>
    </row>
    <row r="27" spans="2:56" ht="3" customHeight="1" x14ac:dyDescent="0.3">
      <c r="C27" s="145"/>
      <c r="E27" s="21"/>
      <c r="F27" s="38">
        <f t="shared" si="15"/>
        <v>0</v>
      </c>
      <c r="G27" s="38">
        <f t="shared" si="1"/>
        <v>0</v>
      </c>
      <c r="H27" s="21"/>
      <c r="I27" s="38">
        <f t="shared" si="16"/>
        <v>0</v>
      </c>
      <c r="J27" s="38">
        <f t="shared" si="3"/>
        <v>0</v>
      </c>
      <c r="K27" s="21"/>
      <c r="L27" s="38">
        <f t="shared" si="17"/>
        <v>0</v>
      </c>
      <c r="M27" s="8">
        <f t="shared" si="18"/>
        <v>0</v>
      </c>
      <c r="N27" s="37"/>
      <c r="O27" s="38">
        <f t="shared" si="19"/>
        <v>0</v>
      </c>
      <c r="P27" s="38">
        <f t="shared" si="5"/>
        <v>0</v>
      </c>
      <c r="Q27" s="37"/>
      <c r="R27" s="38">
        <f t="shared" si="6"/>
        <v>0</v>
      </c>
      <c r="S27" s="10"/>
      <c r="T27" s="67">
        <f t="shared" si="8"/>
        <v>0</v>
      </c>
      <c r="U27" s="67">
        <f t="shared" si="9"/>
        <v>0</v>
      </c>
      <c r="V27" s="14"/>
      <c r="W27" s="21"/>
      <c r="X27" s="21"/>
      <c r="Y27" s="21"/>
      <c r="Z27" s="21"/>
      <c r="AA27" s="36">
        <f t="shared" si="20"/>
        <v>0</v>
      </c>
      <c r="AB27" s="9"/>
      <c r="AC27" s="21"/>
      <c r="AD27" s="21"/>
      <c r="AE27" s="37"/>
      <c r="AF27" s="36">
        <f t="shared" si="10"/>
        <v>0</v>
      </c>
      <c r="AG27" s="9"/>
      <c r="AH27" s="21"/>
      <c r="AI27" s="21"/>
      <c r="AJ27" s="21"/>
      <c r="AK27" s="21"/>
      <c r="AL27" s="21"/>
      <c r="AM27" s="21"/>
      <c r="AN27" s="10"/>
      <c r="AO27" s="75"/>
      <c r="AP27" s="67"/>
      <c r="AQ27" s="67"/>
      <c r="AR27" s="67"/>
      <c r="AS27" s="138"/>
      <c r="AT27" s="134"/>
      <c r="AU27" s="139"/>
      <c r="AX27" s="79"/>
      <c r="AY27" s="79"/>
      <c r="AZ27" s="79" t="b">
        <f t="shared" si="11"/>
        <v>0</v>
      </c>
      <c r="BA27" s="79" t="b">
        <f t="shared" si="12"/>
        <v>0</v>
      </c>
    </row>
    <row r="28" spans="2:56" x14ac:dyDescent="0.3">
      <c r="B28" s="41" t="s">
        <v>44</v>
      </c>
      <c r="C28" s="144"/>
      <c r="E28" s="37"/>
      <c r="F28" s="38">
        <f t="shared" si="15"/>
        <v>0</v>
      </c>
      <c r="G28" s="38">
        <f t="shared" si="1"/>
        <v>0</v>
      </c>
      <c r="H28" s="37"/>
      <c r="I28" s="38">
        <f t="shared" si="16"/>
        <v>0</v>
      </c>
      <c r="J28" s="38">
        <f t="shared" si="3"/>
        <v>0</v>
      </c>
      <c r="K28" s="37"/>
      <c r="L28" s="38">
        <f t="shared" si="17"/>
        <v>0</v>
      </c>
      <c r="M28" s="8">
        <f t="shared" si="18"/>
        <v>0</v>
      </c>
      <c r="N28" s="37"/>
      <c r="O28" s="38">
        <f t="shared" si="19"/>
        <v>0</v>
      </c>
      <c r="P28" s="38">
        <f t="shared" si="5"/>
        <v>0</v>
      </c>
      <c r="Q28" s="37"/>
      <c r="R28" s="38">
        <f t="shared" si="6"/>
        <v>0</v>
      </c>
      <c r="S28" s="38">
        <f>IF(R28&gt;0,1,0)</f>
        <v>0</v>
      </c>
      <c r="T28" s="67">
        <f t="shared" si="8"/>
        <v>0</v>
      </c>
      <c r="U28" s="67">
        <f t="shared" si="9"/>
        <v>0</v>
      </c>
      <c r="V28" s="14"/>
      <c r="W28" s="37"/>
      <c r="X28" s="37"/>
      <c r="Y28" s="37"/>
      <c r="Z28" s="37"/>
      <c r="AA28" s="36">
        <f t="shared" si="20"/>
        <v>0</v>
      </c>
      <c r="AB28" s="9"/>
      <c r="AC28" s="37"/>
      <c r="AD28" s="76"/>
      <c r="AE28" s="37"/>
      <c r="AF28" s="36">
        <f t="shared" si="10"/>
        <v>0</v>
      </c>
      <c r="AG28" s="9"/>
      <c r="AH28" s="37"/>
      <c r="AI28" s="37"/>
      <c r="AJ28" s="37"/>
      <c r="AK28" s="37"/>
      <c r="AL28" s="37"/>
      <c r="AM28" s="37"/>
      <c r="AN28" s="36">
        <f>IF(AH28="X",1)+IF(AI28="X",2)+IF(AJ28="X",3)+IF(AK28="X",4)+IF(AL28="X",5)+IF(AM28="X",6)</f>
        <v>0</v>
      </c>
      <c r="AO28" s="75"/>
      <c r="AP28" s="67">
        <f>AA28+AF28+AN28</f>
        <v>0</v>
      </c>
      <c r="AQ28" s="67">
        <f>(AP28+U28)/2</f>
        <v>0</v>
      </c>
      <c r="AR28" s="67">
        <f>IF(AS28="",0,10)</f>
        <v>0</v>
      </c>
      <c r="AS28" s="39" t="str">
        <f>IF(AX28=TRUE,"Desprezível",IF(AY28=TRUE,"Administrável",IF(AZ28=TRUE,"Indesejável",IF(BA28=TRUE,"Intolerável",""))))</f>
        <v/>
      </c>
      <c r="AT28" s="131"/>
      <c r="AU28" s="139"/>
      <c r="AX28" s="79" t="b">
        <f t="shared" si="13"/>
        <v>0</v>
      </c>
      <c r="AY28" s="79" t="b">
        <f t="shared" si="14"/>
        <v>0</v>
      </c>
      <c r="AZ28" s="79" t="b">
        <f t="shared" si="11"/>
        <v>0</v>
      </c>
      <c r="BA28" s="79" t="b">
        <f t="shared" si="12"/>
        <v>0</v>
      </c>
    </row>
    <row r="29" spans="2:56" ht="3" customHeight="1" x14ac:dyDescent="0.3">
      <c r="C29" s="146"/>
      <c r="E29" s="21"/>
      <c r="F29" s="38">
        <f t="shared" si="15"/>
        <v>0</v>
      </c>
      <c r="G29" s="38">
        <f t="shared" si="1"/>
        <v>0</v>
      </c>
      <c r="H29" s="21"/>
      <c r="I29" s="38">
        <f t="shared" si="16"/>
        <v>0</v>
      </c>
      <c r="J29" s="38">
        <f t="shared" si="3"/>
        <v>0</v>
      </c>
      <c r="K29" s="21"/>
      <c r="L29" s="38">
        <f t="shared" si="17"/>
        <v>0</v>
      </c>
      <c r="M29" s="8">
        <f t="shared" si="18"/>
        <v>0</v>
      </c>
      <c r="N29" s="37"/>
      <c r="O29" s="38">
        <f t="shared" si="19"/>
        <v>0</v>
      </c>
      <c r="P29" s="38">
        <f t="shared" si="5"/>
        <v>0</v>
      </c>
      <c r="Q29" s="37"/>
      <c r="R29" s="38">
        <f t="shared" si="6"/>
        <v>0</v>
      </c>
      <c r="S29" s="10"/>
      <c r="T29" s="67">
        <f t="shared" si="8"/>
        <v>0</v>
      </c>
      <c r="U29" s="67">
        <f t="shared" si="9"/>
        <v>0</v>
      </c>
      <c r="V29" s="14"/>
      <c r="W29" s="21"/>
      <c r="X29" s="21"/>
      <c r="Y29" s="21"/>
      <c r="Z29" s="21"/>
      <c r="AA29" s="36">
        <f t="shared" si="20"/>
        <v>0</v>
      </c>
      <c r="AB29" s="9"/>
      <c r="AC29" s="21"/>
      <c r="AD29" s="21"/>
      <c r="AE29" s="37"/>
      <c r="AF29" s="36">
        <f t="shared" si="10"/>
        <v>0</v>
      </c>
      <c r="AG29" s="9"/>
      <c r="AH29" s="21"/>
      <c r="AI29" s="21"/>
      <c r="AJ29" s="21"/>
      <c r="AK29" s="21"/>
      <c r="AL29" s="21"/>
      <c r="AM29" s="21"/>
      <c r="AN29" s="10"/>
      <c r="AO29" s="75"/>
      <c r="AP29" s="67"/>
      <c r="AQ29" s="67"/>
      <c r="AR29" s="67"/>
      <c r="AS29" s="138"/>
      <c r="AT29" s="134"/>
      <c r="AU29" s="139"/>
      <c r="AX29" s="79"/>
      <c r="AY29" s="79"/>
      <c r="AZ29" s="79" t="b">
        <f t="shared" si="11"/>
        <v>0</v>
      </c>
      <c r="BA29" s="79" t="b">
        <f t="shared" si="12"/>
        <v>0</v>
      </c>
    </row>
    <row r="30" spans="2:56" x14ac:dyDescent="0.3">
      <c r="B30" s="41" t="s">
        <v>47</v>
      </c>
      <c r="C30" s="144"/>
      <c r="E30" s="37"/>
      <c r="F30" s="38">
        <f t="shared" si="15"/>
        <v>0</v>
      </c>
      <c r="G30" s="38">
        <f t="shared" si="1"/>
        <v>0</v>
      </c>
      <c r="H30" s="37"/>
      <c r="I30" s="38">
        <f t="shared" si="16"/>
        <v>0</v>
      </c>
      <c r="J30" s="38">
        <f t="shared" si="3"/>
        <v>0</v>
      </c>
      <c r="K30" s="37"/>
      <c r="L30" s="38">
        <f t="shared" si="17"/>
        <v>0</v>
      </c>
      <c r="M30" s="8">
        <f t="shared" si="18"/>
        <v>0</v>
      </c>
      <c r="N30" s="37"/>
      <c r="O30" s="38">
        <f t="shared" si="19"/>
        <v>0</v>
      </c>
      <c r="P30" s="38">
        <f t="shared" si="5"/>
        <v>0</v>
      </c>
      <c r="Q30" s="37"/>
      <c r="R30" s="38">
        <f t="shared" si="6"/>
        <v>0</v>
      </c>
      <c r="S30" s="38">
        <f>IF(R30&gt;0,1,0)</f>
        <v>0</v>
      </c>
      <c r="T30" s="67">
        <f t="shared" si="8"/>
        <v>0</v>
      </c>
      <c r="U30" s="67">
        <f t="shared" si="9"/>
        <v>0</v>
      </c>
      <c r="V30" s="14"/>
      <c r="W30" s="37"/>
      <c r="X30" s="37"/>
      <c r="Y30" s="37"/>
      <c r="Z30" s="37"/>
      <c r="AA30" s="36">
        <f t="shared" si="20"/>
        <v>0</v>
      </c>
      <c r="AB30" s="9"/>
      <c r="AC30" s="37"/>
      <c r="AD30" s="76"/>
      <c r="AE30" s="37"/>
      <c r="AF30" s="36">
        <f t="shared" si="10"/>
        <v>0</v>
      </c>
      <c r="AG30" s="9"/>
      <c r="AH30" s="37"/>
      <c r="AI30" s="37"/>
      <c r="AJ30" s="37"/>
      <c r="AK30" s="37"/>
      <c r="AL30" s="37"/>
      <c r="AM30" s="37"/>
      <c r="AN30" s="36">
        <f>IF(AH30="X",1)+IF(AI30="X",2)+IF(AJ30="X",3)+IF(AK30="X",4)+IF(AL30="X",5)+IF(AM30="X",6)</f>
        <v>0</v>
      </c>
      <c r="AO30" s="75"/>
      <c r="AP30" s="67">
        <f>AA30+AF30+AN30</f>
        <v>0</v>
      </c>
      <c r="AQ30" s="67">
        <f>(AP30+U30)/2</f>
        <v>0</v>
      </c>
      <c r="AR30" s="67">
        <f>IF(AS30="",0,10)</f>
        <v>0</v>
      </c>
      <c r="AS30" s="39" t="str">
        <f>IF(AX30=TRUE,"Desprezível",IF(AY30=TRUE,"Administrável",IF(AZ30=TRUE,"Indesejável",IF(BA30=TRUE,"Intolerável",""))))</f>
        <v/>
      </c>
      <c r="AT30" s="131"/>
      <c r="AU30" s="139"/>
      <c r="AX30" s="79" t="b">
        <f t="shared" si="13"/>
        <v>0</v>
      </c>
      <c r="AY30" s="79" t="b">
        <f t="shared" si="14"/>
        <v>0</v>
      </c>
      <c r="AZ30" s="79" t="b">
        <f t="shared" si="11"/>
        <v>0</v>
      </c>
      <c r="BA30" s="79" t="b">
        <f t="shared" si="12"/>
        <v>0</v>
      </c>
    </row>
    <row r="31" spans="2:56" ht="3" customHeight="1" x14ac:dyDescent="0.3">
      <c r="C31" s="146"/>
      <c r="E31" s="21"/>
      <c r="F31" s="38">
        <f t="shared" si="15"/>
        <v>0</v>
      </c>
      <c r="G31" s="38">
        <f t="shared" si="1"/>
        <v>0</v>
      </c>
      <c r="H31" s="21"/>
      <c r="I31" s="38">
        <f t="shared" si="16"/>
        <v>0</v>
      </c>
      <c r="J31" s="38">
        <f t="shared" si="3"/>
        <v>0</v>
      </c>
      <c r="K31" s="21"/>
      <c r="L31" s="38">
        <f t="shared" si="17"/>
        <v>0</v>
      </c>
      <c r="M31" s="8">
        <f t="shared" si="18"/>
        <v>0</v>
      </c>
      <c r="N31" s="37"/>
      <c r="O31" s="38">
        <f t="shared" si="19"/>
        <v>0</v>
      </c>
      <c r="P31" s="38">
        <f t="shared" si="5"/>
        <v>0</v>
      </c>
      <c r="Q31" s="37"/>
      <c r="R31" s="38">
        <f t="shared" si="6"/>
        <v>0</v>
      </c>
      <c r="S31" s="10"/>
      <c r="T31" s="67">
        <f t="shared" si="8"/>
        <v>0</v>
      </c>
      <c r="U31" s="67">
        <f t="shared" si="9"/>
        <v>0</v>
      </c>
      <c r="V31" s="14"/>
      <c r="W31" s="21"/>
      <c r="X31" s="21"/>
      <c r="Y31" s="21"/>
      <c r="Z31" s="21"/>
      <c r="AA31" s="36">
        <f t="shared" si="20"/>
        <v>0</v>
      </c>
      <c r="AB31" s="9"/>
      <c r="AC31" s="21"/>
      <c r="AD31" s="21"/>
      <c r="AE31" s="37"/>
      <c r="AF31" s="36">
        <f t="shared" si="10"/>
        <v>0</v>
      </c>
      <c r="AG31" s="9"/>
      <c r="AH31" s="21"/>
      <c r="AI31" s="21"/>
      <c r="AJ31" s="21"/>
      <c r="AK31" s="21"/>
      <c r="AL31" s="21"/>
      <c r="AM31" s="21"/>
      <c r="AN31" s="10"/>
      <c r="AO31" s="75"/>
      <c r="AP31" s="67"/>
      <c r="AQ31" s="67"/>
      <c r="AR31" s="67"/>
      <c r="AS31" s="138"/>
      <c r="AT31" s="134"/>
      <c r="AU31" s="139"/>
      <c r="AX31" s="79"/>
      <c r="AY31" s="79"/>
      <c r="AZ31" s="79" t="b">
        <f t="shared" si="11"/>
        <v>0</v>
      </c>
      <c r="BA31" s="79" t="b">
        <f t="shared" si="12"/>
        <v>0</v>
      </c>
    </row>
    <row r="32" spans="2:56" x14ac:dyDescent="0.3">
      <c r="B32" s="41" t="s">
        <v>48</v>
      </c>
      <c r="C32" s="144"/>
      <c r="E32" s="37"/>
      <c r="F32" s="38">
        <f t="shared" si="15"/>
        <v>0</v>
      </c>
      <c r="G32" s="38">
        <f t="shared" si="1"/>
        <v>0</v>
      </c>
      <c r="H32" s="37"/>
      <c r="I32" s="38">
        <f t="shared" si="16"/>
        <v>0</v>
      </c>
      <c r="J32" s="38">
        <f t="shared" si="3"/>
        <v>0</v>
      </c>
      <c r="K32" s="37"/>
      <c r="L32" s="38">
        <f t="shared" si="17"/>
        <v>0</v>
      </c>
      <c r="M32" s="8">
        <f t="shared" si="18"/>
        <v>0</v>
      </c>
      <c r="N32" s="37"/>
      <c r="O32" s="38">
        <f t="shared" si="19"/>
        <v>0</v>
      </c>
      <c r="P32" s="38">
        <f t="shared" si="5"/>
        <v>0</v>
      </c>
      <c r="Q32" s="37"/>
      <c r="R32" s="38">
        <f t="shared" si="6"/>
        <v>0</v>
      </c>
      <c r="S32" s="38">
        <f>IF(R32&gt;0,1,0)</f>
        <v>0</v>
      </c>
      <c r="T32" s="67">
        <f t="shared" si="8"/>
        <v>0</v>
      </c>
      <c r="U32" s="67">
        <f t="shared" si="9"/>
        <v>0</v>
      </c>
      <c r="V32" s="14"/>
      <c r="W32" s="37"/>
      <c r="X32" s="37"/>
      <c r="Y32" s="37"/>
      <c r="Z32" s="37"/>
      <c r="AA32" s="36">
        <f t="shared" si="20"/>
        <v>0</v>
      </c>
      <c r="AB32" s="9"/>
      <c r="AC32" s="37"/>
      <c r="AD32" s="76"/>
      <c r="AE32" s="37"/>
      <c r="AF32" s="36">
        <f t="shared" si="10"/>
        <v>0</v>
      </c>
      <c r="AG32" s="9"/>
      <c r="AH32" s="37"/>
      <c r="AI32" s="37"/>
      <c r="AJ32" s="37"/>
      <c r="AK32" s="37"/>
      <c r="AL32" s="37"/>
      <c r="AM32" s="37"/>
      <c r="AN32" s="36">
        <f>IF(AH32="X",1)+IF(AI32="X",2)+IF(AJ32="X",3)+IF(AK32="X",4)+IF(AL32="X",5)+IF(AM32="X",6)</f>
        <v>0</v>
      </c>
      <c r="AO32" s="75"/>
      <c r="AP32" s="67">
        <f>AA32+AF32+AN32</f>
        <v>0</v>
      </c>
      <c r="AQ32" s="67">
        <f>(AP32+U32)/2</f>
        <v>0</v>
      </c>
      <c r="AR32" s="67">
        <f>IF(AS32="",0,10)</f>
        <v>0</v>
      </c>
      <c r="AS32" s="39" t="str">
        <f>IF(AX32=TRUE,"Desprezível",IF(AY32=TRUE,"Administrável",IF(AZ32=TRUE,"Indesejável",IF(BA32=TRUE,"Intolerável",""))))</f>
        <v/>
      </c>
      <c r="AT32" s="131"/>
      <c r="AU32" s="139"/>
      <c r="AX32" s="79" t="b">
        <f t="shared" si="13"/>
        <v>0</v>
      </c>
      <c r="AY32" s="79" t="b">
        <f t="shared" si="14"/>
        <v>0</v>
      </c>
      <c r="AZ32" s="79" t="b">
        <f t="shared" si="11"/>
        <v>0</v>
      </c>
      <c r="BA32" s="79" t="b">
        <f t="shared" si="12"/>
        <v>0</v>
      </c>
    </row>
    <row r="33" spans="2:55" ht="3" customHeight="1" x14ac:dyDescent="0.3">
      <c r="C33" s="146"/>
      <c r="E33" s="21"/>
      <c r="F33" s="38">
        <f t="shared" si="15"/>
        <v>0</v>
      </c>
      <c r="G33" s="38">
        <f t="shared" si="1"/>
        <v>0</v>
      </c>
      <c r="H33" s="21"/>
      <c r="I33" s="38">
        <f t="shared" si="16"/>
        <v>0</v>
      </c>
      <c r="J33" s="38">
        <f t="shared" si="3"/>
        <v>0</v>
      </c>
      <c r="K33" s="21"/>
      <c r="L33" s="38">
        <f t="shared" si="17"/>
        <v>0</v>
      </c>
      <c r="M33" s="8">
        <f t="shared" si="18"/>
        <v>0</v>
      </c>
      <c r="N33" s="37"/>
      <c r="O33" s="38">
        <f t="shared" si="19"/>
        <v>0</v>
      </c>
      <c r="P33" s="38">
        <f t="shared" si="5"/>
        <v>0</v>
      </c>
      <c r="Q33" s="37"/>
      <c r="R33" s="38">
        <f t="shared" si="6"/>
        <v>0</v>
      </c>
      <c r="S33" s="10"/>
      <c r="T33" s="67">
        <f t="shared" si="8"/>
        <v>0</v>
      </c>
      <c r="U33" s="67">
        <f t="shared" si="9"/>
        <v>0</v>
      </c>
      <c r="V33" s="14"/>
      <c r="W33" s="21"/>
      <c r="X33" s="21"/>
      <c r="Y33" s="21"/>
      <c r="Z33" s="21"/>
      <c r="AA33" s="36">
        <f t="shared" si="20"/>
        <v>0</v>
      </c>
      <c r="AB33" s="9"/>
      <c r="AC33" s="21"/>
      <c r="AD33" s="21"/>
      <c r="AE33" s="37"/>
      <c r="AF33" s="36">
        <f t="shared" si="10"/>
        <v>0</v>
      </c>
      <c r="AG33" s="9"/>
      <c r="AH33" s="21"/>
      <c r="AI33" s="21"/>
      <c r="AJ33" s="21"/>
      <c r="AK33" s="21"/>
      <c r="AL33" s="21"/>
      <c r="AM33" s="21"/>
      <c r="AN33" s="10"/>
      <c r="AO33" s="75"/>
      <c r="AP33" s="67"/>
      <c r="AQ33" s="67"/>
      <c r="AR33" s="67"/>
      <c r="AS33" s="138"/>
      <c r="AT33" s="134"/>
      <c r="AU33" s="139"/>
      <c r="AX33" s="79"/>
      <c r="AY33" s="79"/>
      <c r="AZ33" s="79" t="b">
        <f t="shared" si="11"/>
        <v>0</v>
      </c>
      <c r="BA33" s="79" t="b">
        <f t="shared" si="12"/>
        <v>0</v>
      </c>
    </row>
    <row r="34" spans="2:55" x14ac:dyDescent="0.3">
      <c r="B34" s="41" t="s">
        <v>51</v>
      </c>
      <c r="C34" s="144"/>
      <c r="E34" s="37"/>
      <c r="F34" s="38">
        <f t="shared" si="15"/>
        <v>0</v>
      </c>
      <c r="G34" s="38">
        <f t="shared" si="1"/>
        <v>0</v>
      </c>
      <c r="H34" s="37"/>
      <c r="I34" s="38">
        <f t="shared" si="16"/>
        <v>0</v>
      </c>
      <c r="J34" s="38">
        <f t="shared" si="3"/>
        <v>0</v>
      </c>
      <c r="K34" s="37"/>
      <c r="L34" s="38">
        <f t="shared" si="17"/>
        <v>0</v>
      </c>
      <c r="M34" s="8">
        <f t="shared" si="18"/>
        <v>0</v>
      </c>
      <c r="N34" s="37"/>
      <c r="O34" s="38">
        <f t="shared" si="19"/>
        <v>0</v>
      </c>
      <c r="P34" s="38">
        <f t="shared" si="5"/>
        <v>0</v>
      </c>
      <c r="Q34" s="37"/>
      <c r="R34" s="38">
        <f t="shared" si="6"/>
        <v>0</v>
      </c>
      <c r="S34" s="38">
        <f>IF(R34&gt;0,1,0)</f>
        <v>0</v>
      </c>
      <c r="T34" s="67">
        <f t="shared" si="8"/>
        <v>0</v>
      </c>
      <c r="U34" s="67">
        <f t="shared" si="9"/>
        <v>0</v>
      </c>
      <c r="V34" s="14"/>
      <c r="W34" s="37"/>
      <c r="X34" s="37"/>
      <c r="Y34" s="37"/>
      <c r="Z34" s="37"/>
      <c r="AA34" s="36">
        <f t="shared" si="20"/>
        <v>0</v>
      </c>
      <c r="AB34" s="9"/>
      <c r="AC34" s="37"/>
      <c r="AD34" s="76"/>
      <c r="AE34" s="37"/>
      <c r="AF34" s="36">
        <f t="shared" si="10"/>
        <v>0</v>
      </c>
      <c r="AG34" s="9"/>
      <c r="AH34" s="37"/>
      <c r="AI34" s="37"/>
      <c r="AJ34" s="37"/>
      <c r="AK34" s="37"/>
      <c r="AL34" s="37"/>
      <c r="AM34" s="37"/>
      <c r="AN34" s="36">
        <f>IF(AH34="X",1)+IF(AI34="X",2)+IF(AJ34="X",3)+IF(AK34="X",4)+IF(AL34="X",5)+IF(AM34="X",6)</f>
        <v>0</v>
      </c>
      <c r="AO34" s="75"/>
      <c r="AP34" s="67">
        <f>AA34+AF34+AN34</f>
        <v>0</v>
      </c>
      <c r="AQ34" s="67">
        <f>(AP34+U34)/2</f>
        <v>0</v>
      </c>
      <c r="AR34" s="67">
        <f>IF(AS34="",0,10)</f>
        <v>0</v>
      </c>
      <c r="AS34" s="39" t="str">
        <f>IF(AX34=TRUE,"Desprezível",IF(AY34=TRUE,"Administrável",IF(AZ34=TRUE,"Indesejável",IF(BA34=TRUE,"Intolerável",""))))</f>
        <v/>
      </c>
      <c r="AT34" s="131"/>
      <c r="AU34" s="139"/>
      <c r="AX34" s="79" t="b">
        <f t="shared" si="13"/>
        <v>0</v>
      </c>
      <c r="AY34" s="79" t="b">
        <f t="shared" si="14"/>
        <v>0</v>
      </c>
      <c r="AZ34" s="79" t="b">
        <f t="shared" si="11"/>
        <v>0</v>
      </c>
      <c r="BA34" s="79" t="b">
        <f t="shared" si="12"/>
        <v>0</v>
      </c>
    </row>
    <row r="35" spans="2:55" ht="3" customHeight="1" x14ac:dyDescent="0.3">
      <c r="C35" s="145"/>
      <c r="E35" s="21"/>
      <c r="F35" s="38">
        <f t="shared" si="15"/>
        <v>0</v>
      </c>
      <c r="G35" s="38">
        <f t="shared" si="1"/>
        <v>0</v>
      </c>
      <c r="H35" s="21"/>
      <c r="I35" s="38">
        <f t="shared" si="16"/>
        <v>0</v>
      </c>
      <c r="J35" s="38">
        <f t="shared" si="3"/>
        <v>0</v>
      </c>
      <c r="K35" s="21"/>
      <c r="L35" s="38">
        <f t="shared" si="17"/>
        <v>0</v>
      </c>
      <c r="M35" s="8">
        <f t="shared" si="18"/>
        <v>0</v>
      </c>
      <c r="N35" s="37"/>
      <c r="O35" s="38">
        <f t="shared" si="19"/>
        <v>0</v>
      </c>
      <c r="P35" s="38">
        <f t="shared" si="5"/>
        <v>0</v>
      </c>
      <c r="Q35" s="37"/>
      <c r="R35" s="38">
        <f t="shared" si="6"/>
        <v>0</v>
      </c>
      <c r="S35" s="10"/>
      <c r="T35" s="67">
        <f t="shared" si="8"/>
        <v>0</v>
      </c>
      <c r="U35" s="67">
        <f t="shared" si="9"/>
        <v>0</v>
      </c>
      <c r="V35" s="14"/>
      <c r="W35" s="21"/>
      <c r="X35" s="21"/>
      <c r="Y35" s="21"/>
      <c r="Z35" s="21"/>
      <c r="AA35" s="36">
        <f t="shared" si="20"/>
        <v>0</v>
      </c>
      <c r="AB35" s="9"/>
      <c r="AC35" s="21"/>
      <c r="AD35" s="21"/>
      <c r="AE35" s="37"/>
      <c r="AF35" s="36">
        <f t="shared" si="10"/>
        <v>0</v>
      </c>
      <c r="AG35" s="9"/>
      <c r="AH35" s="21"/>
      <c r="AI35" s="21"/>
      <c r="AJ35" s="21"/>
      <c r="AK35" s="21"/>
      <c r="AL35" s="21"/>
      <c r="AM35" s="21"/>
      <c r="AN35" s="10"/>
      <c r="AO35" s="75"/>
      <c r="AP35" s="67"/>
      <c r="AQ35" s="67"/>
      <c r="AR35" s="67"/>
      <c r="AS35" s="138"/>
      <c r="AT35" s="134"/>
      <c r="AU35" s="139"/>
      <c r="AX35" s="79"/>
      <c r="AY35" s="79"/>
      <c r="AZ35" s="79" t="b">
        <f t="shared" si="11"/>
        <v>0</v>
      </c>
      <c r="BA35" s="79" t="b">
        <f t="shared" si="12"/>
        <v>0</v>
      </c>
    </row>
    <row r="36" spans="2:55" x14ac:dyDescent="0.3">
      <c r="B36" s="41" t="s">
        <v>49</v>
      </c>
      <c r="C36" s="144"/>
      <c r="E36" s="37"/>
      <c r="F36" s="38">
        <f t="shared" si="15"/>
        <v>0</v>
      </c>
      <c r="G36" s="38">
        <f t="shared" si="1"/>
        <v>0</v>
      </c>
      <c r="H36" s="37"/>
      <c r="I36" s="38">
        <f t="shared" si="16"/>
        <v>0</v>
      </c>
      <c r="J36" s="38">
        <f t="shared" si="3"/>
        <v>0</v>
      </c>
      <c r="K36" s="37"/>
      <c r="L36" s="38">
        <f t="shared" si="17"/>
        <v>0</v>
      </c>
      <c r="M36" s="8">
        <f t="shared" si="18"/>
        <v>0</v>
      </c>
      <c r="N36" s="37"/>
      <c r="O36" s="38">
        <f t="shared" si="19"/>
        <v>0</v>
      </c>
      <c r="P36" s="38">
        <f t="shared" si="5"/>
        <v>0</v>
      </c>
      <c r="Q36" s="37"/>
      <c r="R36" s="38">
        <f t="shared" si="6"/>
        <v>0</v>
      </c>
      <c r="S36" s="38">
        <f>IF(R36&gt;0,1,0)</f>
        <v>0</v>
      </c>
      <c r="T36" s="67">
        <f t="shared" si="8"/>
        <v>0</v>
      </c>
      <c r="U36" s="67">
        <f t="shared" si="9"/>
        <v>0</v>
      </c>
      <c r="V36" s="14"/>
      <c r="W36" s="37"/>
      <c r="X36" s="37"/>
      <c r="Y36" s="37"/>
      <c r="Z36" s="37"/>
      <c r="AA36" s="36">
        <f t="shared" si="20"/>
        <v>0</v>
      </c>
      <c r="AB36" s="9"/>
      <c r="AC36" s="37"/>
      <c r="AD36" s="76"/>
      <c r="AE36" s="37"/>
      <c r="AF36" s="36">
        <f t="shared" si="10"/>
        <v>0</v>
      </c>
      <c r="AG36" s="9"/>
      <c r="AH36" s="37"/>
      <c r="AI36" s="37"/>
      <c r="AJ36" s="37"/>
      <c r="AK36" s="37"/>
      <c r="AL36" s="37"/>
      <c r="AM36" s="37"/>
      <c r="AN36" s="36">
        <f>IF(AH36="X",1)+IF(AI36="X",2)+IF(AJ36="X",3)+IF(AK36="X",4)+IF(AL36="X",5)+IF(AM36="X",6)</f>
        <v>0</v>
      </c>
      <c r="AO36" s="75"/>
      <c r="AP36" s="67">
        <f>AA36+AF36+AN36</f>
        <v>0</v>
      </c>
      <c r="AQ36" s="67">
        <f>(AP36+U36)/2</f>
        <v>0</v>
      </c>
      <c r="AR36" s="67">
        <f>IF(AS36="",0,10)</f>
        <v>0</v>
      </c>
      <c r="AS36" s="39" t="str">
        <f>IF(AX36=TRUE,"Desprezível",IF(AY36=TRUE,"Administrável",IF(AZ36=TRUE,"Indesejável",IF(BA36=TRUE,"Intolerável",""))))</f>
        <v/>
      </c>
      <c r="AT36" s="131"/>
      <c r="AU36" s="139"/>
      <c r="AX36" s="79" t="b">
        <f t="shared" si="13"/>
        <v>0</v>
      </c>
      <c r="AY36" s="79" t="b">
        <f t="shared" si="14"/>
        <v>0</v>
      </c>
      <c r="AZ36" s="79" t="b">
        <f t="shared" si="11"/>
        <v>0</v>
      </c>
      <c r="BA36" s="79" t="b">
        <f t="shared" si="12"/>
        <v>0</v>
      </c>
    </row>
    <row r="37" spans="2:55" ht="3.75" customHeight="1" x14ac:dyDescent="0.3">
      <c r="C37" s="145"/>
      <c r="E37" s="21"/>
      <c r="F37" s="38">
        <f t="shared" si="15"/>
        <v>0</v>
      </c>
      <c r="G37" s="38">
        <f t="shared" si="1"/>
        <v>0</v>
      </c>
      <c r="H37" s="21"/>
      <c r="I37" s="38">
        <f t="shared" si="16"/>
        <v>0</v>
      </c>
      <c r="J37" s="38">
        <f t="shared" si="3"/>
        <v>0</v>
      </c>
      <c r="K37" s="21"/>
      <c r="L37" s="38">
        <f t="shared" si="17"/>
        <v>0</v>
      </c>
      <c r="M37" s="8">
        <f t="shared" si="18"/>
        <v>0</v>
      </c>
      <c r="N37" s="37"/>
      <c r="O37" s="38">
        <f t="shared" si="19"/>
        <v>0</v>
      </c>
      <c r="P37" s="38">
        <f t="shared" si="5"/>
        <v>0</v>
      </c>
      <c r="Q37" s="37"/>
      <c r="R37" s="38">
        <f t="shared" si="6"/>
        <v>0</v>
      </c>
      <c r="S37" s="10"/>
      <c r="T37" s="67">
        <f t="shared" si="8"/>
        <v>0</v>
      </c>
      <c r="U37" s="67">
        <f t="shared" si="9"/>
        <v>0</v>
      </c>
      <c r="V37" s="14"/>
      <c r="W37" s="21"/>
      <c r="X37" s="21"/>
      <c r="Y37" s="21"/>
      <c r="Z37" s="21"/>
      <c r="AA37" s="36">
        <f t="shared" si="20"/>
        <v>0</v>
      </c>
      <c r="AB37" s="9"/>
      <c r="AC37" s="21"/>
      <c r="AD37" s="21"/>
      <c r="AE37" s="37"/>
      <c r="AF37" s="36">
        <f t="shared" si="10"/>
        <v>0</v>
      </c>
      <c r="AG37" s="9"/>
      <c r="AH37" s="21"/>
      <c r="AI37" s="21"/>
      <c r="AJ37" s="21"/>
      <c r="AK37" s="21"/>
      <c r="AL37" s="21"/>
      <c r="AM37" s="21"/>
      <c r="AN37" s="10"/>
      <c r="AO37" s="75"/>
      <c r="AP37" s="67"/>
      <c r="AQ37" s="67"/>
      <c r="AR37" s="67"/>
      <c r="AS37" s="138"/>
      <c r="AT37" s="134"/>
      <c r="AU37" s="139"/>
      <c r="AX37" s="79"/>
      <c r="AY37" s="79"/>
      <c r="AZ37" s="79" t="b">
        <f t="shared" si="11"/>
        <v>0</v>
      </c>
      <c r="BA37" s="79" t="b">
        <f t="shared" si="12"/>
        <v>0</v>
      </c>
    </row>
    <row r="38" spans="2:55" x14ac:dyDescent="0.3">
      <c r="B38" s="41" t="s">
        <v>50</v>
      </c>
      <c r="C38" s="144"/>
      <c r="E38" s="37"/>
      <c r="F38" s="38">
        <f t="shared" si="15"/>
        <v>0</v>
      </c>
      <c r="G38" s="38">
        <f t="shared" si="1"/>
        <v>0</v>
      </c>
      <c r="H38" s="37"/>
      <c r="I38" s="38">
        <f t="shared" si="16"/>
        <v>0</v>
      </c>
      <c r="J38" s="38">
        <f t="shared" si="3"/>
        <v>0</v>
      </c>
      <c r="K38" s="37"/>
      <c r="L38" s="38">
        <f t="shared" si="17"/>
        <v>0</v>
      </c>
      <c r="M38" s="8">
        <f t="shared" si="18"/>
        <v>0</v>
      </c>
      <c r="N38" s="37"/>
      <c r="O38" s="38">
        <f t="shared" si="19"/>
        <v>0</v>
      </c>
      <c r="P38" s="38">
        <f t="shared" si="5"/>
        <v>0</v>
      </c>
      <c r="Q38" s="37"/>
      <c r="R38" s="38">
        <f t="shared" si="6"/>
        <v>0</v>
      </c>
      <c r="S38" s="38">
        <f>IF(R38&gt;0,1,0)</f>
        <v>0</v>
      </c>
      <c r="T38" s="67">
        <f t="shared" si="8"/>
        <v>0</v>
      </c>
      <c r="U38" s="67">
        <f t="shared" si="9"/>
        <v>0</v>
      </c>
      <c r="V38" s="14"/>
      <c r="W38" s="37"/>
      <c r="X38" s="37"/>
      <c r="Y38" s="37"/>
      <c r="Z38" s="37"/>
      <c r="AA38" s="36">
        <f t="shared" si="20"/>
        <v>0</v>
      </c>
      <c r="AB38" s="9"/>
      <c r="AC38" s="37"/>
      <c r="AD38" s="76"/>
      <c r="AE38" s="37"/>
      <c r="AF38" s="36">
        <f t="shared" si="10"/>
        <v>0</v>
      </c>
      <c r="AG38" s="9"/>
      <c r="AH38" s="37"/>
      <c r="AI38" s="37"/>
      <c r="AJ38" s="37"/>
      <c r="AK38" s="37"/>
      <c r="AL38" s="37"/>
      <c r="AM38" s="37"/>
      <c r="AN38" s="36">
        <f>IF(AH38="X",1)+IF(AI38="X",2)+IF(AJ38="X",3)+IF(AK38="X",4)+IF(AL38="X",5)+IF(AM38="X",6)</f>
        <v>0</v>
      </c>
      <c r="AO38" s="75"/>
      <c r="AP38" s="67">
        <f>AA38+AF38+AN38</f>
        <v>0</v>
      </c>
      <c r="AQ38" s="67">
        <f>(AP38+U38)/2</f>
        <v>0</v>
      </c>
      <c r="AR38" s="67">
        <f>IF(AS38="",0,10)</f>
        <v>0</v>
      </c>
      <c r="AS38" s="39" t="str">
        <f>IF(AX38=TRUE,"Desprezível",IF(AY38=TRUE,"Administrável",IF(AZ38=TRUE,"Indesejável",IF(BA38=TRUE,"Intolerável",""))))</f>
        <v/>
      </c>
      <c r="AT38" s="131"/>
      <c r="AU38" s="139"/>
      <c r="AX38" s="79" t="b">
        <f t="shared" si="13"/>
        <v>0</v>
      </c>
      <c r="AY38" s="79" t="b">
        <f t="shared" si="14"/>
        <v>0</v>
      </c>
      <c r="AZ38" s="79" t="b">
        <f t="shared" si="11"/>
        <v>0</v>
      </c>
      <c r="BA38" s="79" t="b">
        <f t="shared" si="12"/>
        <v>0</v>
      </c>
    </row>
    <row r="39" spans="2:55" s="59" customFormat="1" ht="3.75" customHeight="1" x14ac:dyDescent="0.3">
      <c r="B39" s="50"/>
      <c r="C39" s="144"/>
      <c r="D39" s="52"/>
      <c r="E39" s="53"/>
      <c r="F39" s="38">
        <f t="shared" si="15"/>
        <v>0</v>
      </c>
      <c r="G39" s="38">
        <f t="shared" si="1"/>
        <v>0</v>
      </c>
      <c r="H39" s="53"/>
      <c r="I39" s="38">
        <f t="shared" si="16"/>
        <v>0</v>
      </c>
      <c r="J39" s="38">
        <f t="shared" si="3"/>
        <v>0</v>
      </c>
      <c r="K39" s="53"/>
      <c r="L39" s="38">
        <f t="shared" si="17"/>
        <v>0</v>
      </c>
      <c r="M39" s="8">
        <f t="shared" si="18"/>
        <v>0</v>
      </c>
      <c r="N39" s="37"/>
      <c r="O39" s="38">
        <f t="shared" si="19"/>
        <v>0</v>
      </c>
      <c r="P39" s="38">
        <f t="shared" si="5"/>
        <v>0</v>
      </c>
      <c r="Q39" s="37"/>
      <c r="R39" s="38">
        <f t="shared" si="6"/>
        <v>0</v>
      </c>
      <c r="S39" s="54"/>
      <c r="T39" s="67">
        <f t="shared" si="8"/>
        <v>0</v>
      </c>
      <c r="U39" s="67">
        <f t="shared" si="9"/>
        <v>0</v>
      </c>
      <c r="V39" s="56"/>
      <c r="W39" s="53"/>
      <c r="X39" s="53"/>
      <c r="Y39" s="53"/>
      <c r="Z39" s="53"/>
      <c r="AA39" s="36">
        <f t="shared" si="20"/>
        <v>0</v>
      </c>
      <c r="AB39" s="57"/>
      <c r="AC39" s="53"/>
      <c r="AD39" s="147"/>
      <c r="AE39" s="53"/>
      <c r="AF39" s="36">
        <f t="shared" si="10"/>
        <v>0</v>
      </c>
      <c r="AG39" s="57"/>
      <c r="AH39" s="53"/>
      <c r="AI39" s="53"/>
      <c r="AJ39" s="53"/>
      <c r="AK39" s="53"/>
      <c r="AL39" s="53"/>
      <c r="AM39" s="53"/>
      <c r="AN39" s="55"/>
      <c r="AO39" s="86"/>
      <c r="AP39" s="85"/>
      <c r="AQ39" s="85"/>
      <c r="AR39" s="85"/>
      <c r="AS39" s="58"/>
      <c r="AT39" s="131"/>
      <c r="AU39" s="139"/>
      <c r="AV39" s="129"/>
      <c r="AW39" s="60"/>
      <c r="AX39" s="79"/>
      <c r="AY39" s="79"/>
      <c r="AZ39" s="79" t="b">
        <f t="shared" si="11"/>
        <v>0</v>
      </c>
      <c r="BA39" s="79" t="b">
        <f t="shared" si="12"/>
        <v>0</v>
      </c>
      <c r="BC39" s="60"/>
    </row>
    <row r="40" spans="2:55" x14ac:dyDescent="0.3">
      <c r="B40" s="41" t="s">
        <v>53</v>
      </c>
      <c r="C40" s="144"/>
      <c r="E40" s="37"/>
      <c r="F40" s="38">
        <f t="shared" si="15"/>
        <v>0</v>
      </c>
      <c r="G40" s="38">
        <f t="shared" si="1"/>
        <v>0</v>
      </c>
      <c r="H40" s="37"/>
      <c r="I40" s="38">
        <f t="shared" si="16"/>
        <v>0</v>
      </c>
      <c r="J40" s="38">
        <f t="shared" si="3"/>
        <v>0</v>
      </c>
      <c r="K40" s="37"/>
      <c r="L40" s="38">
        <f t="shared" si="17"/>
        <v>0</v>
      </c>
      <c r="M40" s="8">
        <f t="shared" si="18"/>
        <v>0</v>
      </c>
      <c r="N40" s="37"/>
      <c r="O40" s="38">
        <f t="shared" si="19"/>
        <v>0</v>
      </c>
      <c r="P40" s="38">
        <f t="shared" si="5"/>
        <v>0</v>
      </c>
      <c r="Q40" s="37"/>
      <c r="R40" s="38">
        <f t="shared" si="6"/>
        <v>0</v>
      </c>
      <c r="S40" s="38">
        <f>IF(R40&gt;0,1,0)</f>
        <v>0</v>
      </c>
      <c r="T40" s="67">
        <f t="shared" si="8"/>
        <v>0</v>
      </c>
      <c r="U40" s="67">
        <f t="shared" si="9"/>
        <v>0</v>
      </c>
      <c r="V40" s="14"/>
      <c r="W40" s="37"/>
      <c r="X40" s="37"/>
      <c r="Y40" s="37"/>
      <c r="Z40" s="37"/>
      <c r="AA40" s="36">
        <f t="shared" si="20"/>
        <v>0</v>
      </c>
      <c r="AB40" s="9"/>
      <c r="AC40" s="37"/>
      <c r="AD40" s="76"/>
      <c r="AE40" s="37"/>
      <c r="AF40" s="36">
        <f t="shared" si="10"/>
        <v>0</v>
      </c>
      <c r="AG40" s="9"/>
      <c r="AH40" s="37"/>
      <c r="AI40" s="37"/>
      <c r="AJ40" s="37"/>
      <c r="AK40" s="37"/>
      <c r="AL40" s="37"/>
      <c r="AM40" s="37"/>
      <c r="AN40" s="36">
        <f>IF(AH40="X",1)+IF(AI40="X",2)+IF(AJ40="X",3)+IF(AK40="X",4)+IF(AL40="X",5)+IF(AM40="X",6)</f>
        <v>0</v>
      </c>
      <c r="AO40" s="75"/>
      <c r="AP40" s="67">
        <f>AA40+AF40+AN40</f>
        <v>0</v>
      </c>
      <c r="AQ40" s="67">
        <f>(AP40+U40)/2</f>
        <v>0</v>
      </c>
      <c r="AR40" s="67">
        <f>IF(AS40="",0,10)</f>
        <v>0</v>
      </c>
      <c r="AS40" s="39" t="str">
        <f>IF(AX40=TRUE,"Desprezível",IF(AY40=TRUE,"Administrável",IF(AZ40=TRUE,"Indesejável",IF(BA40=TRUE,"Intolerável",""))))</f>
        <v/>
      </c>
      <c r="AT40" s="131"/>
      <c r="AU40" s="139"/>
      <c r="AX40" s="79" t="b">
        <f t="shared" si="13"/>
        <v>0</v>
      </c>
      <c r="AY40" s="79" t="b">
        <f t="shared" si="14"/>
        <v>0</v>
      </c>
      <c r="AZ40" s="79" t="b">
        <f t="shared" si="11"/>
        <v>0</v>
      </c>
      <c r="BA40" s="79" t="b">
        <f t="shared" si="12"/>
        <v>0</v>
      </c>
    </row>
    <row r="41" spans="2:55" ht="3.75" customHeight="1" x14ac:dyDescent="0.3">
      <c r="C41" s="148"/>
      <c r="F41" s="38">
        <f t="shared" si="15"/>
        <v>0</v>
      </c>
      <c r="G41" s="38">
        <f t="shared" si="1"/>
        <v>0</v>
      </c>
      <c r="I41" s="38">
        <f t="shared" si="16"/>
        <v>0</v>
      </c>
      <c r="J41" s="38">
        <f t="shared" si="3"/>
        <v>0</v>
      </c>
      <c r="L41" s="38">
        <f t="shared" si="17"/>
        <v>0</v>
      </c>
      <c r="M41" s="8">
        <f t="shared" si="18"/>
        <v>0</v>
      </c>
      <c r="N41" s="37"/>
      <c r="O41" s="38">
        <f t="shared" si="19"/>
        <v>0</v>
      </c>
      <c r="P41" s="38">
        <f t="shared" si="5"/>
        <v>0</v>
      </c>
      <c r="Q41" s="37"/>
      <c r="R41" s="38">
        <f t="shared" si="6"/>
        <v>0</v>
      </c>
      <c r="T41" s="67">
        <f t="shared" si="8"/>
        <v>0</v>
      </c>
      <c r="U41" s="67">
        <f t="shared" si="9"/>
        <v>0</v>
      </c>
      <c r="AA41" s="36">
        <f t="shared" si="20"/>
        <v>0</v>
      </c>
      <c r="AE41" s="77"/>
      <c r="AF41" s="36">
        <f t="shared" si="10"/>
        <v>0</v>
      </c>
      <c r="AS41" s="135"/>
      <c r="AU41" s="139"/>
      <c r="AX41" s="79"/>
      <c r="AY41" s="79"/>
      <c r="AZ41" s="79" t="b">
        <f t="shared" si="11"/>
        <v>0</v>
      </c>
      <c r="BA41" s="79" t="b">
        <f t="shared" si="12"/>
        <v>0</v>
      </c>
    </row>
    <row r="42" spans="2:55" x14ac:dyDescent="0.3">
      <c r="B42" s="41" t="s">
        <v>54</v>
      </c>
      <c r="C42" s="144"/>
      <c r="E42" s="37"/>
      <c r="F42" s="38">
        <f t="shared" si="15"/>
        <v>0</v>
      </c>
      <c r="G42" s="38">
        <f t="shared" si="1"/>
        <v>0</v>
      </c>
      <c r="H42" s="37"/>
      <c r="I42" s="38">
        <f t="shared" si="16"/>
        <v>0</v>
      </c>
      <c r="J42" s="38">
        <f t="shared" si="3"/>
        <v>0</v>
      </c>
      <c r="K42" s="37"/>
      <c r="L42" s="38">
        <f t="shared" si="17"/>
        <v>0</v>
      </c>
      <c r="M42" s="8">
        <f t="shared" si="18"/>
        <v>0</v>
      </c>
      <c r="N42" s="37"/>
      <c r="O42" s="38">
        <f t="shared" si="19"/>
        <v>0</v>
      </c>
      <c r="P42" s="38">
        <f t="shared" si="5"/>
        <v>0</v>
      </c>
      <c r="Q42" s="37"/>
      <c r="R42" s="38">
        <f t="shared" si="6"/>
        <v>0</v>
      </c>
      <c r="S42" s="38">
        <f>IF(R42&gt;0,1,0)</f>
        <v>0</v>
      </c>
      <c r="T42" s="67">
        <f t="shared" si="8"/>
        <v>0</v>
      </c>
      <c r="U42" s="67">
        <f t="shared" si="9"/>
        <v>0</v>
      </c>
      <c r="V42" s="14"/>
      <c r="W42" s="37"/>
      <c r="X42" s="37"/>
      <c r="Y42" s="37"/>
      <c r="Z42" s="37"/>
      <c r="AA42" s="36">
        <f t="shared" si="20"/>
        <v>0</v>
      </c>
      <c r="AB42" s="9"/>
      <c r="AC42" s="37"/>
      <c r="AD42" s="76"/>
      <c r="AE42" s="37"/>
      <c r="AF42" s="36">
        <f t="shared" si="10"/>
        <v>0</v>
      </c>
      <c r="AG42" s="9"/>
      <c r="AH42" s="37"/>
      <c r="AI42" s="37"/>
      <c r="AJ42" s="37"/>
      <c r="AK42" s="37"/>
      <c r="AL42" s="37"/>
      <c r="AM42" s="37"/>
      <c r="AN42" s="36">
        <f>IF(AH42="X",1)+IF(AI42="X",2)+IF(AJ42="X",3)+IF(AK42="X",4)+IF(AL42="X",5)+IF(AM42="X",6)</f>
        <v>0</v>
      </c>
      <c r="AO42" s="75"/>
      <c r="AP42" s="67">
        <f>AA42+AF42+AN42</f>
        <v>0</v>
      </c>
      <c r="AQ42" s="67">
        <f>(AP42+U42)/2</f>
        <v>0</v>
      </c>
      <c r="AR42" s="67">
        <f>IF(AS42="",0,10)</f>
        <v>0</v>
      </c>
      <c r="AS42" s="39" t="str">
        <f>IF(AX42=TRUE,"Desprezível",IF(AY42=TRUE,"Administrável",IF(AZ42=TRUE,"Indesejável",IF(BA42=TRUE,"Intolerável",""))))</f>
        <v/>
      </c>
      <c r="AT42" s="131"/>
      <c r="AU42" s="139"/>
      <c r="AX42" s="79" t="b">
        <f t="shared" si="13"/>
        <v>0</v>
      </c>
      <c r="AY42" s="79" t="b">
        <f t="shared" si="14"/>
        <v>0</v>
      </c>
      <c r="AZ42" s="79" t="b">
        <f t="shared" si="11"/>
        <v>0</v>
      </c>
      <c r="BA42" s="79" t="b">
        <f t="shared" si="12"/>
        <v>0</v>
      </c>
    </row>
    <row r="43" spans="2:55" ht="3.75" customHeight="1" x14ac:dyDescent="0.3">
      <c r="C43" s="148"/>
      <c r="F43" s="38">
        <f t="shared" si="15"/>
        <v>0</v>
      </c>
      <c r="G43" s="38">
        <f t="shared" si="1"/>
        <v>0</v>
      </c>
      <c r="I43" s="38">
        <f t="shared" si="16"/>
        <v>0</v>
      </c>
      <c r="J43" s="38">
        <f t="shared" si="3"/>
        <v>0</v>
      </c>
      <c r="L43" s="38">
        <f t="shared" si="17"/>
        <v>0</v>
      </c>
      <c r="M43" s="8">
        <f t="shared" si="18"/>
        <v>0</v>
      </c>
      <c r="N43" s="37"/>
      <c r="O43" s="38">
        <f t="shared" si="19"/>
        <v>0</v>
      </c>
      <c r="P43" s="38">
        <f t="shared" si="5"/>
        <v>0</v>
      </c>
      <c r="Q43" s="37"/>
      <c r="R43" s="38">
        <f t="shared" si="6"/>
        <v>0</v>
      </c>
      <c r="T43" s="67">
        <f t="shared" si="8"/>
        <v>0</v>
      </c>
      <c r="U43" s="67">
        <f t="shared" si="9"/>
        <v>0</v>
      </c>
      <c r="AA43" s="36">
        <f t="shared" si="20"/>
        <v>0</v>
      </c>
      <c r="AE43" s="77"/>
      <c r="AF43" s="36">
        <f t="shared" si="10"/>
        <v>0</v>
      </c>
      <c r="AS43" s="135"/>
      <c r="AU43" s="139"/>
      <c r="AX43" s="79"/>
      <c r="AY43" s="79"/>
      <c r="AZ43" s="79" t="b">
        <f t="shared" si="11"/>
        <v>0</v>
      </c>
      <c r="BA43" s="79" t="b">
        <f t="shared" si="12"/>
        <v>0</v>
      </c>
    </row>
    <row r="44" spans="2:55" x14ac:dyDescent="0.3">
      <c r="B44" s="41" t="s">
        <v>55</v>
      </c>
      <c r="C44" s="144"/>
      <c r="E44" s="37"/>
      <c r="F44" s="38">
        <f t="shared" si="15"/>
        <v>0</v>
      </c>
      <c r="G44" s="38">
        <f t="shared" si="1"/>
        <v>0</v>
      </c>
      <c r="H44" s="37"/>
      <c r="I44" s="38">
        <f t="shared" si="16"/>
        <v>0</v>
      </c>
      <c r="J44" s="38">
        <f t="shared" si="3"/>
        <v>0</v>
      </c>
      <c r="K44" s="37"/>
      <c r="L44" s="38">
        <f t="shared" si="17"/>
        <v>0</v>
      </c>
      <c r="M44" s="8">
        <f t="shared" si="18"/>
        <v>0</v>
      </c>
      <c r="N44" s="37"/>
      <c r="O44" s="38">
        <f t="shared" si="19"/>
        <v>0</v>
      </c>
      <c r="P44" s="38">
        <f t="shared" si="5"/>
        <v>0</v>
      </c>
      <c r="Q44" s="37"/>
      <c r="R44" s="38">
        <f t="shared" si="6"/>
        <v>0</v>
      </c>
      <c r="S44" s="38">
        <f>IF(R44&gt;0,1,0)</f>
        <v>0</v>
      </c>
      <c r="T44" s="67">
        <f t="shared" si="8"/>
        <v>0</v>
      </c>
      <c r="U44" s="67">
        <f t="shared" si="9"/>
        <v>0</v>
      </c>
      <c r="V44" s="14"/>
      <c r="W44" s="37"/>
      <c r="X44" s="37"/>
      <c r="Y44" s="37"/>
      <c r="Z44" s="37"/>
      <c r="AA44" s="36">
        <f t="shared" si="20"/>
        <v>0</v>
      </c>
      <c r="AB44" s="9"/>
      <c r="AC44" s="37"/>
      <c r="AD44" s="76"/>
      <c r="AE44" s="37"/>
      <c r="AF44" s="36">
        <f t="shared" si="10"/>
        <v>0</v>
      </c>
      <c r="AG44" s="9"/>
      <c r="AH44" s="37"/>
      <c r="AI44" s="37"/>
      <c r="AJ44" s="37"/>
      <c r="AK44" s="37"/>
      <c r="AL44" s="37"/>
      <c r="AM44" s="37"/>
      <c r="AN44" s="36">
        <f>IF(AH44="X",1)+IF(AI44="X",2)+IF(AJ44="X",3)+IF(AK44="X",4)+IF(AL44="X",5)+IF(AM44="X",6)</f>
        <v>0</v>
      </c>
      <c r="AO44" s="75"/>
      <c r="AP44" s="67">
        <f>AA44+AF44+AN44</f>
        <v>0</v>
      </c>
      <c r="AQ44" s="67">
        <f>(AP44+U44)/2</f>
        <v>0</v>
      </c>
      <c r="AR44" s="67">
        <f>IF(AS44="",0,10)</f>
        <v>0</v>
      </c>
      <c r="AS44" s="39" t="str">
        <f>IF(AX44=TRUE,"Desprezível",IF(AY44=TRUE,"Administrável",IF(AZ44=TRUE,"Indesejável",IF(BA44=TRUE,"Intolerável",""))))</f>
        <v/>
      </c>
      <c r="AT44" s="131"/>
      <c r="AU44" s="139"/>
      <c r="AX44" s="79" t="b">
        <f t="shared" si="13"/>
        <v>0</v>
      </c>
      <c r="AY44" s="79" t="b">
        <f t="shared" si="14"/>
        <v>0</v>
      </c>
      <c r="AZ44" s="79" t="b">
        <f t="shared" si="11"/>
        <v>0</v>
      </c>
      <c r="BA44" s="79" t="b">
        <f t="shared" si="12"/>
        <v>0</v>
      </c>
    </row>
    <row r="45" spans="2:55" ht="3.75" customHeight="1" x14ac:dyDescent="0.3">
      <c r="C45" s="148"/>
      <c r="F45" s="38">
        <f t="shared" si="15"/>
        <v>0</v>
      </c>
      <c r="G45" s="38">
        <f t="shared" si="1"/>
        <v>0</v>
      </c>
      <c r="I45" s="38">
        <f t="shared" si="16"/>
        <v>0</v>
      </c>
      <c r="J45" s="38">
        <f t="shared" si="3"/>
        <v>0</v>
      </c>
      <c r="L45" s="38">
        <f t="shared" si="17"/>
        <v>0</v>
      </c>
      <c r="M45" s="8">
        <f t="shared" si="18"/>
        <v>0</v>
      </c>
      <c r="N45" s="37"/>
      <c r="O45" s="38">
        <f t="shared" si="19"/>
        <v>0</v>
      </c>
      <c r="P45" s="38">
        <f t="shared" si="5"/>
        <v>0</v>
      </c>
      <c r="Q45" s="37"/>
      <c r="R45" s="38">
        <f t="shared" si="6"/>
        <v>0</v>
      </c>
      <c r="T45" s="67">
        <f t="shared" si="8"/>
        <v>0</v>
      </c>
      <c r="U45" s="67">
        <f t="shared" si="9"/>
        <v>0</v>
      </c>
      <c r="AA45" s="36">
        <f t="shared" si="20"/>
        <v>0</v>
      </c>
      <c r="AE45" s="77"/>
      <c r="AF45" s="36">
        <f t="shared" si="10"/>
        <v>0</v>
      </c>
      <c r="AS45" s="135"/>
      <c r="AU45" s="139"/>
      <c r="AX45" s="79"/>
      <c r="AY45" s="79"/>
      <c r="AZ45" s="79" t="b">
        <f t="shared" si="11"/>
        <v>0</v>
      </c>
      <c r="BA45" s="79" t="b">
        <f t="shared" si="12"/>
        <v>0</v>
      </c>
    </row>
    <row r="46" spans="2:55" x14ac:dyDescent="0.3">
      <c r="B46" s="41" t="s">
        <v>56</v>
      </c>
      <c r="C46" s="144"/>
      <c r="E46" s="37"/>
      <c r="F46" s="38">
        <f t="shared" si="15"/>
        <v>0</v>
      </c>
      <c r="G46" s="38">
        <f t="shared" si="1"/>
        <v>0</v>
      </c>
      <c r="H46" s="37"/>
      <c r="I46" s="38">
        <f t="shared" si="16"/>
        <v>0</v>
      </c>
      <c r="J46" s="38">
        <f t="shared" si="3"/>
        <v>0</v>
      </c>
      <c r="K46" s="37"/>
      <c r="L46" s="38">
        <f t="shared" si="17"/>
        <v>0</v>
      </c>
      <c r="M46" s="8">
        <f t="shared" si="18"/>
        <v>0</v>
      </c>
      <c r="N46" s="37"/>
      <c r="O46" s="38">
        <f t="shared" si="19"/>
        <v>0</v>
      </c>
      <c r="P46" s="38">
        <f t="shared" si="5"/>
        <v>0</v>
      </c>
      <c r="Q46" s="37"/>
      <c r="R46" s="38">
        <f t="shared" si="6"/>
        <v>0</v>
      </c>
      <c r="S46" s="38">
        <f>IF(R46&gt;0,1,0)</f>
        <v>0</v>
      </c>
      <c r="T46" s="67">
        <f t="shared" si="8"/>
        <v>0</v>
      </c>
      <c r="U46" s="67">
        <f t="shared" si="9"/>
        <v>0</v>
      </c>
      <c r="V46" s="14"/>
      <c r="W46" s="37"/>
      <c r="X46" s="37"/>
      <c r="Y46" s="37"/>
      <c r="Z46" s="37"/>
      <c r="AA46" s="36">
        <f t="shared" si="20"/>
        <v>0</v>
      </c>
      <c r="AB46" s="9"/>
      <c r="AC46" s="37"/>
      <c r="AD46" s="76"/>
      <c r="AE46" s="37"/>
      <c r="AF46" s="36">
        <f t="shared" si="10"/>
        <v>0</v>
      </c>
      <c r="AG46" s="9"/>
      <c r="AH46" s="37"/>
      <c r="AI46" s="37"/>
      <c r="AJ46" s="37"/>
      <c r="AK46" s="37"/>
      <c r="AL46" s="37"/>
      <c r="AM46" s="37"/>
      <c r="AN46" s="36">
        <f>IF(AH46="X",1)+IF(AI46="X",2)+IF(AJ46="X",3)+IF(AK46="X",4)+IF(AL46="X",5)+IF(AM46="X",6)</f>
        <v>0</v>
      </c>
      <c r="AO46" s="75"/>
      <c r="AP46" s="67">
        <f>AA46+AF46+AN46</f>
        <v>0</v>
      </c>
      <c r="AQ46" s="67">
        <f>(AP46+U46)/2</f>
        <v>0</v>
      </c>
      <c r="AR46" s="67">
        <f>IF(AS46="",0,10)</f>
        <v>0</v>
      </c>
      <c r="AS46" s="39" t="str">
        <f>IF(AX46=TRUE,"Desprezível",IF(AY46=TRUE,"Administrável",IF(AZ46=TRUE,"Indesejável",IF(BA46=TRUE,"Intolerável",""))))</f>
        <v/>
      </c>
      <c r="AT46" s="131"/>
      <c r="AU46" s="139"/>
      <c r="AX46" s="79" t="b">
        <f t="shared" si="13"/>
        <v>0</v>
      </c>
      <c r="AY46" s="79" t="b">
        <f t="shared" si="14"/>
        <v>0</v>
      </c>
      <c r="AZ46" s="79" t="b">
        <f t="shared" si="11"/>
        <v>0</v>
      </c>
      <c r="BA46" s="79" t="b">
        <f t="shared" si="12"/>
        <v>0</v>
      </c>
    </row>
    <row r="47" spans="2:55" ht="3" customHeight="1" x14ac:dyDescent="0.3">
      <c r="C47" s="148"/>
      <c r="F47" s="38">
        <f t="shared" si="15"/>
        <v>0</v>
      </c>
      <c r="G47" s="38">
        <f t="shared" si="1"/>
        <v>0</v>
      </c>
      <c r="I47" s="38">
        <f t="shared" si="16"/>
        <v>0</v>
      </c>
      <c r="J47" s="38">
        <f t="shared" si="3"/>
        <v>0</v>
      </c>
      <c r="L47" s="38">
        <f t="shared" si="17"/>
        <v>0</v>
      </c>
      <c r="M47" s="8">
        <f t="shared" si="18"/>
        <v>0</v>
      </c>
      <c r="N47" s="95"/>
      <c r="O47" s="38">
        <f t="shared" si="19"/>
        <v>0</v>
      </c>
      <c r="P47" s="38">
        <f t="shared" si="5"/>
        <v>0</v>
      </c>
      <c r="Q47" s="95"/>
      <c r="R47" s="38">
        <f t="shared" si="6"/>
        <v>0</v>
      </c>
      <c r="T47" s="67">
        <f t="shared" si="8"/>
        <v>0</v>
      </c>
      <c r="U47" s="67">
        <f t="shared" si="9"/>
        <v>0</v>
      </c>
      <c r="AA47" s="36">
        <f t="shared" si="20"/>
        <v>0</v>
      </c>
      <c r="AE47" s="77"/>
      <c r="AF47" s="36">
        <f t="shared" si="10"/>
        <v>0</v>
      </c>
      <c r="AS47" s="135"/>
      <c r="AU47" s="139"/>
      <c r="AX47" s="79"/>
      <c r="AY47" s="79"/>
      <c r="AZ47" s="79" t="b">
        <f t="shared" si="11"/>
        <v>0</v>
      </c>
      <c r="BA47" s="79" t="b">
        <f t="shared" si="12"/>
        <v>0</v>
      </c>
    </row>
    <row r="48" spans="2:55" x14ac:dyDescent="0.3">
      <c r="B48" s="41" t="s">
        <v>57</v>
      </c>
      <c r="C48" s="144"/>
      <c r="E48" s="37"/>
      <c r="F48" s="38">
        <f t="shared" si="15"/>
        <v>0</v>
      </c>
      <c r="G48" s="38">
        <f t="shared" si="1"/>
        <v>0</v>
      </c>
      <c r="H48" s="37"/>
      <c r="I48" s="38">
        <f t="shared" si="16"/>
        <v>0</v>
      </c>
      <c r="J48" s="38">
        <f t="shared" si="3"/>
        <v>0</v>
      </c>
      <c r="K48" s="37"/>
      <c r="L48" s="38">
        <f t="shared" si="17"/>
        <v>0</v>
      </c>
      <c r="M48" s="8">
        <f t="shared" si="18"/>
        <v>0</v>
      </c>
      <c r="N48" s="37"/>
      <c r="O48" s="38">
        <f t="shared" si="19"/>
        <v>0</v>
      </c>
      <c r="P48" s="38">
        <f t="shared" si="5"/>
        <v>0</v>
      </c>
      <c r="Q48" s="37"/>
      <c r="R48" s="94">
        <f t="shared" si="6"/>
        <v>0</v>
      </c>
      <c r="S48" s="38">
        <f>IF(R48&gt;0,1,0)</f>
        <v>0</v>
      </c>
      <c r="T48" s="67">
        <f t="shared" si="8"/>
        <v>0</v>
      </c>
      <c r="U48" s="67">
        <f t="shared" si="9"/>
        <v>0</v>
      </c>
      <c r="V48" s="14"/>
      <c r="W48" s="37"/>
      <c r="X48" s="37"/>
      <c r="Y48" s="37"/>
      <c r="Z48" s="37"/>
      <c r="AA48" s="36">
        <f t="shared" si="20"/>
        <v>0</v>
      </c>
      <c r="AB48" s="9"/>
      <c r="AC48" s="37"/>
      <c r="AD48" s="76"/>
      <c r="AE48" s="37"/>
      <c r="AF48" s="36">
        <f t="shared" si="10"/>
        <v>0</v>
      </c>
      <c r="AG48" s="9"/>
      <c r="AH48" s="37"/>
      <c r="AI48" s="37"/>
      <c r="AJ48" s="37"/>
      <c r="AK48" s="37"/>
      <c r="AL48" s="37"/>
      <c r="AM48" s="37"/>
      <c r="AN48" s="36">
        <f>IF(AH48="X",1)+IF(AI48="X",2)+IF(AJ48="X",3)+IF(AK48="X",4)+IF(AL48="X",5)+IF(AM48="X",6)</f>
        <v>0</v>
      </c>
      <c r="AO48" s="75"/>
      <c r="AP48" s="67">
        <f>AA48+AF48+AN48</f>
        <v>0</v>
      </c>
      <c r="AQ48" s="67">
        <f>(AP48+U48)/2</f>
        <v>0</v>
      </c>
      <c r="AR48" s="67">
        <f>IF(AS48="",0,10)</f>
        <v>0</v>
      </c>
      <c r="AS48" s="39" t="str">
        <f>IF(AX48=TRUE,"Desprezível",IF(AY48=TRUE,"Administrável",IF(AZ48=TRUE,"Indesejável",IF(BA48=TRUE,"Intolerável",""))))</f>
        <v/>
      </c>
      <c r="AT48" s="131"/>
      <c r="AU48" s="139"/>
      <c r="AX48" s="79" t="b">
        <f t="shared" si="13"/>
        <v>0</v>
      </c>
      <c r="AY48" s="79" t="b">
        <f t="shared" si="14"/>
        <v>0</v>
      </c>
      <c r="AZ48" s="79" t="b">
        <f t="shared" si="11"/>
        <v>0</v>
      </c>
      <c r="BA48" s="79" t="b">
        <f t="shared" si="12"/>
        <v>0</v>
      </c>
    </row>
    <row r="49" spans="3:53" ht="3.75" customHeight="1" x14ac:dyDescent="0.3">
      <c r="C49" s="149"/>
      <c r="F49" s="38">
        <f t="shared" si="15"/>
        <v>0</v>
      </c>
      <c r="G49" s="38">
        <f t="shared" si="1"/>
        <v>0</v>
      </c>
      <c r="I49" s="38">
        <f t="shared" si="16"/>
        <v>0</v>
      </c>
      <c r="J49" s="38">
        <f t="shared" si="3"/>
        <v>0</v>
      </c>
      <c r="L49" s="38">
        <f t="shared" si="17"/>
        <v>0</v>
      </c>
      <c r="M49" s="8">
        <f t="shared" si="18"/>
        <v>0</v>
      </c>
      <c r="N49" s="21"/>
      <c r="O49" s="38">
        <f t="shared" si="19"/>
        <v>0</v>
      </c>
      <c r="P49" s="38">
        <f t="shared" si="5"/>
        <v>0</v>
      </c>
      <c r="Q49" s="21"/>
      <c r="R49" s="94">
        <f t="shared" si="6"/>
        <v>0</v>
      </c>
      <c r="T49" s="67">
        <f t="shared" si="8"/>
        <v>0</v>
      </c>
      <c r="U49" s="67">
        <f t="shared" si="9"/>
        <v>0</v>
      </c>
      <c r="AE49" s="77"/>
      <c r="AF49" s="36">
        <f t="shared" si="10"/>
        <v>0</v>
      </c>
      <c r="AX49" s="79"/>
      <c r="AY49" s="79"/>
      <c r="AZ49" s="79" t="b">
        <f t="shared" si="11"/>
        <v>0</v>
      </c>
      <c r="BA49" s="79" t="b">
        <f t="shared" si="12"/>
        <v>0</v>
      </c>
    </row>
    <row r="50" spans="3:53" x14ac:dyDescent="0.3">
      <c r="C50" s="149"/>
    </row>
    <row r="51" spans="3:53" x14ac:dyDescent="0.3">
      <c r="C51" s="149"/>
    </row>
    <row r="52" spans="3:53" x14ac:dyDescent="0.3">
      <c r="C52" s="149"/>
    </row>
  </sheetData>
  <sheetProtection selectLockedCells="1" pivotTables="0" selectUnlockedCells="1"/>
  <mergeCells count="30">
    <mergeCell ref="B1:C4"/>
    <mergeCell ref="E1:AU2"/>
    <mergeCell ref="E4:AU4"/>
    <mergeCell ref="B6:B8"/>
    <mergeCell ref="C6:C8"/>
    <mergeCell ref="E6:Q6"/>
    <mergeCell ref="W6:AM6"/>
    <mergeCell ref="AS6:AS8"/>
    <mergeCell ref="AU6:AU8"/>
    <mergeCell ref="E7:E8"/>
    <mergeCell ref="Q7:Q8"/>
    <mergeCell ref="F7:F8"/>
    <mergeCell ref="G7:G8"/>
    <mergeCell ref="H7:H8"/>
    <mergeCell ref="I7:I8"/>
    <mergeCell ref="J7:J8"/>
    <mergeCell ref="K7:K8"/>
    <mergeCell ref="L7:L8"/>
    <mergeCell ref="M7:M8"/>
    <mergeCell ref="N7:N8"/>
    <mergeCell ref="O7:O8"/>
    <mergeCell ref="P7:P8"/>
    <mergeCell ref="AH7:AM7"/>
    <mergeCell ref="AN7:AN8"/>
    <mergeCell ref="R7:R8"/>
    <mergeCell ref="S7:S8"/>
    <mergeCell ref="W7:Z7"/>
    <mergeCell ref="AA7:AA8"/>
    <mergeCell ref="AC7:AE7"/>
    <mergeCell ref="AF7:AF8"/>
  </mergeCells>
  <conditionalFormatting sqref="AS5:AU5">
    <cfRule type="cellIs" dxfId="67" priority="73" operator="equal">
      <formula>"Desprezível"</formula>
    </cfRule>
    <cfRule type="cellIs" dxfId="66" priority="74" operator="equal">
      <formula>"Intolerável"</formula>
    </cfRule>
    <cfRule type="cellIs" dxfId="65" priority="75" operator="equal">
      <formula>"Indesejável"</formula>
    </cfRule>
    <cfRule type="cellIs" dxfId="64" priority="76" operator="equal">
      <formula>"Administrável"</formula>
    </cfRule>
  </conditionalFormatting>
  <conditionalFormatting sqref="AS9:AU1048576">
    <cfRule type="cellIs" dxfId="63" priority="5" operator="equal">
      <formula>"Desprezível"</formula>
    </cfRule>
    <cfRule type="cellIs" dxfId="62" priority="6" operator="equal">
      <formula>"Intolerável"</formula>
    </cfRule>
    <cfRule type="cellIs" dxfId="61" priority="7" operator="equal">
      <formula>"Indesejável"</formula>
    </cfRule>
    <cfRule type="cellIs" dxfId="60" priority="8" operator="equal">
      <formula>"Administrável"</formula>
    </cfRule>
  </conditionalFormatting>
  <conditionalFormatting sqref="AV3">
    <cfRule type="cellIs" dxfId="59" priority="1" operator="equal">
      <formula>"Desprezível"</formula>
    </cfRule>
    <cfRule type="cellIs" dxfId="58" priority="2" operator="equal">
      <formula>"Intolerável"</formula>
    </cfRule>
    <cfRule type="cellIs" dxfId="57" priority="3" operator="equal">
      <formula>"Indesejável"</formula>
    </cfRule>
    <cfRule type="cellIs" dxfId="56" priority="4" operator="equal">
      <formula>"Administrável"</formula>
    </cfRule>
  </conditionalFormatting>
  <dataValidations count="5">
    <dataValidation type="list" allowBlank="1" showInputMessage="1" showErrorMessage="1" sqref="AU10:AU48" xr:uid="{419CB1E8-E0F0-4263-8FFB-8CA9F8368F52}">
      <formula1>Estratégias</formula1>
    </dataValidation>
    <dataValidation type="list" allowBlank="1" showInputMessage="1" showErrorMessage="1" sqref="H26 K22 N10:N49 E48 H48 E46 H46 E44 H44 E42 K20 H42 E38:E40 H38:H40 E36 H36 H32 H30 H28 E34 E32 E30 E28 H34 H24 H22 H20 H18 H16 H14 H12 H10 E26 E24 E22 E20 E18 E16 E14 E12 E10 K18 K16 K14 K10 K12 K26 K34 K32 K30 K28 K36 K38:K40 K42 K44 K46 K48 K24 Q10:Q49" xr:uid="{6D7A2806-DCD1-4863-AF39-DEF0106A9110}">
      <formula1>$BC$10:$BC$12</formula1>
    </dataValidation>
    <dataValidation type="list" allowBlank="1" showInputMessage="1" showErrorMessage="1" sqref="AH26:AM26 AC48:AE48 W48:Z48 AH48:AM48 AC46:AE46 W46:Z46 AH46:AM46 AC44:AE44 W44:Z44 AH44:AM44 AC42:AE42 W42:Z42 AH42:AM42 AC38:AE40 W38:Z40 AH38:AM40 AC36:AE36 W36:Z36 AH36:AM36 AH32:AM32 AH30:AM30 AH28:AM28 AC28:AE28 AC30:AE30 AC32:AE32 AC34:AE34 W34:Z34 W32:Z32 W30:Z30 W28:Z28 AH34:AM34 AH24:AM24 AH22:AM22 AH20:AM20 AH18:AM18 AH16:AM16 AH14:AM14 AH12:AM12 AH10:AM10 AC10:AE10 AC12:AE12 AC14:AE14 AC16:AE16 AC18:AE18 AC20:AE20 AC22:AE22 AC24:AE24 AC26:AE26 W10:Z10 W26:Z26 W24:Z24 W22:Z22 W20:Z20 W18:Z18 W16:Z16 W14:Z14 W12:Z12" xr:uid="{5536B415-40A5-413A-B021-54314542E307}">
      <formula1>$BC$16</formula1>
    </dataValidation>
    <dataValidation allowBlank="1" showErrorMessage="1" sqref="AS6:AU6" xr:uid="{ED678329-5EB6-4DD3-8246-7E7AF84A8CD2}"/>
    <dataValidation type="list" allowBlank="1" showInputMessage="1" showErrorMessage="1" sqref="AS9:AU9 AS11:AT11 AS37:AT37 AS35:AT35 AS31:AT31 AS29:AT29 AS33:AT33 AS27:AT27 AS23:AT23 AS21:AT21 AS19:AT19 AS17:AT17 AS15:AT15 AS13:AT13 AS25:AT25" xr:uid="{1E8DB0AC-B942-4453-BCE5-C32F14617B11}">
      <formula1>$BD$12:$BD$18</formula1>
    </dataValidation>
  </dataValidations>
  <pageMargins left="0" right="0" top="0" bottom="0" header="0" footer="0"/>
  <pageSetup paperSize="9" scale="73"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6BA8-3E55-4569-975A-5177B01C2410}">
  <dimension ref="B2:K92"/>
  <sheetViews>
    <sheetView showGridLines="0" zoomScale="90" zoomScaleNormal="90" workbookViewId="0">
      <pane xSplit="6" ySplit="9" topLeftCell="G43" activePane="bottomRight" state="frozen"/>
      <selection pane="topRight" activeCell="G1" sqref="G1"/>
      <selection pane="bottomLeft" activeCell="A10" sqref="A10"/>
      <selection pane="bottomRight" activeCell="K15" sqref="K15"/>
    </sheetView>
  </sheetViews>
  <sheetFormatPr defaultColWidth="9.109375" defaultRowHeight="13.8" x14ac:dyDescent="0.3"/>
  <cols>
    <col min="1" max="1" width="1.88671875" style="1" customWidth="1"/>
    <col min="2" max="2" width="9.88671875" style="1" bestFit="1" customWidth="1"/>
    <col min="3" max="3" width="39.5546875" style="2" customWidth="1"/>
    <col min="4" max="4" width="0.5546875" style="2" customWidth="1"/>
    <col min="5" max="5" width="15.88671875" style="1" customWidth="1"/>
    <col min="6" max="6" width="0.5546875" style="2" customWidth="1"/>
    <col min="7" max="7" width="17.6640625" style="2" customWidth="1"/>
    <col min="8" max="8" width="0.5546875" style="2" customWidth="1"/>
    <col min="9" max="9" width="17.6640625" style="2" customWidth="1"/>
    <col min="10" max="10" width="0.5546875" style="2" customWidth="1"/>
    <col min="11" max="11" width="85.6640625" style="2" customWidth="1"/>
    <col min="12" max="16384" width="9.109375" style="1"/>
  </cols>
  <sheetData>
    <row r="2" spans="2:11" ht="20.25" customHeight="1" x14ac:dyDescent="0.3">
      <c r="B2" s="240" t="s">
        <v>94</v>
      </c>
      <c r="C2" s="240"/>
      <c r="D2" s="240"/>
      <c r="E2" s="240"/>
      <c r="F2" s="240"/>
      <c r="G2" s="240"/>
      <c r="H2" s="240"/>
      <c r="I2" s="240"/>
      <c r="J2" s="240"/>
      <c r="K2" s="240"/>
    </row>
    <row r="3" spans="2:11" ht="3" customHeight="1" x14ac:dyDescent="0.3">
      <c r="B3" s="240"/>
      <c r="C3" s="240"/>
      <c r="D3" s="240"/>
      <c r="E3" s="240"/>
      <c r="F3" s="240"/>
      <c r="G3" s="240"/>
      <c r="H3" s="240"/>
      <c r="I3" s="240"/>
      <c r="J3" s="240"/>
      <c r="K3" s="240"/>
    </row>
    <row r="4" spans="2:11" ht="20.25" customHeight="1" x14ac:dyDescent="0.3">
      <c r="B4" s="240"/>
      <c r="C4" s="240"/>
      <c r="D4" s="240"/>
      <c r="E4" s="240"/>
      <c r="F4" s="240"/>
      <c r="G4" s="240"/>
      <c r="H4" s="240"/>
      <c r="I4" s="240"/>
      <c r="J4" s="240"/>
      <c r="K4" s="240"/>
    </row>
    <row r="5" spans="2:11" ht="3" customHeight="1" thickBot="1" x14ac:dyDescent="0.35"/>
    <row r="6" spans="2:11" ht="27" customHeight="1" x14ac:dyDescent="0.3">
      <c r="B6" s="42"/>
      <c r="C6" s="241" t="s">
        <v>45</v>
      </c>
      <c r="D6" s="4"/>
      <c r="E6" s="244" t="s">
        <v>1</v>
      </c>
      <c r="F6" s="4"/>
      <c r="G6" s="247"/>
      <c r="H6" s="248"/>
      <c r="I6" s="248"/>
      <c r="J6" s="248"/>
      <c r="K6" s="249"/>
    </row>
    <row r="7" spans="2:11" ht="16.5" customHeight="1" x14ac:dyDescent="0.3">
      <c r="B7" s="43" t="s">
        <v>0</v>
      </c>
      <c r="C7" s="242"/>
      <c r="D7" s="4"/>
      <c r="E7" s="245"/>
      <c r="F7" s="4"/>
      <c r="G7" s="250" t="s">
        <v>46</v>
      </c>
      <c r="H7" s="4"/>
      <c r="I7" s="250" t="s">
        <v>34</v>
      </c>
      <c r="J7" s="4"/>
      <c r="K7" s="252" t="s">
        <v>33</v>
      </c>
    </row>
    <row r="8" spans="2:11" ht="23.1" customHeight="1" thickBot="1" x14ac:dyDescent="0.35">
      <c r="B8" s="44"/>
      <c r="C8" s="243"/>
      <c r="D8" s="4"/>
      <c r="E8" s="246"/>
      <c r="F8" s="4"/>
      <c r="G8" s="251"/>
      <c r="H8" s="4"/>
      <c r="I8" s="251"/>
      <c r="J8" s="4"/>
      <c r="K8" s="253"/>
    </row>
    <row r="9" spans="2:11" ht="3" customHeight="1" x14ac:dyDescent="0.3">
      <c r="B9" s="5"/>
      <c r="C9" s="6"/>
    </row>
    <row r="10" spans="2:11" x14ac:dyDescent="0.3">
      <c r="B10" s="232" t="str">
        <f>'[1]Riscos-CANTU'!B10</f>
        <v>1.</v>
      </c>
      <c r="C10" s="233" t="str">
        <f>'[1]Riscos-CANTU'!C10</f>
        <v>Comercial - Vacância</v>
      </c>
      <c r="E10" s="237" t="str">
        <f>'[1]Riscos-CANTU'!AS10</f>
        <v>Administrável</v>
      </c>
      <c r="G10" s="40"/>
      <c r="H10" s="18"/>
      <c r="I10" s="62"/>
      <c r="J10" s="18"/>
      <c r="K10" s="40" t="s">
        <v>105</v>
      </c>
    </row>
    <row r="11" spans="2:11" ht="14.25" customHeight="1" x14ac:dyDescent="0.3">
      <c r="B11" s="232"/>
      <c r="C11" s="233"/>
      <c r="E11" s="238"/>
      <c r="G11" s="40"/>
      <c r="H11" s="18"/>
      <c r="I11" s="150" t="s">
        <v>106</v>
      </c>
      <c r="J11" s="18"/>
      <c r="K11" s="40" t="s">
        <v>107</v>
      </c>
    </row>
    <row r="12" spans="2:11" ht="14.25" customHeight="1" x14ac:dyDescent="0.3">
      <c r="B12" s="232"/>
      <c r="C12" s="234"/>
      <c r="E12" s="239"/>
      <c r="G12" s="40"/>
      <c r="H12" s="18"/>
      <c r="I12" s="61"/>
      <c r="J12" s="18"/>
      <c r="K12" s="40" t="s">
        <v>108</v>
      </c>
    </row>
    <row r="13" spans="2:11" ht="3" customHeight="1" x14ac:dyDescent="0.3">
      <c r="C13" s="16"/>
      <c r="E13" s="15"/>
      <c r="G13" s="17"/>
      <c r="H13" s="18"/>
      <c r="I13" s="63"/>
      <c r="J13" s="18"/>
      <c r="K13" s="17"/>
    </row>
    <row r="14" spans="2:11" x14ac:dyDescent="0.3">
      <c r="B14" s="232" t="str">
        <f>'[1]Riscos-CANTU'!B12</f>
        <v>2.</v>
      </c>
      <c r="C14" s="233" t="str">
        <f>'[1]Riscos-CANTU'!C12</f>
        <v xml:space="preserve">Eventos de Sinistros em Imóveis </v>
      </c>
      <c r="E14" s="237" t="str">
        <f>'[1]Riscos-CANTU'!AS12</f>
        <v>Administrável</v>
      </c>
      <c r="G14" s="40"/>
      <c r="H14" s="18"/>
      <c r="I14" s="40"/>
      <c r="J14" s="18"/>
      <c r="K14" s="40" t="s">
        <v>109</v>
      </c>
    </row>
    <row r="15" spans="2:11" ht="14.25" customHeight="1" x14ac:dyDescent="0.3">
      <c r="B15" s="232"/>
      <c r="C15" s="233"/>
      <c r="E15" s="238"/>
      <c r="G15" s="40"/>
      <c r="H15" s="18"/>
      <c r="I15" s="150" t="s">
        <v>106</v>
      </c>
      <c r="J15" s="18"/>
      <c r="K15" s="40" t="s">
        <v>110</v>
      </c>
    </row>
    <row r="16" spans="2:11" ht="14.25" customHeight="1" x14ac:dyDescent="0.3">
      <c r="B16" s="232"/>
      <c r="C16" s="234"/>
      <c r="E16" s="239"/>
      <c r="G16" s="40"/>
      <c r="H16" s="18"/>
      <c r="I16" s="61"/>
      <c r="J16" s="18"/>
      <c r="K16" s="40"/>
    </row>
    <row r="17" spans="2:11" ht="3" customHeight="1" x14ac:dyDescent="0.3">
      <c r="C17" s="16"/>
      <c r="E17" s="15"/>
      <c r="G17" s="17"/>
      <c r="H17" s="18"/>
      <c r="I17" s="63"/>
      <c r="J17" s="18"/>
      <c r="K17" s="17"/>
    </row>
    <row r="18" spans="2:11" x14ac:dyDescent="0.3">
      <c r="B18" s="232" t="str">
        <f>'[1]Riscos-CANTU'!B14</f>
        <v>3.</v>
      </c>
      <c r="C18" s="233" t="str">
        <f>'[1]Riscos-CANTU'!C14</f>
        <v>Novos Negócios - Aquisição de Imóveis</v>
      </c>
      <c r="E18" s="237" t="str">
        <f>'[1]Riscos-CANTU'!AS14</f>
        <v>Administrável</v>
      </c>
      <c r="G18" s="40"/>
      <c r="H18" s="18"/>
      <c r="I18" s="40"/>
      <c r="J18" s="18"/>
      <c r="K18" s="40" t="s">
        <v>111</v>
      </c>
    </row>
    <row r="19" spans="2:11" ht="14.25" customHeight="1" x14ac:dyDescent="0.3">
      <c r="B19" s="232"/>
      <c r="C19" s="233"/>
      <c r="E19" s="238"/>
      <c r="G19" s="40"/>
      <c r="H19" s="18"/>
      <c r="I19" s="142" t="s">
        <v>112</v>
      </c>
      <c r="J19" s="18"/>
      <c r="K19" s="40" t="s">
        <v>113</v>
      </c>
    </row>
    <row r="20" spans="2:11" ht="14.25" customHeight="1" x14ac:dyDescent="0.3">
      <c r="B20" s="232"/>
      <c r="C20" s="234"/>
      <c r="E20" s="239"/>
      <c r="G20" s="40"/>
      <c r="H20" s="18"/>
      <c r="I20" s="61"/>
      <c r="J20" s="18"/>
      <c r="K20" s="40"/>
    </row>
    <row r="21" spans="2:11" ht="3" customHeight="1" x14ac:dyDescent="0.3">
      <c r="C21" s="16"/>
      <c r="E21" s="15"/>
      <c r="G21" s="17"/>
      <c r="H21" s="18"/>
      <c r="I21" s="17"/>
      <c r="J21" s="18"/>
      <c r="K21" s="17"/>
    </row>
    <row r="22" spans="2:11" x14ac:dyDescent="0.3">
      <c r="B22" s="232" t="str">
        <f>'[1]Riscos-CANTU'!B16</f>
        <v>4.</v>
      </c>
      <c r="C22" s="233" t="str">
        <f>'[1]Riscos-CANTU'!C16</f>
        <v>Novos Negócios - Definição do Produto</v>
      </c>
      <c r="E22" s="237" t="str">
        <f>'[1]Riscos-CANTU'!AS16</f>
        <v>Administrável</v>
      </c>
      <c r="G22" s="40"/>
      <c r="H22" s="18"/>
      <c r="I22" s="40"/>
      <c r="J22" s="18"/>
      <c r="K22" s="40" t="s">
        <v>114</v>
      </c>
    </row>
    <row r="23" spans="2:11" x14ac:dyDescent="0.3">
      <c r="B23" s="232"/>
      <c r="C23" s="233"/>
      <c r="E23" s="238"/>
      <c r="G23" s="40"/>
      <c r="H23" s="18"/>
      <c r="I23" s="142" t="s">
        <v>112</v>
      </c>
      <c r="J23" s="18"/>
      <c r="K23" s="40" t="s">
        <v>115</v>
      </c>
    </row>
    <row r="24" spans="2:11" x14ac:dyDescent="0.3">
      <c r="B24" s="232"/>
      <c r="C24" s="234"/>
      <c r="E24" s="239"/>
      <c r="G24" s="40"/>
      <c r="H24" s="18"/>
      <c r="I24" s="40"/>
      <c r="J24" s="18"/>
      <c r="K24" s="40" t="s">
        <v>116</v>
      </c>
    </row>
    <row r="25" spans="2:11" ht="3" customHeight="1" x14ac:dyDescent="0.3">
      <c r="C25" s="16"/>
      <c r="E25" s="15"/>
      <c r="G25" s="17"/>
      <c r="H25" s="18"/>
      <c r="I25" s="17"/>
      <c r="J25" s="18"/>
      <c r="K25" s="17"/>
    </row>
    <row r="26" spans="2:11" x14ac:dyDescent="0.3">
      <c r="B26" s="232" t="str">
        <f>'[1]Riscos-CANTU'!B18</f>
        <v>5.</v>
      </c>
      <c r="C26" s="233" t="str">
        <f>'[1]Riscos-CANTU'!C18</f>
        <v>Assistência Técnica - Conservação dos Imóveis</v>
      </c>
      <c r="E26" s="237" t="str">
        <f>'[1]Riscos-CANTU'!AS18</f>
        <v>Administrável</v>
      </c>
      <c r="G26" s="40"/>
      <c r="H26" s="18"/>
      <c r="I26" s="40"/>
      <c r="J26" s="18"/>
      <c r="K26" s="40" t="s">
        <v>117</v>
      </c>
    </row>
    <row r="27" spans="2:11" ht="14.4" x14ac:dyDescent="0.3">
      <c r="B27" s="232"/>
      <c r="C27" s="233"/>
      <c r="E27" s="238"/>
      <c r="G27" s="40"/>
      <c r="H27" s="18"/>
      <c r="I27" s="150" t="s">
        <v>106</v>
      </c>
      <c r="J27" s="18"/>
      <c r="K27" s="40" t="s">
        <v>118</v>
      </c>
    </row>
    <row r="28" spans="2:11" x14ac:dyDescent="0.3">
      <c r="B28" s="232"/>
      <c r="C28" s="234"/>
      <c r="E28" s="239"/>
      <c r="G28" s="40"/>
      <c r="H28" s="18"/>
      <c r="I28" s="40"/>
      <c r="J28" s="18"/>
      <c r="K28" s="40"/>
    </row>
    <row r="29" spans="2:11" ht="3" customHeight="1" x14ac:dyDescent="0.3">
      <c r="C29" s="16"/>
      <c r="E29" s="15"/>
      <c r="G29" s="17"/>
      <c r="H29" s="18"/>
      <c r="I29" s="17"/>
      <c r="J29" s="18"/>
      <c r="K29" s="17"/>
    </row>
    <row r="30" spans="2:11" x14ac:dyDescent="0.3">
      <c r="B30" s="232" t="str">
        <f>'[1]Riscos-CANTU'!B20</f>
        <v>6.</v>
      </c>
      <c r="C30" s="233" t="str">
        <f>'[1]Riscos-CANTU'!C20</f>
        <v>Administrativo - Inadimplência</v>
      </c>
      <c r="E30" s="237" t="str">
        <f>'[1]Riscos-CANTU'!AS20</f>
        <v>Administrável</v>
      </c>
      <c r="G30" s="40"/>
      <c r="H30" s="18"/>
      <c r="I30" s="40"/>
      <c r="J30" s="18"/>
      <c r="K30" s="40" t="s">
        <v>119</v>
      </c>
    </row>
    <row r="31" spans="2:11" ht="14.4" x14ac:dyDescent="0.3">
      <c r="B31" s="232"/>
      <c r="C31" s="233"/>
      <c r="E31" s="238"/>
      <c r="G31" s="40"/>
      <c r="H31" s="18"/>
      <c r="I31" s="150" t="s">
        <v>106</v>
      </c>
      <c r="J31" s="18"/>
      <c r="K31" s="40" t="s">
        <v>120</v>
      </c>
    </row>
    <row r="32" spans="2:11" x14ac:dyDescent="0.3">
      <c r="B32" s="232"/>
      <c r="C32" s="234"/>
      <c r="E32" s="239"/>
      <c r="G32" s="40"/>
      <c r="H32" s="18"/>
      <c r="I32" s="40"/>
      <c r="J32" s="18"/>
      <c r="K32" s="40"/>
    </row>
    <row r="33" spans="2:11" ht="3" customHeight="1" x14ac:dyDescent="0.3">
      <c r="C33" s="16"/>
      <c r="E33" s="15"/>
      <c r="G33" s="17"/>
      <c r="H33" s="18"/>
      <c r="I33" s="17"/>
      <c r="J33" s="18"/>
      <c r="K33" s="17"/>
    </row>
    <row r="34" spans="2:11" x14ac:dyDescent="0.3">
      <c r="B34" s="232" t="str">
        <f>'[1]Riscos-CANTU'!B22</f>
        <v>7.</v>
      </c>
      <c r="C34" s="233" t="str">
        <f>'[1]Riscos-CANTU'!C22</f>
        <v>Redução de faturamento em decorrência de Pandemias "Covid-19"</v>
      </c>
      <c r="E34" s="237" t="str">
        <f>'[1]Riscos-CANTU'!AS22</f>
        <v>Administrável</v>
      </c>
      <c r="G34" s="40"/>
      <c r="H34" s="18"/>
      <c r="I34" s="40"/>
      <c r="J34" s="18"/>
      <c r="K34" s="40" t="s">
        <v>119</v>
      </c>
    </row>
    <row r="35" spans="2:11" ht="14.4" x14ac:dyDescent="0.3">
      <c r="B35" s="232"/>
      <c r="C35" s="233"/>
      <c r="E35" s="238"/>
      <c r="G35" s="40"/>
      <c r="H35" s="18"/>
      <c r="I35" s="150" t="s">
        <v>106</v>
      </c>
      <c r="J35" s="18"/>
      <c r="K35" s="40" t="s">
        <v>121</v>
      </c>
    </row>
    <row r="36" spans="2:11" x14ac:dyDescent="0.3">
      <c r="B36" s="232"/>
      <c r="C36" s="234"/>
      <c r="E36" s="239"/>
      <c r="G36" s="40"/>
      <c r="H36" s="18"/>
      <c r="I36" s="40"/>
      <c r="J36" s="18"/>
      <c r="K36" s="40"/>
    </row>
    <row r="37" spans="2:11" ht="3" customHeight="1" x14ac:dyDescent="0.3">
      <c r="C37" s="16"/>
      <c r="E37" s="15"/>
      <c r="G37" s="17"/>
      <c r="H37" s="18"/>
      <c r="I37" s="17"/>
      <c r="J37" s="18"/>
      <c r="K37" s="17"/>
    </row>
    <row r="38" spans="2:11" x14ac:dyDescent="0.3">
      <c r="B38" s="232" t="str">
        <f>'[1]Riscos-CANTU'!B24</f>
        <v>8.</v>
      </c>
      <c r="C38" s="233">
        <f>'[1]Riscos-CANTU'!C24</f>
        <v>0</v>
      </c>
      <c r="E38" s="235" t="str">
        <f>'[1]Riscos-CANTU'!AS24</f>
        <v/>
      </c>
      <c r="G38" s="40"/>
      <c r="H38" s="18"/>
      <c r="I38" s="40"/>
      <c r="J38" s="18"/>
      <c r="K38" s="40"/>
    </row>
    <row r="39" spans="2:11" x14ac:dyDescent="0.3">
      <c r="B39" s="232"/>
      <c r="C39" s="233"/>
      <c r="E39" s="235"/>
      <c r="G39" s="40"/>
      <c r="H39" s="18"/>
      <c r="I39" s="40"/>
      <c r="J39" s="18"/>
      <c r="K39" s="40"/>
    </row>
    <row r="40" spans="2:11" x14ac:dyDescent="0.3">
      <c r="B40" s="232"/>
      <c r="C40" s="234"/>
      <c r="E40" s="236"/>
      <c r="G40" s="40"/>
      <c r="H40" s="18"/>
      <c r="I40" s="40"/>
      <c r="J40" s="18"/>
      <c r="K40" s="40"/>
    </row>
    <row r="41" spans="2:11" ht="3" customHeight="1" x14ac:dyDescent="0.3">
      <c r="C41" s="16"/>
      <c r="E41" s="15"/>
      <c r="G41" s="17"/>
      <c r="H41" s="18"/>
      <c r="I41" s="17"/>
      <c r="J41" s="18"/>
      <c r="K41" s="17"/>
    </row>
    <row r="42" spans="2:11" x14ac:dyDescent="0.3">
      <c r="B42" s="232" t="str">
        <f>'[1]Riscos-CANTU'!B26</f>
        <v>9.</v>
      </c>
      <c r="C42" s="233">
        <f>'[1]Riscos-CANTU'!C26</f>
        <v>0</v>
      </c>
      <c r="E42" s="235" t="str">
        <f>'[1]Riscos-CANTU'!AS26</f>
        <v/>
      </c>
      <c r="G42" s="40"/>
      <c r="H42" s="18"/>
      <c r="I42" s="40"/>
      <c r="J42" s="18"/>
      <c r="K42" s="40"/>
    </row>
    <row r="43" spans="2:11" x14ac:dyDescent="0.3">
      <c r="B43" s="232"/>
      <c r="C43" s="233"/>
      <c r="E43" s="235"/>
      <c r="G43" s="40"/>
      <c r="H43" s="18"/>
      <c r="I43" s="40"/>
      <c r="J43" s="18"/>
      <c r="K43" s="40"/>
    </row>
    <row r="44" spans="2:11" x14ac:dyDescent="0.3">
      <c r="B44" s="232"/>
      <c r="C44" s="234"/>
      <c r="E44" s="236"/>
      <c r="G44" s="40"/>
      <c r="H44" s="18"/>
      <c r="I44" s="40"/>
      <c r="J44" s="18"/>
      <c r="K44" s="40"/>
    </row>
    <row r="45" spans="2:11" ht="3" customHeight="1" x14ac:dyDescent="0.3">
      <c r="C45" s="16"/>
      <c r="E45" s="15"/>
      <c r="G45" s="17"/>
      <c r="H45" s="18"/>
      <c r="I45" s="17"/>
      <c r="J45" s="18"/>
      <c r="K45" s="17"/>
    </row>
    <row r="46" spans="2:11" x14ac:dyDescent="0.3">
      <c r="B46" s="232" t="str">
        <f>'[1]Riscos-CANTU'!B28</f>
        <v>10.</v>
      </c>
      <c r="C46" s="233">
        <f>'[1]Riscos-CANTU'!C28</f>
        <v>0</v>
      </c>
      <c r="E46" s="235" t="str">
        <f>'[1]Riscos-CANTU'!AS28</f>
        <v/>
      </c>
      <c r="G46" s="40"/>
      <c r="H46" s="18"/>
      <c r="I46" s="40"/>
      <c r="J46" s="18"/>
      <c r="K46" s="40"/>
    </row>
    <row r="47" spans="2:11" x14ac:dyDescent="0.3">
      <c r="B47" s="232"/>
      <c r="C47" s="233"/>
      <c r="E47" s="235"/>
      <c r="G47" s="40"/>
      <c r="H47" s="18"/>
      <c r="I47" s="40"/>
      <c r="J47" s="18"/>
      <c r="K47" s="40"/>
    </row>
    <row r="48" spans="2:11" x14ac:dyDescent="0.3">
      <c r="B48" s="232"/>
      <c r="C48" s="234"/>
      <c r="E48" s="236"/>
      <c r="G48" s="40"/>
      <c r="H48" s="18"/>
      <c r="I48" s="40"/>
      <c r="J48" s="18"/>
      <c r="K48" s="40"/>
    </row>
    <row r="49" spans="2:11" ht="3" customHeight="1" x14ac:dyDescent="0.3">
      <c r="C49" s="16"/>
      <c r="E49" s="15"/>
      <c r="G49" s="17"/>
      <c r="H49" s="18"/>
      <c r="I49" s="17"/>
      <c r="J49" s="18"/>
      <c r="K49" s="17"/>
    </row>
    <row r="50" spans="2:11" x14ac:dyDescent="0.3">
      <c r="B50" s="232" t="str">
        <f>'[1]Riscos-CANTU'!B30</f>
        <v>11.</v>
      </c>
      <c r="C50" s="233">
        <f>'[1]Riscos-CANTU'!C30</f>
        <v>0</v>
      </c>
      <c r="E50" s="235" t="str">
        <f>'[1]Riscos-CANTU'!AS30</f>
        <v/>
      </c>
      <c r="G50" s="40"/>
      <c r="H50" s="18"/>
      <c r="I50" s="40"/>
      <c r="J50" s="18"/>
      <c r="K50" s="40"/>
    </row>
    <row r="51" spans="2:11" x14ac:dyDescent="0.3">
      <c r="B51" s="232"/>
      <c r="C51" s="233"/>
      <c r="E51" s="235"/>
      <c r="G51" s="40"/>
      <c r="H51" s="18"/>
      <c r="I51" s="40"/>
      <c r="J51" s="18"/>
      <c r="K51" s="40"/>
    </row>
    <row r="52" spans="2:11" x14ac:dyDescent="0.3">
      <c r="B52" s="232"/>
      <c r="C52" s="234"/>
      <c r="E52" s="236"/>
      <c r="G52" s="40"/>
      <c r="H52" s="18"/>
      <c r="I52" s="40"/>
      <c r="J52" s="18"/>
      <c r="K52" s="40"/>
    </row>
    <row r="53" spans="2:11" ht="3" customHeight="1" x14ac:dyDescent="0.3">
      <c r="C53" s="16"/>
      <c r="E53" s="15"/>
      <c r="G53" s="17"/>
      <c r="H53" s="18"/>
      <c r="I53" s="17"/>
      <c r="J53" s="18"/>
      <c r="K53" s="17"/>
    </row>
    <row r="54" spans="2:11" x14ac:dyDescent="0.3">
      <c r="B54" s="232" t="str">
        <f>'[1]Riscos-CANTU'!B32</f>
        <v>12.</v>
      </c>
      <c r="C54" s="233">
        <f>'[1]Riscos-CANTU'!C32</f>
        <v>0</v>
      </c>
      <c r="E54" s="235" t="str">
        <f>'[1]Riscos-CANTU'!AS32</f>
        <v/>
      </c>
      <c r="G54" s="40"/>
      <c r="H54" s="18"/>
      <c r="I54" s="40"/>
      <c r="J54" s="18"/>
      <c r="K54" s="40"/>
    </row>
    <row r="55" spans="2:11" x14ac:dyDescent="0.3">
      <c r="B55" s="232"/>
      <c r="C55" s="233"/>
      <c r="E55" s="235"/>
      <c r="G55" s="40"/>
      <c r="H55" s="18"/>
      <c r="I55" s="40"/>
      <c r="J55" s="18"/>
      <c r="K55" s="40"/>
    </row>
    <row r="56" spans="2:11" x14ac:dyDescent="0.3">
      <c r="B56" s="232"/>
      <c r="C56" s="234"/>
      <c r="E56" s="236"/>
      <c r="G56" s="40"/>
      <c r="H56" s="18"/>
      <c r="I56" s="40"/>
      <c r="J56" s="18"/>
      <c r="K56" s="40"/>
    </row>
    <row r="57" spans="2:11" ht="3" customHeight="1" x14ac:dyDescent="0.3">
      <c r="C57" s="16"/>
      <c r="E57" s="15"/>
      <c r="G57" s="17"/>
      <c r="H57" s="18"/>
      <c r="I57" s="17"/>
      <c r="J57" s="18"/>
      <c r="K57" s="17"/>
    </row>
    <row r="58" spans="2:11" x14ac:dyDescent="0.3">
      <c r="B58" s="232" t="str">
        <f>'[1]Riscos-CANTU'!B34</f>
        <v>13.</v>
      </c>
      <c r="C58" s="233">
        <f>'[1]Riscos-CANTU'!C34</f>
        <v>0</v>
      </c>
      <c r="E58" s="235" t="str">
        <f>'[1]Riscos-CANTU'!AS34</f>
        <v/>
      </c>
      <c r="G58" s="40"/>
      <c r="H58" s="18"/>
      <c r="I58" s="40"/>
      <c r="J58" s="18"/>
      <c r="K58" s="40"/>
    </row>
    <row r="59" spans="2:11" x14ac:dyDescent="0.3">
      <c r="B59" s="232"/>
      <c r="C59" s="233"/>
      <c r="E59" s="235"/>
      <c r="G59" s="40"/>
      <c r="H59" s="18"/>
      <c r="I59" s="40"/>
      <c r="J59" s="18"/>
      <c r="K59" s="40"/>
    </row>
    <row r="60" spans="2:11" x14ac:dyDescent="0.3">
      <c r="B60" s="232"/>
      <c r="C60" s="234"/>
      <c r="E60" s="236"/>
      <c r="G60" s="40"/>
      <c r="H60" s="18"/>
      <c r="I60" s="40"/>
      <c r="J60" s="18"/>
      <c r="K60" s="40"/>
    </row>
    <row r="61" spans="2:11" ht="3" customHeight="1" x14ac:dyDescent="0.3">
      <c r="C61" s="16"/>
      <c r="E61" s="15"/>
      <c r="G61" s="17"/>
      <c r="H61" s="18"/>
      <c r="I61" s="17"/>
      <c r="J61" s="18"/>
      <c r="K61" s="17"/>
    </row>
    <row r="62" spans="2:11" x14ac:dyDescent="0.3">
      <c r="B62" s="232" t="str">
        <f>'[1]Riscos-CANTU'!B36</f>
        <v>14.</v>
      </c>
      <c r="C62" s="233">
        <f>'[1]Riscos-CANTU'!C36</f>
        <v>0</v>
      </c>
      <c r="E62" s="235" t="str">
        <f>'[1]Riscos-CANTU'!AS36</f>
        <v/>
      </c>
      <c r="G62" s="40"/>
      <c r="H62" s="18"/>
      <c r="I62" s="40"/>
      <c r="J62" s="18"/>
      <c r="K62" s="40"/>
    </row>
    <row r="63" spans="2:11" x14ac:dyDescent="0.3">
      <c r="B63" s="232"/>
      <c r="C63" s="233"/>
      <c r="E63" s="235"/>
      <c r="G63" s="40"/>
      <c r="H63" s="18"/>
      <c r="I63" s="40"/>
      <c r="J63" s="18"/>
      <c r="K63" s="40"/>
    </row>
    <row r="64" spans="2:11" x14ac:dyDescent="0.3">
      <c r="B64" s="232"/>
      <c r="C64" s="234"/>
      <c r="E64" s="236"/>
      <c r="G64" s="40"/>
      <c r="H64" s="18"/>
      <c r="I64" s="40"/>
      <c r="J64" s="18"/>
      <c r="K64" s="40"/>
    </row>
    <row r="65" spans="2:11" ht="3" customHeight="1" x14ac:dyDescent="0.3">
      <c r="C65" s="16"/>
      <c r="E65" s="15"/>
      <c r="G65" s="17"/>
      <c r="H65" s="18"/>
      <c r="I65" s="17"/>
      <c r="J65" s="18"/>
      <c r="K65" s="17"/>
    </row>
    <row r="66" spans="2:11" x14ac:dyDescent="0.3">
      <c r="B66" s="232" t="str">
        <f>'[1]Riscos-CANTU'!B38</f>
        <v>15.</v>
      </c>
      <c r="C66" s="233">
        <f>'[1]Riscos-CANTU'!C38</f>
        <v>0</v>
      </c>
      <c r="E66" s="235" t="str">
        <f>'[1]Riscos-CANTU'!AS38</f>
        <v/>
      </c>
      <c r="G66" s="40"/>
      <c r="H66" s="18"/>
      <c r="I66" s="40"/>
      <c r="J66" s="18"/>
      <c r="K66" s="40"/>
    </row>
    <row r="67" spans="2:11" x14ac:dyDescent="0.3">
      <c r="B67" s="232"/>
      <c r="C67" s="233"/>
      <c r="E67" s="235"/>
      <c r="G67" s="40"/>
      <c r="H67" s="18"/>
      <c r="I67" s="40"/>
      <c r="J67" s="18"/>
      <c r="K67" s="40"/>
    </row>
    <row r="68" spans="2:11" x14ac:dyDescent="0.3">
      <c r="B68" s="232"/>
      <c r="C68" s="234"/>
      <c r="E68" s="236"/>
      <c r="G68" s="40"/>
      <c r="H68" s="18"/>
      <c r="I68" s="40"/>
      <c r="J68" s="18"/>
      <c r="K68" s="40"/>
    </row>
    <row r="69" spans="2:11" ht="3.75" customHeight="1" x14ac:dyDescent="0.3"/>
    <row r="70" spans="2:11" x14ac:dyDescent="0.3">
      <c r="B70" s="232" t="str">
        <f>'[1]Riscos-CANTU'!B40</f>
        <v>16.</v>
      </c>
      <c r="C70" s="233">
        <f>'[1]Riscos-CANTU'!C40</f>
        <v>0</v>
      </c>
      <c r="E70" s="235" t="str">
        <f>'[1]Riscos-CANTU'!AS40</f>
        <v/>
      </c>
      <c r="G70" s="40"/>
      <c r="H70" s="18"/>
      <c r="I70" s="40"/>
      <c r="J70" s="18"/>
      <c r="K70" s="40"/>
    </row>
    <row r="71" spans="2:11" x14ac:dyDescent="0.3">
      <c r="B71" s="232"/>
      <c r="C71" s="233"/>
      <c r="E71" s="235"/>
      <c r="G71" s="40"/>
      <c r="H71" s="18"/>
      <c r="I71" s="40"/>
      <c r="J71" s="18"/>
      <c r="K71" s="40"/>
    </row>
    <row r="72" spans="2:11" x14ac:dyDescent="0.3">
      <c r="B72" s="232"/>
      <c r="C72" s="234"/>
      <c r="E72" s="236"/>
      <c r="G72" s="40"/>
      <c r="H72" s="18"/>
      <c r="I72" s="40"/>
      <c r="J72" s="18"/>
      <c r="K72" s="40"/>
    </row>
    <row r="73" spans="2:11" ht="3" customHeight="1" x14ac:dyDescent="0.3"/>
    <row r="74" spans="2:11" x14ac:dyDescent="0.3">
      <c r="B74" s="232" t="str">
        <f>'[1]Riscos-CANTU'!B42</f>
        <v>17.</v>
      </c>
      <c r="C74" s="233">
        <f>'[1]Riscos-CANTU'!C42</f>
        <v>0</v>
      </c>
      <c r="E74" s="235" t="str">
        <f>'[1]Riscos-CANTU'!AS42</f>
        <v/>
      </c>
      <c r="G74" s="40"/>
      <c r="H74" s="18"/>
      <c r="I74" s="40"/>
      <c r="J74" s="18"/>
      <c r="K74" s="40"/>
    </row>
    <row r="75" spans="2:11" x14ac:dyDescent="0.3">
      <c r="B75" s="232"/>
      <c r="C75" s="233"/>
      <c r="E75" s="235"/>
      <c r="G75" s="40"/>
      <c r="H75" s="18"/>
      <c r="I75" s="40"/>
      <c r="J75" s="18"/>
      <c r="K75" s="40"/>
    </row>
    <row r="76" spans="2:11" x14ac:dyDescent="0.3">
      <c r="B76" s="232"/>
      <c r="C76" s="234"/>
      <c r="E76" s="236"/>
      <c r="G76" s="40"/>
      <c r="H76" s="18"/>
      <c r="I76" s="40"/>
      <c r="J76" s="18"/>
      <c r="K76" s="40"/>
    </row>
    <row r="77" spans="2:11" ht="3" customHeight="1" x14ac:dyDescent="0.3"/>
    <row r="78" spans="2:11" x14ac:dyDescent="0.3">
      <c r="B78" s="232" t="str">
        <f>'[1]Riscos-CANTU'!B44</f>
        <v>18.</v>
      </c>
      <c r="C78" s="233">
        <f>'[1]Riscos-CANTU'!C44</f>
        <v>0</v>
      </c>
      <c r="E78" s="235" t="str">
        <f>'[1]Riscos-CANTU'!AS44</f>
        <v/>
      </c>
      <c r="G78" s="40"/>
      <c r="H78" s="18"/>
      <c r="I78" s="40"/>
      <c r="J78" s="18"/>
      <c r="K78" s="40"/>
    </row>
    <row r="79" spans="2:11" x14ac:dyDescent="0.3">
      <c r="B79" s="232"/>
      <c r="C79" s="233"/>
      <c r="E79" s="235"/>
      <c r="G79" s="40"/>
      <c r="H79" s="18"/>
      <c r="I79" s="40"/>
      <c r="J79" s="18"/>
      <c r="K79" s="40"/>
    </row>
    <row r="80" spans="2:11" x14ac:dyDescent="0.3">
      <c r="B80" s="232"/>
      <c r="C80" s="234"/>
      <c r="E80" s="236"/>
      <c r="G80" s="40"/>
      <c r="H80" s="18"/>
      <c r="I80" s="40"/>
      <c r="J80" s="18"/>
      <c r="K80" s="40"/>
    </row>
    <row r="81" spans="2:11" ht="3.75" customHeight="1" x14ac:dyDescent="0.3"/>
    <row r="82" spans="2:11" x14ac:dyDescent="0.3">
      <c r="B82" s="232" t="str">
        <f>'[1]Riscos-CANTU'!B46</f>
        <v>19.</v>
      </c>
      <c r="C82" s="233">
        <f>'[1]Riscos-CANTU'!C46</f>
        <v>0</v>
      </c>
      <c r="E82" s="235" t="str">
        <f>'[1]Riscos-CANTU'!AS46</f>
        <v/>
      </c>
      <c r="G82" s="40"/>
      <c r="H82" s="18"/>
      <c r="I82" s="40"/>
      <c r="J82" s="18"/>
      <c r="K82" s="40"/>
    </row>
    <row r="83" spans="2:11" x14ac:dyDescent="0.3">
      <c r="B83" s="232"/>
      <c r="C83" s="233"/>
      <c r="E83" s="235"/>
      <c r="G83" s="40"/>
      <c r="H83" s="18"/>
      <c r="I83" s="40"/>
      <c r="J83" s="18"/>
      <c r="K83" s="40"/>
    </row>
    <row r="84" spans="2:11" x14ac:dyDescent="0.3">
      <c r="B84" s="232"/>
      <c r="C84" s="234"/>
      <c r="E84" s="236"/>
      <c r="G84" s="40"/>
      <c r="H84" s="18"/>
      <c r="I84" s="40"/>
      <c r="J84" s="18"/>
      <c r="K84" s="40"/>
    </row>
    <row r="85" spans="2:11" ht="3.75" customHeight="1" x14ac:dyDescent="0.3"/>
    <row r="86" spans="2:11" x14ac:dyDescent="0.3">
      <c r="B86" s="232" t="str">
        <f>'[1]Riscos-CANTU'!B48</f>
        <v>20.</v>
      </c>
      <c r="C86" s="233">
        <f>'[1]Riscos-CANTU'!C48</f>
        <v>0</v>
      </c>
      <c r="E86" s="235" t="str">
        <f>'[1]Riscos-CANTU'!AS48</f>
        <v/>
      </c>
      <c r="G86" s="40"/>
      <c r="H86" s="18"/>
      <c r="I86" s="40"/>
      <c r="J86" s="18"/>
      <c r="K86" s="40"/>
    </row>
    <row r="87" spans="2:11" x14ac:dyDescent="0.3">
      <c r="B87" s="232"/>
      <c r="C87" s="233"/>
      <c r="E87" s="235"/>
      <c r="G87" s="40"/>
      <c r="H87" s="18"/>
      <c r="I87" s="40"/>
      <c r="J87" s="18"/>
      <c r="K87" s="40"/>
    </row>
    <row r="88" spans="2:11" x14ac:dyDescent="0.3">
      <c r="B88" s="232"/>
      <c r="C88" s="234"/>
      <c r="E88" s="236"/>
      <c r="G88" s="40"/>
      <c r="H88" s="18"/>
      <c r="I88" s="40"/>
      <c r="J88" s="18"/>
      <c r="K88" s="40"/>
    </row>
    <row r="89" spans="2:11" ht="3.75" customHeight="1" x14ac:dyDescent="0.3"/>
    <row r="90" spans="2:11" x14ac:dyDescent="0.3">
      <c r="B90" s="232" t="e">
        <f>'[1]Riscos-CANTU'!#REF!</f>
        <v>#REF!</v>
      </c>
      <c r="C90" s="233" t="e">
        <f>'[1]Riscos-CANTU'!#REF!</f>
        <v>#REF!</v>
      </c>
      <c r="E90" s="235" t="e">
        <f>'[1]Riscos-CANTU'!#REF!</f>
        <v>#REF!</v>
      </c>
      <c r="G90" s="40"/>
      <c r="H90" s="18"/>
      <c r="I90" s="40"/>
      <c r="J90" s="18"/>
      <c r="K90" s="40"/>
    </row>
    <row r="91" spans="2:11" x14ac:dyDescent="0.3">
      <c r="B91" s="232"/>
      <c r="C91" s="233"/>
      <c r="E91" s="235"/>
      <c r="G91" s="40"/>
      <c r="H91" s="18"/>
      <c r="I91" s="40"/>
      <c r="J91" s="18"/>
      <c r="K91" s="40"/>
    </row>
    <row r="92" spans="2:11" x14ac:dyDescent="0.3">
      <c r="B92" s="232"/>
      <c r="C92" s="234"/>
      <c r="E92" s="236"/>
      <c r="G92" s="40"/>
      <c r="H92" s="18"/>
      <c r="I92" s="40"/>
      <c r="J92" s="18"/>
      <c r="K92" s="40"/>
    </row>
  </sheetData>
  <sheetProtection formatCells="0" formatColumns="0" formatRows="0" selectLockedCells="1" sort="0" autoFilter="0" pivotTables="0"/>
  <mergeCells count="70">
    <mergeCell ref="B2:K4"/>
    <mergeCell ref="C6:C8"/>
    <mergeCell ref="E6:E8"/>
    <mergeCell ref="G6:K6"/>
    <mergeCell ref="G7:G8"/>
    <mergeCell ref="I7:I8"/>
    <mergeCell ref="K7:K8"/>
    <mergeCell ref="B10:B12"/>
    <mergeCell ref="C10:C12"/>
    <mergeCell ref="E10:E12"/>
    <mergeCell ref="B14:B16"/>
    <mergeCell ref="C14:C16"/>
    <mergeCell ref="E14:E16"/>
    <mergeCell ref="B18:B20"/>
    <mergeCell ref="C18:C20"/>
    <mergeCell ref="E18:E20"/>
    <mergeCell ref="B22:B24"/>
    <mergeCell ref="C22:C24"/>
    <mergeCell ref="E22:E24"/>
    <mergeCell ref="B26:B28"/>
    <mergeCell ref="C26:C28"/>
    <mergeCell ref="E26:E28"/>
    <mergeCell ref="B30:B32"/>
    <mergeCell ref="C30:C32"/>
    <mergeCell ref="E30:E32"/>
    <mergeCell ref="B34:B36"/>
    <mergeCell ref="C34:C36"/>
    <mergeCell ref="E34:E36"/>
    <mergeCell ref="B38:B40"/>
    <mergeCell ref="C38:C40"/>
    <mergeCell ref="E38:E40"/>
    <mergeCell ref="B42:B44"/>
    <mergeCell ref="C42:C44"/>
    <mergeCell ref="E42:E44"/>
    <mergeCell ref="B46:B48"/>
    <mergeCell ref="C46:C48"/>
    <mergeCell ref="E46:E48"/>
    <mergeCell ref="B50:B52"/>
    <mergeCell ref="C50:C52"/>
    <mergeCell ref="E50:E52"/>
    <mergeCell ref="B54:B56"/>
    <mergeCell ref="C54:C56"/>
    <mergeCell ref="E54:E56"/>
    <mergeCell ref="B58:B60"/>
    <mergeCell ref="C58:C60"/>
    <mergeCell ref="E58:E60"/>
    <mergeCell ref="B62:B64"/>
    <mergeCell ref="C62:C64"/>
    <mergeCell ref="E62:E64"/>
    <mergeCell ref="B66:B68"/>
    <mergeCell ref="C66:C68"/>
    <mergeCell ref="E66:E68"/>
    <mergeCell ref="B70:B72"/>
    <mergeCell ref="C70:C72"/>
    <mergeCell ref="E70:E72"/>
    <mergeCell ref="B74:B76"/>
    <mergeCell ref="C74:C76"/>
    <mergeCell ref="E74:E76"/>
    <mergeCell ref="B78:B80"/>
    <mergeCell ref="C78:C80"/>
    <mergeCell ref="E78:E80"/>
    <mergeCell ref="B90:B92"/>
    <mergeCell ref="C90:C92"/>
    <mergeCell ref="E90:E92"/>
    <mergeCell ref="B82:B84"/>
    <mergeCell ref="C82:C84"/>
    <mergeCell ref="E82:E84"/>
    <mergeCell ref="B86:B88"/>
    <mergeCell ref="C86:C88"/>
    <mergeCell ref="E86:E88"/>
  </mergeCells>
  <conditionalFormatting sqref="C1 C5">
    <cfRule type="cellIs" dxfId="55" priority="69" operator="equal">
      <formula>0</formula>
    </cfRule>
  </conditionalFormatting>
  <conditionalFormatting sqref="C9:C1048576">
    <cfRule type="cellIs" dxfId="54" priority="57" operator="equal">
      <formula>0</formula>
    </cfRule>
  </conditionalFormatting>
  <conditionalFormatting sqref="E10">
    <cfRule type="cellIs" dxfId="53" priority="17" operator="equal">
      <formula>"Desprezível"</formula>
    </cfRule>
    <cfRule type="cellIs" dxfId="52" priority="18" operator="equal">
      <formula>"Intolerável"</formula>
    </cfRule>
    <cfRule type="cellIs" dxfId="51" priority="19" operator="equal">
      <formula>"Indesejável"</formula>
    </cfRule>
    <cfRule type="cellIs" dxfId="50" priority="20" operator="equal">
      <formula>"Administrável"</formula>
    </cfRule>
  </conditionalFormatting>
  <conditionalFormatting sqref="E14">
    <cfRule type="cellIs" dxfId="49" priority="9" operator="equal">
      <formula>"Desprezível"</formula>
    </cfRule>
    <cfRule type="cellIs" dxfId="48" priority="10" operator="equal">
      <formula>"Intolerável"</formula>
    </cfRule>
    <cfRule type="cellIs" dxfId="47" priority="11" operator="equal">
      <formula>"Indesejável"</formula>
    </cfRule>
    <cfRule type="cellIs" dxfId="46" priority="12" operator="equal">
      <formula>"Administrável"</formula>
    </cfRule>
  </conditionalFormatting>
  <conditionalFormatting sqref="E18">
    <cfRule type="cellIs" dxfId="45" priority="1" operator="equal">
      <formula>"Desprezível"</formula>
    </cfRule>
    <cfRule type="cellIs" dxfId="44" priority="2" operator="equal">
      <formula>"Intolerável"</formula>
    </cfRule>
    <cfRule type="cellIs" dxfId="43" priority="3" operator="equal">
      <formula>"Indesejável"</formula>
    </cfRule>
    <cfRule type="cellIs" dxfId="42" priority="4" operator="equal">
      <formula>"Administrável"</formula>
    </cfRule>
  </conditionalFormatting>
  <conditionalFormatting sqref="E22">
    <cfRule type="cellIs" dxfId="41" priority="49" operator="equal">
      <formula>"Desprezível"</formula>
    </cfRule>
    <cfRule type="cellIs" dxfId="40" priority="50" operator="equal">
      <formula>"Intolerável"</formula>
    </cfRule>
    <cfRule type="cellIs" dxfId="39" priority="51" operator="equal">
      <formula>"Indesejável"</formula>
    </cfRule>
    <cfRule type="cellIs" dxfId="38" priority="52" operator="equal">
      <formula>"Administrável"</formula>
    </cfRule>
  </conditionalFormatting>
  <conditionalFormatting sqref="E26">
    <cfRule type="cellIs" dxfId="37" priority="41" operator="equal">
      <formula>"Desprezível"</formula>
    </cfRule>
    <cfRule type="cellIs" dxfId="36" priority="42" operator="equal">
      <formula>"Intolerável"</formula>
    </cfRule>
    <cfRule type="cellIs" dxfId="35" priority="43" operator="equal">
      <formula>"Indesejável"</formula>
    </cfRule>
    <cfRule type="cellIs" dxfId="34" priority="44" operator="equal">
      <formula>"Administrável"</formula>
    </cfRule>
  </conditionalFormatting>
  <conditionalFormatting sqref="E30">
    <cfRule type="cellIs" dxfId="33" priority="33" operator="equal">
      <formula>"Desprezível"</formula>
    </cfRule>
    <cfRule type="cellIs" dxfId="32" priority="34" operator="equal">
      <formula>"Intolerável"</formula>
    </cfRule>
    <cfRule type="cellIs" dxfId="31" priority="35" operator="equal">
      <formula>"Indesejável"</formula>
    </cfRule>
    <cfRule type="cellIs" dxfId="30" priority="36" operator="equal">
      <formula>"Administrável"</formula>
    </cfRule>
  </conditionalFormatting>
  <conditionalFormatting sqref="E34">
    <cfRule type="cellIs" dxfId="29" priority="25" operator="equal">
      <formula>"Desprezível"</formula>
    </cfRule>
    <cfRule type="cellIs" dxfId="28" priority="26" operator="equal">
      <formula>"Intolerável"</formula>
    </cfRule>
    <cfRule type="cellIs" dxfId="27" priority="27" operator="equal">
      <formula>"Indesejável"</formula>
    </cfRule>
    <cfRule type="cellIs" dxfId="26" priority="28" operator="equal">
      <formula>"Administrável"</formula>
    </cfRule>
  </conditionalFormatting>
  <dataValidations count="2">
    <dataValidation type="list" allowBlank="1" showInputMessage="1" showErrorMessage="1" sqref="E9 E13 E37 E29 E21 E17 E33 E41 E25 E45 E49 E53 E57 E61 E65" xr:uid="{293AE7C8-C80B-47C7-BA35-353B83A7DA6B}">
      <formula1>#REF!</formula1>
    </dataValidation>
    <dataValidation allowBlank="1" showErrorMessage="1" sqref="E6:E8" xr:uid="{9824C2FB-5E56-45E6-9110-E422F8EB2E92}"/>
  </dataValidations>
  <pageMargins left="0" right="0" top="0" bottom="0" header="0" footer="0"/>
  <pageSetup paperSize="9" scale="80" fitToHeight="2" orientation="landscape" r:id="rId1"/>
  <rowBreaks count="1" manualBreakCount="1">
    <brk id="24" min="1" max="10"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4ADF-C0F8-436A-9724-59C09D240365}">
  <sheetPr>
    <pageSetUpPr fitToPage="1"/>
  </sheetPr>
  <dimension ref="B1:BE39"/>
  <sheetViews>
    <sheetView showGridLines="0" zoomScaleNormal="100" workbookViewId="0">
      <pane xSplit="4" ySplit="9" topLeftCell="E10" activePane="bottomRight" state="frozen"/>
      <selection pane="topRight" activeCell="G1" sqref="G1"/>
      <selection pane="bottomLeft" activeCell="A8" sqref="A8"/>
      <selection pane="bottomRight" activeCell="A9" sqref="A9"/>
    </sheetView>
  </sheetViews>
  <sheetFormatPr defaultColWidth="9.109375" defaultRowHeight="13.8" x14ac:dyDescent="0.3"/>
  <cols>
    <col min="1" max="1" width="1.88671875" style="1" customWidth="1"/>
    <col min="2" max="2" width="6.33203125" style="1" customWidth="1"/>
    <col min="3" max="3" width="39.5546875" style="46" customWidth="1"/>
    <col min="4" max="4" width="0.5546875" style="2" customWidth="1"/>
    <col min="5" max="5" width="11" style="2" customWidth="1"/>
    <col min="6" max="6" width="2.109375" style="2" hidden="1" customWidth="1"/>
    <col min="7" max="7" width="2" style="2" hidden="1" customWidth="1"/>
    <col min="8" max="8" width="10.33203125" style="2" customWidth="1"/>
    <col min="9" max="9" width="1.88671875" style="2" hidden="1" customWidth="1"/>
    <col min="10" max="10" width="3.33203125" style="2" hidden="1" customWidth="1"/>
    <col min="11" max="11" width="10.109375" style="2" customWidth="1"/>
    <col min="12" max="12" width="1.88671875" style="2" hidden="1" customWidth="1"/>
    <col min="13" max="13" width="2.88671875" style="2" hidden="1" customWidth="1"/>
    <col min="14" max="14" width="13.88671875" style="2" customWidth="1"/>
    <col min="15" max="15" width="2" style="2" hidden="1" customWidth="1"/>
    <col min="16" max="16" width="3" style="2" hidden="1" customWidth="1"/>
    <col min="17" max="17" width="11.33203125" style="2" customWidth="1"/>
    <col min="18" max="18" width="2.5546875" style="2" hidden="1" customWidth="1"/>
    <col min="19" max="19" width="2.44140625" style="2" hidden="1" customWidth="1"/>
    <col min="20" max="20" width="2.33203125" style="68" hidden="1" customWidth="1"/>
    <col min="21" max="21" width="2.44140625" style="68" hidden="1" customWidth="1"/>
    <col min="22" max="22" width="1" style="11" customWidth="1"/>
    <col min="23" max="24" width="8.33203125" style="2" customWidth="1"/>
    <col min="25" max="25" width="10" style="2" customWidth="1"/>
    <col min="26" max="26" width="10.5546875" style="2" customWidth="1"/>
    <col min="27" max="27" width="9.33203125" style="2" customWidth="1"/>
    <col min="28" max="28" width="3" style="7" hidden="1" customWidth="1"/>
    <col min="29" max="29" width="1.109375" style="2" customWidth="1"/>
    <col min="30" max="30" width="7.88671875" style="2" customWidth="1"/>
    <col min="31" max="31" width="7.44140625" style="2" customWidth="1"/>
    <col min="32" max="32" width="6.5546875" style="2" customWidth="1"/>
    <col min="33" max="33" width="5.6640625" style="7" customWidth="1"/>
    <col min="34" max="34" width="7" style="2" customWidth="1"/>
    <col min="35" max="35" width="2.44140625" style="2" hidden="1" customWidth="1"/>
    <col min="36" max="36" width="0.6640625" style="2" customWidth="1"/>
    <col min="37" max="37" width="6.33203125" style="2" customWidth="1"/>
    <col min="38" max="39" width="5.44140625" style="2" customWidth="1"/>
    <col min="40" max="40" width="5.5546875" style="2" customWidth="1"/>
    <col min="41" max="41" width="5.6640625" style="71" customWidth="1"/>
    <col min="42" max="42" width="3.33203125" style="2" hidden="1" customWidth="1"/>
    <col min="43" max="43" width="3.33203125" style="68" hidden="1" customWidth="1"/>
    <col min="44" max="44" width="2.6640625" style="68" hidden="1" customWidth="1"/>
    <col min="45" max="45" width="6.109375" style="68" hidden="1" customWidth="1"/>
    <col min="46" max="46" width="17.44140625" style="1" customWidth="1"/>
    <col min="47" max="47" width="0.5546875" style="59" customWidth="1"/>
    <col min="48" max="48" width="17.44140625" style="1" customWidth="1"/>
    <col min="49" max="49" width="6.6640625" style="130" customWidth="1"/>
    <col min="50" max="50" width="0.88671875" style="3" customWidth="1"/>
    <col min="51" max="52" width="12.109375" style="35" hidden="1" customWidth="1"/>
    <col min="53" max="53" width="11.5546875" style="35" hidden="1" customWidth="1"/>
    <col min="54" max="54" width="13.109375" style="35" hidden="1" customWidth="1"/>
    <col min="55" max="55" width="9.109375" style="1"/>
    <col min="56" max="56" width="9.109375" style="3"/>
    <col min="57" max="16384" width="9.109375" style="1"/>
  </cols>
  <sheetData>
    <row r="1" spans="2:57" ht="18" customHeight="1" x14ac:dyDescent="0.3">
      <c r="B1" s="207"/>
      <c r="C1" s="208"/>
      <c r="D1" s="105"/>
      <c r="E1" s="259" t="s">
        <v>122</v>
      </c>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row>
    <row r="2" spans="2:57" ht="22.5" customHeight="1" x14ac:dyDescent="0.3">
      <c r="B2" s="209"/>
      <c r="C2" s="210"/>
      <c r="D2" s="105"/>
      <c r="E2" s="259"/>
      <c r="F2" s="259"/>
      <c r="G2" s="259"/>
      <c r="H2" s="259"/>
      <c r="I2" s="259"/>
      <c r="J2" s="259"/>
      <c r="K2" s="259"/>
      <c r="L2" s="259"/>
      <c r="M2" s="259"/>
      <c r="N2" s="259"/>
      <c r="O2" s="259"/>
      <c r="P2" s="259"/>
      <c r="Q2" s="259"/>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59"/>
      <c r="AR2" s="259"/>
      <c r="AS2" s="259"/>
      <c r="AT2" s="259"/>
      <c r="AU2" s="259"/>
      <c r="AV2" s="259"/>
    </row>
    <row r="3" spans="2:57" ht="3" customHeight="1" x14ac:dyDescent="0.3">
      <c r="B3" s="209"/>
      <c r="C3" s="210"/>
    </row>
    <row r="4" spans="2:57" ht="30" customHeight="1" thickBot="1" x14ac:dyDescent="0.35">
      <c r="B4" s="211"/>
      <c r="C4" s="212"/>
      <c r="D4" s="106"/>
      <c r="E4" s="260" t="s">
        <v>123</v>
      </c>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row>
    <row r="5" spans="2:57" ht="3" customHeight="1" thickBot="1" x14ac:dyDescent="0.35"/>
    <row r="6" spans="2:57" ht="27" customHeight="1" x14ac:dyDescent="0.3">
      <c r="B6" s="261" t="s">
        <v>0</v>
      </c>
      <c r="C6" s="264" t="s">
        <v>59</v>
      </c>
      <c r="D6" s="4"/>
      <c r="E6" s="221" t="s">
        <v>21</v>
      </c>
      <c r="F6" s="222"/>
      <c r="G6" s="222"/>
      <c r="H6" s="222"/>
      <c r="I6" s="222"/>
      <c r="J6" s="222"/>
      <c r="K6" s="222"/>
      <c r="L6" s="222"/>
      <c r="M6" s="222"/>
      <c r="N6" s="222"/>
      <c r="O6" s="222"/>
      <c r="P6" s="222"/>
      <c r="Q6" s="223"/>
      <c r="R6" s="93"/>
      <c r="S6" s="93"/>
      <c r="T6" s="69"/>
      <c r="U6" s="69"/>
      <c r="V6" s="12"/>
      <c r="W6" s="221" t="s">
        <v>88</v>
      </c>
      <c r="X6" s="222"/>
      <c r="Y6" s="222"/>
      <c r="Z6" s="222"/>
      <c r="AA6" s="222"/>
      <c r="AB6" s="222"/>
      <c r="AC6" s="222"/>
      <c r="AD6" s="222"/>
      <c r="AE6" s="222"/>
      <c r="AF6" s="222"/>
      <c r="AG6" s="222"/>
      <c r="AH6" s="222"/>
      <c r="AI6" s="222"/>
      <c r="AJ6" s="222"/>
      <c r="AK6" s="222"/>
      <c r="AL6" s="222"/>
      <c r="AM6" s="222"/>
      <c r="AN6" s="222"/>
      <c r="AO6" s="223"/>
      <c r="AP6" s="96"/>
      <c r="AQ6" s="69"/>
      <c r="AR6" s="69"/>
      <c r="AS6" s="69"/>
      <c r="AT6" s="267" t="s">
        <v>83</v>
      </c>
      <c r="AU6" s="133"/>
      <c r="AV6" s="267" t="s">
        <v>89</v>
      </c>
      <c r="AY6" s="254" t="s">
        <v>83</v>
      </c>
      <c r="AZ6" s="254"/>
      <c r="BA6" s="254"/>
      <c r="BB6" s="254"/>
    </row>
    <row r="7" spans="2:57" ht="16.5" customHeight="1" x14ac:dyDescent="0.3">
      <c r="B7" s="262"/>
      <c r="C7" s="265"/>
      <c r="D7" s="4"/>
      <c r="E7" s="225" t="s">
        <v>2</v>
      </c>
      <c r="F7" s="229" t="s">
        <v>22</v>
      </c>
      <c r="G7" s="229" t="s">
        <v>23</v>
      </c>
      <c r="H7" s="205" t="s">
        <v>3</v>
      </c>
      <c r="I7" s="194" t="s">
        <v>22</v>
      </c>
      <c r="J7" s="194" t="s">
        <v>23</v>
      </c>
      <c r="K7" s="205" t="s">
        <v>60</v>
      </c>
      <c r="L7" s="194" t="s">
        <v>22</v>
      </c>
      <c r="M7" s="194" t="s">
        <v>23</v>
      </c>
      <c r="N7" s="205" t="s">
        <v>68</v>
      </c>
      <c r="O7" s="194" t="s">
        <v>22</v>
      </c>
      <c r="P7" s="194" t="s">
        <v>23</v>
      </c>
      <c r="Q7" s="227" t="s">
        <v>78</v>
      </c>
      <c r="R7" s="255" t="s">
        <v>22</v>
      </c>
      <c r="S7" s="257" t="s">
        <v>23</v>
      </c>
      <c r="T7" s="69"/>
      <c r="U7" s="69"/>
      <c r="V7" s="12"/>
      <c r="W7" s="204" t="s">
        <v>61</v>
      </c>
      <c r="X7" s="196"/>
      <c r="Y7" s="196"/>
      <c r="Z7" s="196"/>
      <c r="AA7" s="196"/>
      <c r="AB7" s="229" t="s">
        <v>22</v>
      </c>
      <c r="AC7" s="100"/>
      <c r="AD7" s="196" t="s">
        <v>71</v>
      </c>
      <c r="AE7" s="196"/>
      <c r="AF7" s="196"/>
      <c r="AG7" s="196"/>
      <c r="AH7" s="196"/>
      <c r="AI7" s="229" t="s">
        <v>22</v>
      </c>
      <c r="AJ7" s="100"/>
      <c r="AK7" s="196" t="s">
        <v>66</v>
      </c>
      <c r="AL7" s="196"/>
      <c r="AM7" s="196"/>
      <c r="AN7" s="196"/>
      <c r="AO7" s="197"/>
      <c r="AP7" s="268" t="s">
        <v>22</v>
      </c>
      <c r="AQ7" s="69"/>
      <c r="AR7" s="69"/>
      <c r="AS7" s="69"/>
      <c r="AT7" s="267"/>
      <c r="AU7" s="133"/>
      <c r="AV7" s="267"/>
      <c r="AY7" s="254"/>
      <c r="AZ7" s="254"/>
      <c r="BA7" s="254"/>
      <c r="BB7" s="254"/>
    </row>
    <row r="8" spans="2:57" ht="27.9" customHeight="1" thickBot="1" x14ac:dyDescent="0.35">
      <c r="B8" s="263"/>
      <c r="C8" s="266"/>
      <c r="D8" s="4"/>
      <c r="E8" s="226"/>
      <c r="F8" s="230"/>
      <c r="G8" s="230"/>
      <c r="H8" s="231"/>
      <c r="I8" s="195"/>
      <c r="J8" s="195"/>
      <c r="K8" s="206"/>
      <c r="L8" s="195"/>
      <c r="M8" s="195"/>
      <c r="N8" s="206"/>
      <c r="O8" s="195"/>
      <c r="P8" s="195"/>
      <c r="Q8" s="228"/>
      <c r="R8" s="256"/>
      <c r="S8" s="258"/>
      <c r="T8" s="69"/>
      <c r="U8" s="70" t="s">
        <v>32</v>
      </c>
      <c r="V8" s="13"/>
      <c r="W8" s="101" t="s">
        <v>69</v>
      </c>
      <c r="X8" s="102" t="s">
        <v>62</v>
      </c>
      <c r="Y8" s="102" t="s">
        <v>63</v>
      </c>
      <c r="Z8" s="102" t="s">
        <v>64</v>
      </c>
      <c r="AA8" s="102" t="s">
        <v>70</v>
      </c>
      <c r="AB8" s="230"/>
      <c r="AC8" s="103"/>
      <c r="AD8" s="102" t="s">
        <v>72</v>
      </c>
      <c r="AE8" s="102" t="s">
        <v>73</v>
      </c>
      <c r="AF8" s="102" t="s">
        <v>13</v>
      </c>
      <c r="AG8" s="102" t="s">
        <v>65</v>
      </c>
      <c r="AH8" s="102" t="s">
        <v>74</v>
      </c>
      <c r="AI8" s="230"/>
      <c r="AJ8" s="103"/>
      <c r="AK8" s="102" t="s">
        <v>67</v>
      </c>
      <c r="AL8" s="102" t="s">
        <v>75</v>
      </c>
      <c r="AM8" s="102" t="s">
        <v>76</v>
      </c>
      <c r="AN8" s="102" t="s">
        <v>77</v>
      </c>
      <c r="AO8" s="104" t="s">
        <v>70</v>
      </c>
      <c r="AP8" s="269"/>
      <c r="AQ8" s="70" t="s">
        <v>27</v>
      </c>
      <c r="AR8" s="70" t="s">
        <v>13</v>
      </c>
      <c r="AS8" s="70"/>
      <c r="AT8" s="267"/>
      <c r="AU8" s="133"/>
      <c r="AV8" s="267"/>
      <c r="AY8" s="81" t="s">
        <v>28</v>
      </c>
      <c r="AZ8" s="82" t="s">
        <v>63</v>
      </c>
      <c r="BA8" s="83" t="s">
        <v>31</v>
      </c>
      <c r="BB8" s="84" t="s">
        <v>82</v>
      </c>
    </row>
    <row r="9" spans="2:57" ht="3" customHeight="1" x14ac:dyDescent="0.3">
      <c r="C9" s="48"/>
      <c r="E9" s="16"/>
      <c r="F9" s="16"/>
      <c r="G9" s="16"/>
      <c r="H9" s="16"/>
      <c r="I9" s="16"/>
      <c r="J9" s="16"/>
      <c r="K9" s="16"/>
      <c r="L9" s="16"/>
      <c r="M9" s="16"/>
      <c r="N9" s="16"/>
      <c r="O9" s="16"/>
      <c r="P9" s="16"/>
      <c r="Q9" s="16"/>
      <c r="R9" s="16"/>
      <c r="S9" s="16"/>
      <c r="W9" s="16"/>
      <c r="X9" s="16"/>
      <c r="Y9" s="16"/>
      <c r="Z9" s="16"/>
      <c r="AA9" s="16"/>
      <c r="AB9" s="16"/>
      <c r="AC9" s="7"/>
      <c r="AD9" s="16"/>
      <c r="AE9" s="16"/>
      <c r="AF9" s="16"/>
      <c r="AG9" s="16"/>
      <c r="AH9" s="16"/>
      <c r="AI9" s="16"/>
      <c r="AJ9" s="7"/>
      <c r="AK9" s="16"/>
      <c r="AL9" s="16"/>
      <c r="AM9" s="16"/>
      <c r="AN9" s="16"/>
      <c r="AO9" s="16"/>
      <c r="AP9" s="16"/>
      <c r="AT9" s="135"/>
      <c r="AV9" s="135"/>
      <c r="AY9" s="79"/>
      <c r="AZ9" s="79"/>
      <c r="BA9" s="79"/>
      <c r="BB9" s="79"/>
    </row>
    <row r="10" spans="2:57" ht="27.6" x14ac:dyDescent="0.3">
      <c r="B10" s="41" t="s">
        <v>35</v>
      </c>
      <c r="C10" s="51" t="s">
        <v>124</v>
      </c>
      <c r="E10" s="37" t="s">
        <v>31</v>
      </c>
      <c r="F10" s="38">
        <f t="shared" ref="F10:F38" si="0">IF(E10="N.A.",0)+IF(E10="Baixo",1)+IF(E10="Moderado",2)+IF(E10="Significativo",4)+IF(E10="Alto",6)</f>
        <v>6</v>
      </c>
      <c r="G10" s="38">
        <f t="shared" ref="G10:G38" si="1">IF(F10&gt;0,1,0)</f>
        <v>1</v>
      </c>
      <c r="H10" s="37" t="s">
        <v>29</v>
      </c>
      <c r="I10" s="38">
        <f t="shared" ref="I10:I38" si="2">IF(H10="N.A.",0)+IF(H10="Baixo",1)+IF(H10="Moderado",2)+IF(H10="Significativo",4)+IF(H10="Alto",6)</f>
        <v>2</v>
      </c>
      <c r="J10" s="38">
        <f t="shared" ref="J10:J38" si="3">IF(I10&gt;0,1,0)</f>
        <v>1</v>
      </c>
      <c r="K10" s="37" t="s">
        <v>29</v>
      </c>
      <c r="L10" s="38">
        <f>IF(K10="N.A.",0)+IF(K10="Baixo",1)+IF(K10="Moderado",2)+IF(K10="Significativo",4)+IF(K10="Alto",6)</f>
        <v>2</v>
      </c>
      <c r="M10" s="8">
        <f>IF(L10&gt;0,1,0)</f>
        <v>1</v>
      </c>
      <c r="N10" s="37" t="s">
        <v>31</v>
      </c>
      <c r="O10" s="38">
        <f t="shared" ref="O10:O38" si="4">IF(N10="N.A.",0)+IF(N10="Baixo",1)+IF(N10="Moderado",2)+IF(N10="Significativo",4)+IF(N10="Alto",6)</f>
        <v>6</v>
      </c>
      <c r="P10" s="38">
        <f t="shared" ref="P10:P38" si="5">IF(O10&gt;0,1,0)</f>
        <v>1</v>
      </c>
      <c r="Q10" s="37" t="s">
        <v>30</v>
      </c>
      <c r="R10" s="38">
        <f t="shared" ref="R10:R38" si="6">IF(Q10="N.A.",0)+IF(Q10="Baixo",1)+IF(Q10="Moderado",2)+IF(Q10="Significativo",4)+IF(Q10="Alto",6)</f>
        <v>4</v>
      </c>
      <c r="S10" s="38">
        <f t="shared" ref="S10:S16" si="7">IF(R10&gt;0,1,0)</f>
        <v>1</v>
      </c>
      <c r="T10" s="67">
        <f>SUM(G10,J10,M10,P10,S10)</f>
        <v>5</v>
      </c>
      <c r="U10" s="67">
        <f>IFERROR(SUM(F10,I10,L10,O10,R10)/T10,0)</f>
        <v>4</v>
      </c>
      <c r="V10" s="14"/>
      <c r="W10" s="77"/>
      <c r="X10" s="77"/>
      <c r="Y10" s="77"/>
      <c r="Z10" s="77"/>
      <c r="AA10" s="77" t="s">
        <v>96</v>
      </c>
      <c r="AB10" s="36">
        <f>IF(W10="X",5)+IF(X10="X",4)+IF(Y10="X",3)+IF(Z10="X",2)+IF(AA10="X",1)</f>
        <v>1</v>
      </c>
      <c r="AC10" s="9"/>
      <c r="AD10" s="77"/>
      <c r="AE10" s="77" t="s">
        <v>96</v>
      </c>
      <c r="AF10" s="77"/>
      <c r="AG10" s="99"/>
      <c r="AH10" s="77"/>
      <c r="AI10" s="36">
        <f>IF(AD10="X",5)+IF(AE10="X",4)+IF(AF10="X",3)+IF(AG10="X",2)+IF(AH10="X",1)</f>
        <v>4</v>
      </c>
      <c r="AJ10" s="9"/>
      <c r="AK10" s="77"/>
      <c r="AL10" s="77"/>
      <c r="AM10" s="77"/>
      <c r="AN10" s="77"/>
      <c r="AO10" s="119" t="s">
        <v>96</v>
      </c>
      <c r="AP10" s="36">
        <f>IF(AK10="X",5)+IF(AL10="X",4)+IF(AM10="X",3)+IF(AN10="X",2)+IF(AO10="X",1)</f>
        <v>1</v>
      </c>
      <c r="AQ10" s="67">
        <f>AB10+AI10+AP10</f>
        <v>6</v>
      </c>
      <c r="AR10" s="67">
        <f>(AQ10+U10)/2</f>
        <v>5</v>
      </c>
      <c r="AS10" s="67">
        <f>IF(AT10="",0,10)</f>
        <v>10</v>
      </c>
      <c r="AT10" s="39" t="str">
        <f>IF(AY10=TRUE,"Baixo",IF(AZ10=TRUE,"Médio",IF(BA10=TRUE,"Alto",IF(BB10=TRUE,"Muito Alto",""))))</f>
        <v>Alto</v>
      </c>
      <c r="AU10" s="131"/>
      <c r="AV10" s="139" t="s">
        <v>93</v>
      </c>
      <c r="AX10" s="20" t="s">
        <v>12</v>
      </c>
      <c r="AY10" s="79" t="b">
        <f>AND(U10&gt;0,U10&lt;=2,AQ10&gt;0,AQ10&lt;=7)</f>
        <v>0</v>
      </c>
      <c r="AZ10" s="79" t="b">
        <f>OR(AND(U10&gt;0,U10&lt;=2,AQ10&gt;0,AQ10&gt;7,AQ10&lt;=13),AND(U10&gt;0,U10&gt;2,U10&lt;=3,AQ10&gt;0,AQ10&lt;=10))</f>
        <v>0</v>
      </c>
      <c r="BA10" s="79" t="b">
        <f t="shared" ref="BA10:BA39" si="8">OR(AND(U10&gt;0,U10&lt;=2,AQ10&gt;0,AQ10&gt;12,AQ10&lt;=17),AND(U10&gt;0,U10&gt;2,U10&lt;=3,AQ10&gt;0,AQ10&gt;10,AQ10&lt;=13),AND(U10&gt;0,U10&gt;3,U10&lt;=5,AQ10&gt;0,AQ10&lt;=10),AND(U10&gt;0,U10&gt;5,U10&lt;=6,AQ10&gt;0,AQ10&lt;=7))</f>
        <v>1</v>
      </c>
      <c r="BB10" s="79" t="b">
        <f>OR(AND(U10&gt;0,U10&gt;2,U10&lt;=3,AQ10&gt;0,AQ10&gt;14,AQ10&lt;=20),AND(U10&gt;0,U10&gt;3,U10&lt;=5,AQ10&gt;0,AQ10&gt;10),AND(U10&gt;0,U10&gt;5,U10&lt;=6,AQ10&gt;0,AQ10&gt;7,AQ10&lt;=20))</f>
        <v>0</v>
      </c>
      <c r="BD10" s="20" t="s">
        <v>12</v>
      </c>
    </row>
    <row r="11" spans="2:57" ht="3.75" customHeight="1" x14ac:dyDescent="0.3">
      <c r="C11" s="66"/>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67">
        <f t="shared" ref="T11:T38" si="9">SUM(G11,J11,M11,P11,S11)</f>
        <v>0</v>
      </c>
      <c r="U11" s="67">
        <f t="shared" ref="U11:U38" si="10">IFERROR(SUM(F11,I11,L11,O11,R11)/T11,0)</f>
        <v>0</v>
      </c>
      <c r="V11" s="14"/>
      <c r="W11" s="77"/>
      <c r="X11" s="77"/>
      <c r="Y11" s="77"/>
      <c r="Z11" s="77"/>
      <c r="AA11" s="77"/>
      <c r="AB11" s="10"/>
      <c r="AC11" s="9"/>
      <c r="AD11" s="77"/>
      <c r="AE11" s="77"/>
      <c r="AF11" s="77"/>
      <c r="AG11" s="99"/>
      <c r="AH11" s="77"/>
      <c r="AI11" s="36"/>
      <c r="AJ11" s="9"/>
      <c r="AK11" s="77"/>
      <c r="AL11" s="77"/>
      <c r="AM11" s="77"/>
      <c r="AN11" s="77"/>
      <c r="AO11" s="80"/>
      <c r="AP11" s="36"/>
      <c r="AQ11" s="67">
        <f t="shared" ref="AQ11:AQ38" si="11">AB11+AI11+AP11</f>
        <v>0</v>
      </c>
      <c r="AR11" s="67"/>
      <c r="AS11" s="67"/>
      <c r="AT11" s="39" t="str">
        <f t="shared" ref="AT11:AT38" si="12">IF(AY11=TRUE,"Baixo",IF(AZ11=TRUE,"Médio",IF(BA11=TRUE,"Alto",IF(BB11=TRUE,"Muito Alto",""))))</f>
        <v/>
      </c>
      <c r="AU11" s="131"/>
      <c r="AV11" s="139"/>
      <c r="AX11" s="20" t="s">
        <v>28</v>
      </c>
      <c r="AY11" s="79"/>
      <c r="AZ11" s="79"/>
      <c r="BA11" s="79" t="b">
        <f t="shared" si="8"/>
        <v>0</v>
      </c>
      <c r="BB11" s="79" t="b">
        <f t="shared" ref="BB11:BB39" si="13">OR(AND(U11&gt;0,U11&gt;2,U11&lt;=3,AQ11&gt;0,AQ11&gt;14,AQ11&lt;=20),AND(U11&gt;0,U11&gt;3,U11&lt;=5,AQ11&gt;0,AQ11&gt;10),AND(U11&gt;0,U11&gt;5,U11&lt;=6,AQ11&gt;0,AQ11&gt;7,AQ11&lt;=20))</f>
        <v>0</v>
      </c>
      <c r="BD11" s="20" t="s">
        <v>28</v>
      </c>
    </row>
    <row r="12" spans="2:57" ht="25.5" customHeight="1" x14ac:dyDescent="0.3">
      <c r="B12" s="41" t="s">
        <v>36</v>
      </c>
      <c r="C12" s="51"/>
      <c r="E12" s="37"/>
      <c r="F12" s="38">
        <f t="shared" si="0"/>
        <v>0</v>
      </c>
      <c r="G12" s="38">
        <f t="shared" si="1"/>
        <v>0</v>
      </c>
      <c r="H12" s="37"/>
      <c r="I12" s="38">
        <f t="shared" si="2"/>
        <v>0</v>
      </c>
      <c r="J12" s="38">
        <f t="shared" si="3"/>
        <v>0</v>
      </c>
      <c r="K12" s="37"/>
      <c r="L12" s="38">
        <f>IF(K12="N.A.",0)+IF(K12="Baixo",1)+IF(K12="Moderado",2)+IF(K12="Significativo",4)+IF(K12="Alto",6)</f>
        <v>0</v>
      </c>
      <c r="M12" s="8">
        <f>IF(L12&gt;0,1,0)</f>
        <v>0</v>
      </c>
      <c r="N12" s="37"/>
      <c r="O12" s="38">
        <f t="shared" si="4"/>
        <v>0</v>
      </c>
      <c r="P12" s="38">
        <f t="shared" si="5"/>
        <v>0</v>
      </c>
      <c r="Q12" s="37"/>
      <c r="R12" s="38">
        <f t="shared" si="6"/>
        <v>0</v>
      </c>
      <c r="S12" s="38">
        <f t="shared" si="7"/>
        <v>0</v>
      </c>
      <c r="T12" s="67">
        <f t="shared" si="9"/>
        <v>0</v>
      </c>
      <c r="U12" s="67">
        <f t="shared" si="10"/>
        <v>0</v>
      </c>
      <c r="V12" s="14"/>
      <c r="W12" s="77"/>
      <c r="X12" s="77"/>
      <c r="Y12" s="77"/>
      <c r="Z12" s="77"/>
      <c r="AA12" s="77"/>
      <c r="AB12" s="36">
        <f>IF(W12="X",5)+IF(X12="X",4)+IF(Y12="X",3)+IF(Z12="X",2)+IF(AA12="X",1)</f>
        <v>0</v>
      </c>
      <c r="AC12" s="9"/>
      <c r="AD12" s="77"/>
      <c r="AE12" s="77"/>
      <c r="AF12" s="77"/>
      <c r="AG12" s="99"/>
      <c r="AH12" s="77"/>
      <c r="AI12" s="36">
        <f t="shared" ref="AI12:AI38" si="14">IF(AD12="X",5)+IF(AE12="X",4)+IF(AF12="X",3)+IF(AG12="X",2)+IF(AH12="X",1)</f>
        <v>0</v>
      </c>
      <c r="AJ12" s="9"/>
      <c r="AK12" s="77"/>
      <c r="AL12" s="77"/>
      <c r="AM12" s="77"/>
      <c r="AN12" s="77"/>
      <c r="AO12" s="80"/>
      <c r="AP12" s="36">
        <f t="shared" ref="AP12:AP38" si="15">IF(AK12="X",5)+IF(AL12="X",4)+IF(AM12="X",3)+IF(AN12="X",2)+IF(AO12="X",1)</f>
        <v>0</v>
      </c>
      <c r="AQ12" s="67">
        <f t="shared" si="11"/>
        <v>0</v>
      </c>
      <c r="AR12" s="67">
        <f>(AQ12+U12)/2</f>
        <v>0</v>
      </c>
      <c r="AS12" s="67">
        <f>IF(AT12="",0,10)</f>
        <v>0</v>
      </c>
      <c r="AT12" s="39" t="str">
        <f t="shared" si="12"/>
        <v/>
      </c>
      <c r="AU12" s="131"/>
      <c r="AV12" s="139"/>
      <c r="AX12" s="20" t="s">
        <v>29</v>
      </c>
      <c r="AY12" s="79" t="b">
        <f t="shared" ref="AY12:AY38" si="16">AND(U12&gt;0,U12&lt;=2,AQ12&gt;0,AQ12&lt;=7)</f>
        <v>0</v>
      </c>
      <c r="AZ12" s="79" t="b">
        <f t="shared" ref="AZ12:AZ38" si="17">OR(AND(U12&gt;0,U12&lt;=2,AQ12&gt;0,AQ12&gt;7,AQ12&lt;=13),AND(U12&gt;0,U12&gt;2,U12&lt;=3,AQ12&gt;0,AQ12&lt;=10))</f>
        <v>0</v>
      </c>
      <c r="BA12" s="79" t="b">
        <f t="shared" si="8"/>
        <v>0</v>
      </c>
      <c r="BB12" s="79" t="b">
        <f t="shared" si="13"/>
        <v>0</v>
      </c>
      <c r="BD12" s="20" t="s">
        <v>29</v>
      </c>
    </row>
    <row r="13" spans="2:57" ht="3.75" customHeight="1" x14ac:dyDescent="0.3">
      <c r="C13" s="66"/>
      <c r="E13" s="21"/>
      <c r="F13" s="38"/>
      <c r="G13" s="38"/>
      <c r="H13" s="21"/>
      <c r="I13" s="38"/>
      <c r="J13" s="38"/>
      <c r="K13" s="21"/>
      <c r="L13" s="38"/>
      <c r="M13" s="8"/>
      <c r="N13" s="37"/>
      <c r="O13" s="38"/>
      <c r="P13" s="38"/>
      <c r="Q13" s="37"/>
      <c r="R13" s="38"/>
      <c r="S13" s="38"/>
      <c r="T13" s="67">
        <f t="shared" si="9"/>
        <v>0</v>
      </c>
      <c r="U13" s="67">
        <f t="shared" si="10"/>
        <v>0</v>
      </c>
      <c r="V13" s="14"/>
      <c r="W13" s="77"/>
      <c r="X13" s="77"/>
      <c r="Y13" s="77"/>
      <c r="Z13" s="77"/>
      <c r="AA13" s="77"/>
      <c r="AB13" s="10"/>
      <c r="AC13" s="9"/>
      <c r="AD13" s="77"/>
      <c r="AE13" s="77"/>
      <c r="AF13" s="77"/>
      <c r="AG13" s="99"/>
      <c r="AH13" s="77"/>
      <c r="AI13" s="36"/>
      <c r="AJ13" s="9"/>
      <c r="AK13" s="77"/>
      <c r="AL13" s="77"/>
      <c r="AM13" s="77"/>
      <c r="AN13" s="77"/>
      <c r="AO13" s="80"/>
      <c r="AP13" s="36"/>
      <c r="AQ13" s="67">
        <f t="shared" si="11"/>
        <v>0</v>
      </c>
      <c r="AR13" s="67"/>
      <c r="AS13" s="67"/>
      <c r="AT13" s="39" t="str">
        <f t="shared" si="12"/>
        <v/>
      </c>
      <c r="AU13" s="131"/>
      <c r="AV13" s="139"/>
      <c r="AX13" s="20" t="s">
        <v>30</v>
      </c>
      <c r="AY13" s="79"/>
      <c r="AZ13" s="79"/>
      <c r="BA13" s="79" t="b">
        <f t="shared" si="8"/>
        <v>0</v>
      </c>
      <c r="BB13" s="79" t="b">
        <f t="shared" si="13"/>
        <v>0</v>
      </c>
      <c r="BD13" s="20" t="s">
        <v>30</v>
      </c>
    </row>
    <row r="14" spans="2:57" ht="25.5" customHeight="1" x14ac:dyDescent="0.3">
      <c r="B14" s="41" t="s">
        <v>37</v>
      </c>
      <c r="C14" s="51"/>
      <c r="E14" s="37"/>
      <c r="F14" s="38">
        <f t="shared" si="0"/>
        <v>0</v>
      </c>
      <c r="G14" s="38">
        <f t="shared" si="1"/>
        <v>0</v>
      </c>
      <c r="H14" s="37"/>
      <c r="I14" s="38">
        <f t="shared" si="2"/>
        <v>0</v>
      </c>
      <c r="J14" s="38">
        <f t="shared" si="3"/>
        <v>0</v>
      </c>
      <c r="K14" s="37"/>
      <c r="L14" s="38">
        <f t="shared" ref="L14:L38" si="18">IF(K14="N.A.",0)+IF(K14="Baixo",1)+IF(K14="Moderado",2)+IF(K14="Significativo",4)+IF(K14="Alto",6)</f>
        <v>0</v>
      </c>
      <c r="M14" s="8">
        <f t="shared" ref="M14:M38" si="19">IF(L14&gt;0,1,0)</f>
        <v>0</v>
      </c>
      <c r="N14" s="37"/>
      <c r="O14" s="38">
        <f t="shared" si="4"/>
        <v>0</v>
      </c>
      <c r="P14" s="38">
        <f t="shared" si="5"/>
        <v>0</v>
      </c>
      <c r="Q14" s="37"/>
      <c r="R14" s="38">
        <f>IF(Q14="N.A.",0)+IF(Q14="Baixo",1)+IF(Q14="Moderado",2)+IF(Q14="Significativo",4)+IF(Q14="Alto",6)</f>
        <v>0</v>
      </c>
      <c r="S14" s="38">
        <f t="shared" si="7"/>
        <v>0</v>
      </c>
      <c r="T14" s="67">
        <f t="shared" si="9"/>
        <v>0</v>
      </c>
      <c r="U14" s="67">
        <f t="shared" si="10"/>
        <v>0</v>
      </c>
      <c r="V14" s="14"/>
      <c r="W14" s="77"/>
      <c r="X14" s="77"/>
      <c r="Y14" s="77"/>
      <c r="Z14" s="77"/>
      <c r="AA14" s="77"/>
      <c r="AB14" s="36">
        <f>IF(W14="X",5)+IF(X14="X",4)+IF(Y14="X",3)+IF(Z14="X",2)+IF(AA14="X",1)</f>
        <v>0</v>
      </c>
      <c r="AC14" s="9"/>
      <c r="AD14" s="77"/>
      <c r="AE14" s="77"/>
      <c r="AF14" s="77"/>
      <c r="AG14" s="99"/>
      <c r="AH14" s="77"/>
      <c r="AI14" s="36">
        <f t="shared" si="14"/>
        <v>0</v>
      </c>
      <c r="AJ14" s="9"/>
      <c r="AK14" s="77"/>
      <c r="AL14" s="77"/>
      <c r="AM14" s="77"/>
      <c r="AN14" s="77"/>
      <c r="AO14" s="80"/>
      <c r="AP14" s="36">
        <f t="shared" si="15"/>
        <v>0</v>
      </c>
      <c r="AQ14" s="67">
        <f t="shared" si="11"/>
        <v>0</v>
      </c>
      <c r="AR14" s="67">
        <f>(AQ14+U14)/2</f>
        <v>0</v>
      </c>
      <c r="AS14" s="67">
        <f>IF(AT14="",0,10)</f>
        <v>0</v>
      </c>
      <c r="AT14" s="39" t="str">
        <f t="shared" si="12"/>
        <v/>
      </c>
      <c r="AU14" s="131"/>
      <c r="AV14" s="139"/>
      <c r="AX14" s="20" t="s">
        <v>31</v>
      </c>
      <c r="AY14" s="79" t="b">
        <f t="shared" si="16"/>
        <v>0</v>
      </c>
      <c r="AZ14" s="79" t="b">
        <f t="shared" si="17"/>
        <v>0</v>
      </c>
      <c r="BA14" s="79" t="b">
        <f t="shared" si="8"/>
        <v>0</v>
      </c>
      <c r="BB14" s="79" t="b">
        <f t="shared" si="13"/>
        <v>0</v>
      </c>
      <c r="BD14" s="20" t="s">
        <v>31</v>
      </c>
      <c r="BE14" s="3"/>
    </row>
    <row r="15" spans="2:57" ht="4.5" customHeight="1" x14ac:dyDescent="0.3">
      <c r="C15" s="66"/>
      <c r="E15" s="21"/>
      <c r="F15" s="38"/>
      <c r="G15" s="38"/>
      <c r="H15" s="21"/>
      <c r="I15" s="38"/>
      <c r="J15" s="38"/>
      <c r="K15" s="21"/>
      <c r="L15" s="38"/>
      <c r="M15" s="8"/>
      <c r="N15" s="37"/>
      <c r="O15" s="38"/>
      <c r="P15" s="38"/>
      <c r="Q15" s="37"/>
      <c r="R15" s="38"/>
      <c r="S15" s="38"/>
      <c r="T15" s="67">
        <f t="shared" si="9"/>
        <v>0</v>
      </c>
      <c r="U15" s="67">
        <f t="shared" si="10"/>
        <v>0</v>
      </c>
      <c r="V15" s="14"/>
      <c r="W15" s="77"/>
      <c r="X15" s="77"/>
      <c r="Y15" s="77"/>
      <c r="Z15" s="77"/>
      <c r="AA15" s="77"/>
      <c r="AB15" s="10"/>
      <c r="AC15" s="9"/>
      <c r="AD15" s="77"/>
      <c r="AE15" s="77"/>
      <c r="AF15" s="77"/>
      <c r="AG15" s="99"/>
      <c r="AH15" s="77"/>
      <c r="AI15" s="36"/>
      <c r="AJ15" s="9"/>
      <c r="AK15" s="77"/>
      <c r="AL15" s="77"/>
      <c r="AM15" s="77"/>
      <c r="AN15" s="77"/>
      <c r="AO15" s="80"/>
      <c r="AP15" s="36"/>
      <c r="AQ15" s="67">
        <f t="shared" si="11"/>
        <v>0</v>
      </c>
      <c r="AR15" s="67"/>
      <c r="AS15" s="67"/>
      <c r="AT15" s="39" t="str">
        <f t="shared" si="12"/>
        <v/>
      </c>
      <c r="AU15" s="131"/>
      <c r="AV15" s="139"/>
      <c r="AY15" s="79"/>
      <c r="AZ15" s="79"/>
      <c r="BA15" s="79" t="b">
        <f t="shared" si="8"/>
        <v>0</v>
      </c>
      <c r="BB15" s="79" t="b">
        <f t="shared" si="13"/>
        <v>0</v>
      </c>
    </row>
    <row r="16" spans="2:57" ht="22.5" customHeight="1" x14ac:dyDescent="0.3">
      <c r="B16" s="41" t="s">
        <v>38</v>
      </c>
      <c r="C16" s="51"/>
      <c r="E16" s="37"/>
      <c r="F16" s="38">
        <f t="shared" si="0"/>
        <v>0</v>
      </c>
      <c r="G16" s="38">
        <f t="shared" si="1"/>
        <v>0</v>
      </c>
      <c r="H16" s="37"/>
      <c r="I16" s="38">
        <f t="shared" si="2"/>
        <v>0</v>
      </c>
      <c r="J16" s="38">
        <f t="shared" si="3"/>
        <v>0</v>
      </c>
      <c r="K16" s="37"/>
      <c r="L16" s="38">
        <f t="shared" si="18"/>
        <v>0</v>
      </c>
      <c r="M16" s="8">
        <f t="shared" si="19"/>
        <v>0</v>
      </c>
      <c r="N16" s="37"/>
      <c r="O16" s="38">
        <f t="shared" si="4"/>
        <v>0</v>
      </c>
      <c r="P16" s="38">
        <f t="shared" si="5"/>
        <v>0</v>
      </c>
      <c r="Q16" s="37"/>
      <c r="R16" s="38">
        <f t="shared" si="6"/>
        <v>0</v>
      </c>
      <c r="S16" s="38">
        <f t="shared" si="7"/>
        <v>0</v>
      </c>
      <c r="T16" s="67">
        <f t="shared" si="9"/>
        <v>0</v>
      </c>
      <c r="U16" s="67">
        <f t="shared" si="10"/>
        <v>0</v>
      </c>
      <c r="V16" s="14"/>
      <c r="W16" s="77"/>
      <c r="X16" s="77"/>
      <c r="Y16" s="77"/>
      <c r="Z16" s="77"/>
      <c r="AA16" s="77"/>
      <c r="AB16" s="36">
        <f>IF(W16="X",5)+IF(X16="X",4)+IF(Y16="X",3)+IF(Z16="X",2)+IF(AA16="X",1)</f>
        <v>0</v>
      </c>
      <c r="AC16" s="9"/>
      <c r="AD16" s="77"/>
      <c r="AE16" s="77"/>
      <c r="AF16" s="77"/>
      <c r="AG16" s="99"/>
      <c r="AH16" s="77"/>
      <c r="AI16" s="36">
        <f t="shared" si="14"/>
        <v>0</v>
      </c>
      <c r="AJ16" s="9"/>
      <c r="AK16" s="77"/>
      <c r="AL16" s="77"/>
      <c r="AM16" s="77"/>
      <c r="AN16" s="77"/>
      <c r="AO16" s="80"/>
      <c r="AP16" s="36">
        <f t="shared" si="15"/>
        <v>0</v>
      </c>
      <c r="AQ16" s="67">
        <f t="shared" si="11"/>
        <v>0</v>
      </c>
      <c r="AR16" s="67">
        <f>(AQ16+U16)/2</f>
        <v>0</v>
      </c>
      <c r="AS16" s="67">
        <f>IF(AT16="",0,10)</f>
        <v>0</v>
      </c>
      <c r="AT16" s="39" t="str">
        <f t="shared" si="12"/>
        <v/>
      </c>
      <c r="AU16" s="131"/>
      <c r="AV16" s="139"/>
      <c r="AY16" s="79" t="b">
        <f t="shared" si="16"/>
        <v>0</v>
      </c>
      <c r="AZ16" s="79" t="b">
        <f t="shared" si="17"/>
        <v>0</v>
      </c>
      <c r="BA16" s="79" t="b">
        <f t="shared" si="8"/>
        <v>0</v>
      </c>
      <c r="BB16" s="79" t="b">
        <f t="shared" si="13"/>
        <v>0</v>
      </c>
      <c r="BE16" s="3"/>
    </row>
    <row r="17" spans="2:57" ht="5.25" customHeight="1" x14ac:dyDescent="0.3">
      <c r="C17" s="66"/>
      <c r="E17" s="21"/>
      <c r="F17" s="38"/>
      <c r="G17" s="38"/>
      <c r="H17" s="21"/>
      <c r="I17" s="38"/>
      <c r="J17" s="38"/>
      <c r="K17" s="21"/>
      <c r="L17" s="38"/>
      <c r="M17" s="8"/>
      <c r="N17" s="37"/>
      <c r="O17" s="38"/>
      <c r="P17" s="38"/>
      <c r="Q17" s="37"/>
      <c r="R17" s="38"/>
      <c r="S17" s="38"/>
      <c r="T17" s="67">
        <f t="shared" si="9"/>
        <v>0</v>
      </c>
      <c r="U17" s="67">
        <f t="shared" si="10"/>
        <v>0</v>
      </c>
      <c r="V17" s="14"/>
      <c r="W17" s="77"/>
      <c r="X17" s="77"/>
      <c r="Y17" s="77"/>
      <c r="Z17" s="77"/>
      <c r="AA17" s="77"/>
      <c r="AB17" s="10"/>
      <c r="AC17" s="9"/>
      <c r="AD17" s="77"/>
      <c r="AE17" s="77"/>
      <c r="AF17" s="77"/>
      <c r="AG17" s="99"/>
      <c r="AH17" s="77"/>
      <c r="AI17" s="36"/>
      <c r="AJ17" s="9"/>
      <c r="AK17" s="77"/>
      <c r="AL17" s="77"/>
      <c r="AM17" s="77"/>
      <c r="AN17" s="77"/>
      <c r="AO17" s="80"/>
      <c r="AP17" s="36"/>
      <c r="AQ17" s="67">
        <f t="shared" si="11"/>
        <v>0</v>
      </c>
      <c r="AR17" s="67"/>
      <c r="AS17" s="67"/>
      <c r="AT17" s="39" t="str">
        <f t="shared" si="12"/>
        <v/>
      </c>
      <c r="AU17" s="131"/>
      <c r="AV17" s="139"/>
      <c r="AY17" s="79"/>
      <c r="AZ17" s="79"/>
      <c r="BA17" s="79" t="b">
        <f t="shared" si="8"/>
        <v>0</v>
      </c>
      <c r="BB17" s="79" t="b">
        <f t="shared" si="13"/>
        <v>0</v>
      </c>
    </row>
    <row r="18" spans="2:57" x14ac:dyDescent="0.3">
      <c r="B18" s="41" t="s">
        <v>39</v>
      </c>
      <c r="C18" s="51"/>
      <c r="E18" s="37"/>
      <c r="F18" s="38">
        <f t="shared" si="0"/>
        <v>0</v>
      </c>
      <c r="G18" s="38">
        <f t="shared" si="1"/>
        <v>0</v>
      </c>
      <c r="H18" s="37"/>
      <c r="I18" s="38">
        <f t="shared" si="2"/>
        <v>0</v>
      </c>
      <c r="J18" s="38">
        <f t="shared" si="3"/>
        <v>0</v>
      </c>
      <c r="K18" s="37"/>
      <c r="L18" s="38">
        <f t="shared" si="18"/>
        <v>0</v>
      </c>
      <c r="M18" s="8">
        <f t="shared" si="19"/>
        <v>0</v>
      </c>
      <c r="N18" s="37"/>
      <c r="O18" s="38">
        <f t="shared" si="4"/>
        <v>0</v>
      </c>
      <c r="P18" s="38">
        <f t="shared" si="5"/>
        <v>0</v>
      </c>
      <c r="Q18" s="37"/>
      <c r="R18" s="38">
        <f t="shared" si="6"/>
        <v>0</v>
      </c>
      <c r="S18" s="38">
        <f>IF(R18&gt;0,1,0)</f>
        <v>0</v>
      </c>
      <c r="T18" s="67">
        <f t="shared" si="9"/>
        <v>0</v>
      </c>
      <c r="U18" s="67">
        <f t="shared" si="10"/>
        <v>0</v>
      </c>
      <c r="V18" s="14"/>
      <c r="W18" s="77"/>
      <c r="X18" s="77"/>
      <c r="Y18" s="77"/>
      <c r="Z18" s="77"/>
      <c r="AA18" s="77"/>
      <c r="AB18" s="36">
        <f>IF(W18="X",5)+IF(X18="X",4)+IF(Y18="X",3)+IF(Z18="X",2)+IF(AA18="X",1)</f>
        <v>0</v>
      </c>
      <c r="AC18" s="9"/>
      <c r="AD18" s="77"/>
      <c r="AE18" s="77"/>
      <c r="AF18" s="77"/>
      <c r="AG18" s="99"/>
      <c r="AH18" s="77"/>
      <c r="AI18" s="36">
        <f t="shared" si="14"/>
        <v>0</v>
      </c>
      <c r="AJ18" s="9"/>
      <c r="AK18" s="77"/>
      <c r="AL18" s="77"/>
      <c r="AM18" s="77"/>
      <c r="AN18" s="77"/>
      <c r="AO18" s="119"/>
      <c r="AP18" s="36">
        <f t="shared" si="15"/>
        <v>0</v>
      </c>
      <c r="AQ18" s="67">
        <f t="shared" si="11"/>
        <v>0</v>
      </c>
      <c r="AR18" s="67">
        <f>(AQ18+U18)/2</f>
        <v>0</v>
      </c>
      <c r="AS18" s="67">
        <f>IF(AT18="",0,10)</f>
        <v>0</v>
      </c>
      <c r="AT18" s="39" t="str">
        <f t="shared" si="12"/>
        <v/>
      </c>
      <c r="AU18" s="131"/>
      <c r="AV18" s="139"/>
      <c r="AX18" s="3" t="s">
        <v>24</v>
      </c>
      <c r="AY18" s="79" t="b">
        <f t="shared" si="16"/>
        <v>0</v>
      </c>
      <c r="AZ18" s="79" t="b">
        <f t="shared" si="17"/>
        <v>0</v>
      </c>
      <c r="BA18" s="79" t="b">
        <f>OR(AND(U18&gt;0,U18&lt;=2,AQ18&gt;0,AQ18&gt;12,AQ18&lt;=17),AND(U18&gt;0,U18&gt;2,U18&lt;=3,AQ18&gt;0,AQ18&gt;10,AQ18&lt;=13),AND(U18&gt;0,U18&gt;3,U18&lt;=5,AQ18&gt;0,AQ18&lt;=10),AND(U18&gt;0,U18&gt;5,U18&lt;=6,AQ18&gt;0,AQ18&lt;=7))</f>
        <v>0</v>
      </c>
      <c r="BB18" s="79" t="b">
        <f t="shared" si="13"/>
        <v>0</v>
      </c>
      <c r="BD18" s="3" t="s">
        <v>24</v>
      </c>
      <c r="BE18" s="3"/>
    </row>
    <row r="19" spans="2:57" ht="4.5" customHeight="1" x14ac:dyDescent="0.3">
      <c r="C19" s="66"/>
      <c r="E19" s="21"/>
      <c r="F19" s="38"/>
      <c r="G19" s="38"/>
      <c r="H19" s="21"/>
      <c r="I19" s="38"/>
      <c r="J19" s="38"/>
      <c r="K19" s="21"/>
      <c r="L19" s="38"/>
      <c r="M19" s="8"/>
      <c r="N19" s="37"/>
      <c r="O19" s="38"/>
      <c r="P19" s="38"/>
      <c r="Q19" s="37"/>
      <c r="R19" s="38"/>
      <c r="S19" s="10"/>
      <c r="T19" s="67"/>
      <c r="U19" s="67"/>
      <c r="V19" s="14"/>
      <c r="W19" s="77"/>
      <c r="X19" s="77"/>
      <c r="Y19" s="77"/>
      <c r="Z19" s="77"/>
      <c r="AA19" s="77"/>
      <c r="AB19" s="10"/>
      <c r="AC19" s="9"/>
      <c r="AD19" s="77"/>
      <c r="AE19" s="77"/>
      <c r="AF19" s="77"/>
      <c r="AG19" s="99"/>
      <c r="AH19" s="77"/>
      <c r="AI19" s="36"/>
      <c r="AJ19" s="9"/>
      <c r="AK19" s="77"/>
      <c r="AL19" s="77"/>
      <c r="AM19" s="77"/>
      <c r="AN19" s="77"/>
      <c r="AO19" s="80"/>
      <c r="AP19" s="36"/>
      <c r="AQ19" s="67"/>
      <c r="AR19" s="67"/>
      <c r="AS19" s="67"/>
      <c r="AT19" s="39"/>
      <c r="AU19" s="131"/>
      <c r="AV19" s="139"/>
      <c r="AY19" s="79"/>
      <c r="AZ19" s="79"/>
      <c r="BA19" s="79" t="b">
        <f t="shared" si="8"/>
        <v>0</v>
      </c>
      <c r="BB19" s="79" t="b">
        <f t="shared" si="13"/>
        <v>0</v>
      </c>
    </row>
    <row r="20" spans="2:57" ht="14.25" customHeight="1" x14ac:dyDescent="0.3">
      <c r="B20" s="41" t="s">
        <v>40</v>
      </c>
      <c r="C20" s="51"/>
      <c r="E20" s="37"/>
      <c r="F20" s="38">
        <f t="shared" si="0"/>
        <v>0</v>
      </c>
      <c r="G20" s="38">
        <f t="shared" si="1"/>
        <v>0</v>
      </c>
      <c r="H20" s="37"/>
      <c r="I20" s="38">
        <f t="shared" si="2"/>
        <v>0</v>
      </c>
      <c r="J20" s="38">
        <f t="shared" si="3"/>
        <v>0</v>
      </c>
      <c r="K20" s="37"/>
      <c r="L20" s="38">
        <f t="shared" si="18"/>
        <v>0</v>
      </c>
      <c r="M20" s="8">
        <f t="shared" si="19"/>
        <v>0</v>
      </c>
      <c r="N20" s="37"/>
      <c r="O20" s="38">
        <f t="shared" si="4"/>
        <v>0</v>
      </c>
      <c r="P20" s="38">
        <f t="shared" si="5"/>
        <v>0</v>
      </c>
      <c r="Q20" s="37"/>
      <c r="R20" s="38">
        <f t="shared" si="6"/>
        <v>0</v>
      </c>
      <c r="S20" s="38">
        <f>IF(R20&gt;0,1,0)</f>
        <v>0</v>
      </c>
      <c r="T20" s="67">
        <f t="shared" si="9"/>
        <v>0</v>
      </c>
      <c r="U20" s="67">
        <f t="shared" si="10"/>
        <v>0</v>
      </c>
      <c r="V20" s="14"/>
      <c r="W20" s="77"/>
      <c r="X20" s="77"/>
      <c r="Y20" s="77"/>
      <c r="Z20" s="77"/>
      <c r="AA20" s="77"/>
      <c r="AB20" s="36">
        <f>IF(W20="X",5)+IF(X20="X",4)+IF(Y20="X",3)+IF(Z20="X",2)+IF(AA20="X",1)</f>
        <v>0</v>
      </c>
      <c r="AC20" s="9"/>
      <c r="AD20" s="77"/>
      <c r="AE20" s="77"/>
      <c r="AF20" s="77"/>
      <c r="AG20" s="99"/>
      <c r="AH20" s="77"/>
      <c r="AI20" s="36">
        <f t="shared" si="14"/>
        <v>0</v>
      </c>
      <c r="AJ20" s="9"/>
      <c r="AK20" s="77"/>
      <c r="AL20" s="77"/>
      <c r="AM20" s="77"/>
      <c r="AN20" s="77"/>
      <c r="AO20" s="80"/>
      <c r="AP20" s="36">
        <f t="shared" si="15"/>
        <v>0</v>
      </c>
      <c r="AQ20" s="67">
        <f t="shared" si="11"/>
        <v>0</v>
      </c>
      <c r="AR20" s="67">
        <f>(AQ20+U20)/2</f>
        <v>0</v>
      </c>
      <c r="AS20" s="67">
        <f>IF(AT20="",0,10)</f>
        <v>0</v>
      </c>
      <c r="AT20" s="39" t="str">
        <f t="shared" si="12"/>
        <v/>
      </c>
      <c r="AU20" s="131"/>
      <c r="AV20" s="139"/>
      <c r="AY20" s="79" t="b">
        <f t="shared" si="16"/>
        <v>0</v>
      </c>
      <c r="AZ20" s="79" t="b">
        <f t="shared" si="17"/>
        <v>0</v>
      </c>
      <c r="BA20" s="79" t="b">
        <f t="shared" si="8"/>
        <v>0</v>
      </c>
      <c r="BB20" s="79" t="b">
        <f t="shared" si="13"/>
        <v>0</v>
      </c>
      <c r="BE20" s="3"/>
    </row>
    <row r="21" spans="2:57" ht="6" customHeight="1" x14ac:dyDescent="0.3">
      <c r="C21" s="78"/>
      <c r="E21" s="21"/>
      <c r="F21" s="38"/>
      <c r="G21" s="38"/>
      <c r="H21" s="21"/>
      <c r="I21" s="38"/>
      <c r="J21" s="38"/>
      <c r="K21" s="21"/>
      <c r="L21" s="38"/>
      <c r="M21" s="8"/>
      <c r="N21" s="37"/>
      <c r="O21" s="38"/>
      <c r="P21" s="38"/>
      <c r="Q21" s="37"/>
      <c r="R21" s="38"/>
      <c r="S21" s="10"/>
      <c r="T21" s="67"/>
      <c r="U21" s="67"/>
      <c r="V21" s="14"/>
      <c r="W21" s="77"/>
      <c r="X21" s="77"/>
      <c r="Y21" s="77"/>
      <c r="Z21" s="77"/>
      <c r="AA21" s="77"/>
      <c r="AB21" s="10"/>
      <c r="AC21" s="9"/>
      <c r="AD21" s="77"/>
      <c r="AE21" s="77"/>
      <c r="AF21" s="77"/>
      <c r="AG21" s="99"/>
      <c r="AH21" s="77"/>
      <c r="AI21" s="36"/>
      <c r="AJ21" s="9"/>
      <c r="AK21" s="77"/>
      <c r="AL21" s="77"/>
      <c r="AM21" s="77"/>
      <c r="AN21" s="77"/>
      <c r="AO21" s="80"/>
      <c r="AP21" s="36"/>
      <c r="AQ21" s="67"/>
      <c r="AR21" s="67"/>
      <c r="AS21" s="67"/>
      <c r="AT21" s="39"/>
      <c r="AU21" s="131"/>
      <c r="AV21" s="139"/>
      <c r="AY21" s="79"/>
      <c r="AZ21" s="79"/>
      <c r="BA21" s="79" t="b">
        <f t="shared" si="8"/>
        <v>0</v>
      </c>
      <c r="BB21" s="79" t="b">
        <f t="shared" si="13"/>
        <v>0</v>
      </c>
    </row>
    <row r="22" spans="2:57" x14ac:dyDescent="0.3">
      <c r="B22" s="41" t="s">
        <v>41</v>
      </c>
      <c r="C22" s="51"/>
      <c r="E22" s="37"/>
      <c r="F22" s="38">
        <f t="shared" si="0"/>
        <v>0</v>
      </c>
      <c r="G22" s="38">
        <f t="shared" si="1"/>
        <v>0</v>
      </c>
      <c r="H22" s="37"/>
      <c r="I22" s="38">
        <f t="shared" si="2"/>
        <v>0</v>
      </c>
      <c r="J22" s="38">
        <f t="shared" si="3"/>
        <v>0</v>
      </c>
      <c r="K22" s="37"/>
      <c r="L22" s="38">
        <f t="shared" si="18"/>
        <v>0</v>
      </c>
      <c r="M22" s="8">
        <f t="shared" si="19"/>
        <v>0</v>
      </c>
      <c r="N22" s="37"/>
      <c r="O22" s="38">
        <f t="shared" si="4"/>
        <v>0</v>
      </c>
      <c r="P22" s="38">
        <f t="shared" si="5"/>
        <v>0</v>
      </c>
      <c r="Q22" s="37"/>
      <c r="R22" s="38">
        <f t="shared" si="6"/>
        <v>0</v>
      </c>
      <c r="S22" s="38">
        <f>IF(R22&gt;0,1,0)</f>
        <v>0</v>
      </c>
      <c r="T22" s="67">
        <f t="shared" si="9"/>
        <v>0</v>
      </c>
      <c r="U22" s="67">
        <f t="shared" si="10"/>
        <v>0</v>
      </c>
      <c r="V22" s="14"/>
      <c r="W22" s="77"/>
      <c r="X22" s="77"/>
      <c r="Y22" s="77"/>
      <c r="Z22" s="77"/>
      <c r="AA22" s="77"/>
      <c r="AB22" s="36">
        <f>IF(W22="X",5)+IF(X22="X",4)+IF(Y22="X",3)+IF(Z22="X",2)+IF(AA22="X",1)</f>
        <v>0</v>
      </c>
      <c r="AC22" s="9"/>
      <c r="AD22" s="77"/>
      <c r="AE22" s="77"/>
      <c r="AF22" s="77"/>
      <c r="AG22" s="99"/>
      <c r="AH22" s="77"/>
      <c r="AI22" s="36">
        <f t="shared" si="14"/>
        <v>0</v>
      </c>
      <c r="AJ22" s="9"/>
      <c r="AK22" s="77"/>
      <c r="AL22" s="77"/>
      <c r="AM22" s="77"/>
      <c r="AN22" s="77"/>
      <c r="AO22" s="80"/>
      <c r="AP22" s="36">
        <f t="shared" si="15"/>
        <v>0</v>
      </c>
      <c r="AQ22" s="67">
        <f t="shared" si="11"/>
        <v>0</v>
      </c>
      <c r="AR22" s="67">
        <f>(AQ22+U22)/2</f>
        <v>0</v>
      </c>
      <c r="AS22" s="67">
        <f>IF(AT22="",0,10)</f>
        <v>0</v>
      </c>
      <c r="AT22" s="39" t="str">
        <f t="shared" si="12"/>
        <v/>
      </c>
      <c r="AU22" s="131"/>
      <c r="AV22" s="139"/>
      <c r="AY22" s="79" t="b">
        <f t="shared" si="16"/>
        <v>0</v>
      </c>
      <c r="AZ22" s="79" t="b">
        <f t="shared" si="17"/>
        <v>0</v>
      </c>
      <c r="BA22" s="79" t="b">
        <f t="shared" si="8"/>
        <v>0</v>
      </c>
      <c r="BB22" s="79" t="b">
        <f t="shared" si="13"/>
        <v>0</v>
      </c>
    </row>
    <row r="23" spans="2:57" ht="6" customHeight="1" x14ac:dyDescent="0.3">
      <c r="C23" s="78"/>
      <c r="E23" s="21"/>
      <c r="F23" s="38"/>
      <c r="G23" s="38"/>
      <c r="H23" s="21"/>
      <c r="I23" s="38"/>
      <c r="J23" s="38"/>
      <c r="K23" s="21"/>
      <c r="L23" s="38"/>
      <c r="M23" s="8"/>
      <c r="N23" s="37"/>
      <c r="O23" s="38"/>
      <c r="P23" s="38"/>
      <c r="Q23" s="37"/>
      <c r="R23" s="38"/>
      <c r="S23" s="10"/>
      <c r="T23" s="67"/>
      <c r="U23" s="67"/>
      <c r="V23" s="14"/>
      <c r="W23" s="77"/>
      <c r="X23" s="77"/>
      <c r="Y23" s="77"/>
      <c r="Z23" s="77"/>
      <c r="AA23" s="77"/>
      <c r="AB23" s="10"/>
      <c r="AC23" s="9"/>
      <c r="AD23" s="77"/>
      <c r="AE23" s="77"/>
      <c r="AF23" s="77"/>
      <c r="AG23" s="99"/>
      <c r="AH23" s="77"/>
      <c r="AI23" s="36"/>
      <c r="AJ23" s="9"/>
      <c r="AK23" s="77"/>
      <c r="AL23" s="77"/>
      <c r="AM23" s="77"/>
      <c r="AN23" s="77"/>
      <c r="AO23" s="80"/>
      <c r="AP23" s="36"/>
      <c r="AQ23" s="67"/>
      <c r="AR23" s="67"/>
      <c r="AS23" s="67"/>
      <c r="AT23" s="39"/>
      <c r="AU23" s="131"/>
      <c r="AV23" s="139"/>
      <c r="AY23" s="79"/>
      <c r="AZ23" s="79"/>
      <c r="BA23" s="79" t="b">
        <f t="shared" si="8"/>
        <v>0</v>
      </c>
      <c r="BB23" s="79" t="b">
        <f t="shared" si="13"/>
        <v>0</v>
      </c>
    </row>
    <row r="24" spans="2:57" ht="13.5" customHeight="1" x14ac:dyDescent="0.3">
      <c r="B24" s="41" t="s">
        <v>42</v>
      </c>
      <c r="C24" s="51"/>
      <c r="E24" s="37"/>
      <c r="F24" s="38">
        <f t="shared" si="0"/>
        <v>0</v>
      </c>
      <c r="G24" s="38">
        <f t="shared" si="1"/>
        <v>0</v>
      </c>
      <c r="H24" s="37"/>
      <c r="I24" s="38">
        <f t="shared" si="2"/>
        <v>0</v>
      </c>
      <c r="J24" s="38">
        <f t="shared" si="3"/>
        <v>0</v>
      </c>
      <c r="K24" s="37"/>
      <c r="L24" s="38">
        <f t="shared" si="18"/>
        <v>0</v>
      </c>
      <c r="M24" s="8">
        <f t="shared" si="19"/>
        <v>0</v>
      </c>
      <c r="N24" s="37"/>
      <c r="O24" s="38">
        <f t="shared" si="4"/>
        <v>0</v>
      </c>
      <c r="P24" s="38">
        <f t="shared" si="5"/>
        <v>0</v>
      </c>
      <c r="Q24" s="37"/>
      <c r="R24" s="38">
        <f t="shared" si="6"/>
        <v>0</v>
      </c>
      <c r="S24" s="38">
        <f>IF(R24&gt;0,1,0)</f>
        <v>0</v>
      </c>
      <c r="T24" s="67">
        <f t="shared" si="9"/>
        <v>0</v>
      </c>
      <c r="U24" s="67">
        <f t="shared" si="10"/>
        <v>0</v>
      </c>
      <c r="V24" s="14"/>
      <c r="W24" s="77"/>
      <c r="X24" s="77"/>
      <c r="Y24" s="77"/>
      <c r="Z24" s="77"/>
      <c r="AA24" s="77"/>
      <c r="AB24" s="36">
        <f>IF(W24="X",5)+IF(X24="X",4)+IF(Y24="X",3)+IF(Z24="X",2)+IF(AA24="X",1)</f>
        <v>0</v>
      </c>
      <c r="AC24" s="9"/>
      <c r="AD24" s="77"/>
      <c r="AE24" s="77"/>
      <c r="AF24" s="77"/>
      <c r="AG24" s="99"/>
      <c r="AH24" s="77"/>
      <c r="AI24" s="36">
        <f t="shared" si="14"/>
        <v>0</v>
      </c>
      <c r="AJ24" s="9"/>
      <c r="AK24" s="77"/>
      <c r="AL24" s="77"/>
      <c r="AM24" s="77"/>
      <c r="AN24" s="77"/>
      <c r="AO24" s="80"/>
      <c r="AP24" s="36">
        <f t="shared" si="15"/>
        <v>0</v>
      </c>
      <c r="AQ24" s="67">
        <f t="shared" si="11"/>
        <v>0</v>
      </c>
      <c r="AR24" s="67">
        <f>(AQ24+U24)/2</f>
        <v>0</v>
      </c>
      <c r="AS24" s="67">
        <f>IF(AT24="",0,10)</f>
        <v>0</v>
      </c>
      <c r="AT24" s="39" t="str">
        <f t="shared" si="12"/>
        <v/>
      </c>
      <c r="AU24" s="131"/>
      <c r="AV24" s="139"/>
      <c r="AY24" s="79" t="b">
        <f t="shared" si="16"/>
        <v>0</v>
      </c>
      <c r="AZ24" s="79" t="b">
        <f t="shared" si="17"/>
        <v>0</v>
      </c>
      <c r="BA24" s="79" t="b">
        <f t="shared" si="8"/>
        <v>0</v>
      </c>
      <c r="BB24" s="79" t="b">
        <f t="shared" si="13"/>
        <v>0</v>
      </c>
    </row>
    <row r="25" spans="2:57" ht="3.75" customHeight="1" x14ac:dyDescent="0.3">
      <c r="C25" s="78"/>
      <c r="E25" s="21"/>
      <c r="F25" s="38"/>
      <c r="G25" s="38"/>
      <c r="H25" s="21"/>
      <c r="I25" s="38"/>
      <c r="J25" s="38"/>
      <c r="K25" s="21"/>
      <c r="L25" s="38"/>
      <c r="M25" s="8"/>
      <c r="N25" s="37"/>
      <c r="O25" s="38"/>
      <c r="P25" s="38"/>
      <c r="Q25" s="37"/>
      <c r="R25" s="38"/>
      <c r="S25" s="10"/>
      <c r="T25" s="67"/>
      <c r="U25" s="67"/>
      <c r="V25" s="14"/>
      <c r="W25" s="77"/>
      <c r="X25" s="77"/>
      <c r="Y25" s="77"/>
      <c r="Z25" s="77"/>
      <c r="AA25" s="77"/>
      <c r="AB25" s="10"/>
      <c r="AC25" s="9"/>
      <c r="AD25" s="77"/>
      <c r="AE25" s="77"/>
      <c r="AF25" s="77"/>
      <c r="AG25" s="99"/>
      <c r="AH25" s="77"/>
      <c r="AI25" s="36"/>
      <c r="AJ25" s="9"/>
      <c r="AK25" s="77"/>
      <c r="AL25" s="77"/>
      <c r="AM25" s="77"/>
      <c r="AN25" s="77"/>
      <c r="AO25" s="80"/>
      <c r="AP25" s="36"/>
      <c r="AQ25" s="67"/>
      <c r="AR25" s="67"/>
      <c r="AS25" s="67"/>
      <c r="AT25" s="39"/>
      <c r="AU25" s="131"/>
      <c r="AV25" s="139"/>
      <c r="AY25" s="79"/>
      <c r="AZ25" s="79"/>
      <c r="BA25" s="79" t="b">
        <f t="shared" si="8"/>
        <v>0</v>
      </c>
      <c r="BB25" s="79" t="b">
        <f t="shared" si="13"/>
        <v>0</v>
      </c>
    </row>
    <row r="26" spans="2:57" x14ac:dyDescent="0.3">
      <c r="B26" s="41" t="s">
        <v>43</v>
      </c>
      <c r="C26" s="51"/>
      <c r="E26" s="37"/>
      <c r="F26" s="38">
        <f t="shared" si="0"/>
        <v>0</v>
      </c>
      <c r="G26" s="38">
        <f t="shared" si="1"/>
        <v>0</v>
      </c>
      <c r="H26" s="37"/>
      <c r="I26" s="38">
        <f t="shared" si="2"/>
        <v>0</v>
      </c>
      <c r="J26" s="38">
        <f t="shared" si="3"/>
        <v>0</v>
      </c>
      <c r="K26" s="37"/>
      <c r="L26" s="38">
        <f t="shared" si="18"/>
        <v>0</v>
      </c>
      <c r="M26" s="8">
        <f t="shared" si="19"/>
        <v>0</v>
      </c>
      <c r="N26" s="37"/>
      <c r="O26" s="38">
        <f t="shared" si="4"/>
        <v>0</v>
      </c>
      <c r="P26" s="38">
        <f t="shared" si="5"/>
        <v>0</v>
      </c>
      <c r="Q26" s="37"/>
      <c r="R26" s="38">
        <f t="shared" si="6"/>
        <v>0</v>
      </c>
      <c r="S26" s="38">
        <f>IF(R26&gt;0,1,0)</f>
        <v>0</v>
      </c>
      <c r="T26" s="67">
        <f t="shared" si="9"/>
        <v>0</v>
      </c>
      <c r="U26" s="67">
        <f t="shared" si="10"/>
        <v>0</v>
      </c>
      <c r="V26" s="14"/>
      <c r="W26" s="77"/>
      <c r="X26" s="77"/>
      <c r="Y26" s="77"/>
      <c r="Z26" s="77"/>
      <c r="AA26" s="77"/>
      <c r="AB26" s="36">
        <f>IF(W26="X",5)+IF(X26="X",4)+IF(Y26="X",3)+IF(Z26="X",2)+IF(AA26="X",1)</f>
        <v>0</v>
      </c>
      <c r="AC26" s="9"/>
      <c r="AD26" s="77"/>
      <c r="AE26" s="77"/>
      <c r="AF26" s="77"/>
      <c r="AG26" s="99"/>
      <c r="AH26" s="77"/>
      <c r="AI26" s="36">
        <f t="shared" si="14"/>
        <v>0</v>
      </c>
      <c r="AJ26" s="9"/>
      <c r="AK26" s="77"/>
      <c r="AL26" s="77"/>
      <c r="AM26" s="77"/>
      <c r="AN26" s="77"/>
      <c r="AO26" s="80"/>
      <c r="AP26" s="36">
        <f t="shared" si="15"/>
        <v>0</v>
      </c>
      <c r="AQ26" s="67">
        <f t="shared" si="11"/>
        <v>0</v>
      </c>
      <c r="AR26" s="67">
        <f>(AQ26+U26)/2</f>
        <v>0</v>
      </c>
      <c r="AS26" s="67">
        <f>IF(AT26="",0,10)</f>
        <v>0</v>
      </c>
      <c r="AT26" s="39" t="str">
        <f t="shared" si="12"/>
        <v/>
      </c>
      <c r="AU26" s="131"/>
      <c r="AV26" s="139"/>
      <c r="AY26" s="79" t="b">
        <f t="shared" si="16"/>
        <v>0</v>
      </c>
      <c r="AZ26" s="79" t="b">
        <f t="shared" si="17"/>
        <v>0</v>
      </c>
      <c r="BA26" s="79" t="b">
        <f t="shared" si="8"/>
        <v>0</v>
      </c>
      <c r="BB26" s="79" t="b">
        <f t="shared" si="13"/>
        <v>0</v>
      </c>
    </row>
    <row r="27" spans="2:57" ht="3" customHeight="1" x14ac:dyDescent="0.3">
      <c r="C27" s="47"/>
      <c r="E27" s="21"/>
      <c r="F27" s="38"/>
      <c r="G27" s="38"/>
      <c r="H27" s="21"/>
      <c r="I27" s="38"/>
      <c r="J27" s="38"/>
      <c r="K27" s="21"/>
      <c r="L27" s="38"/>
      <c r="M27" s="8"/>
      <c r="N27" s="37"/>
      <c r="O27" s="38"/>
      <c r="P27" s="38"/>
      <c r="Q27" s="37"/>
      <c r="R27" s="38"/>
      <c r="S27" s="10"/>
      <c r="T27" s="67"/>
      <c r="U27" s="67"/>
      <c r="V27" s="14"/>
      <c r="W27" s="77"/>
      <c r="X27" s="77"/>
      <c r="Y27" s="77"/>
      <c r="Z27" s="77"/>
      <c r="AA27" s="77"/>
      <c r="AB27" s="10"/>
      <c r="AC27" s="9"/>
      <c r="AD27" s="77"/>
      <c r="AE27" s="77"/>
      <c r="AF27" s="77"/>
      <c r="AG27" s="99"/>
      <c r="AH27" s="77"/>
      <c r="AI27" s="36"/>
      <c r="AJ27" s="9"/>
      <c r="AK27" s="77"/>
      <c r="AL27" s="77"/>
      <c r="AM27" s="77"/>
      <c r="AN27" s="77"/>
      <c r="AO27" s="80"/>
      <c r="AP27" s="36"/>
      <c r="AQ27" s="67"/>
      <c r="AR27" s="67"/>
      <c r="AS27" s="67"/>
      <c r="AT27" s="39"/>
      <c r="AU27" s="131"/>
      <c r="AV27" s="139"/>
      <c r="AY27" s="79"/>
      <c r="AZ27" s="79"/>
      <c r="BA27" s="79" t="b">
        <f t="shared" si="8"/>
        <v>0</v>
      </c>
      <c r="BB27" s="79" t="b">
        <f t="shared" si="13"/>
        <v>0</v>
      </c>
    </row>
    <row r="28" spans="2:57" x14ac:dyDescent="0.3">
      <c r="B28" s="41" t="s">
        <v>44</v>
      </c>
      <c r="C28" s="51"/>
      <c r="E28" s="37"/>
      <c r="F28" s="38">
        <f t="shared" si="0"/>
        <v>0</v>
      </c>
      <c r="G28" s="38">
        <f t="shared" si="1"/>
        <v>0</v>
      </c>
      <c r="H28" s="37"/>
      <c r="I28" s="38">
        <f t="shared" si="2"/>
        <v>0</v>
      </c>
      <c r="J28" s="38">
        <f t="shared" si="3"/>
        <v>0</v>
      </c>
      <c r="K28" s="37"/>
      <c r="L28" s="38">
        <f t="shared" si="18"/>
        <v>0</v>
      </c>
      <c r="M28" s="8">
        <f t="shared" si="19"/>
        <v>0</v>
      </c>
      <c r="N28" s="37"/>
      <c r="O28" s="38">
        <f t="shared" si="4"/>
        <v>0</v>
      </c>
      <c r="P28" s="38">
        <f t="shared" si="5"/>
        <v>0</v>
      </c>
      <c r="Q28" s="37"/>
      <c r="R28" s="38">
        <f t="shared" si="6"/>
        <v>0</v>
      </c>
      <c r="S28" s="38">
        <f>IF(R28&gt;0,1,0)</f>
        <v>0</v>
      </c>
      <c r="T28" s="67">
        <f t="shared" si="9"/>
        <v>0</v>
      </c>
      <c r="U28" s="67">
        <f t="shared" si="10"/>
        <v>0</v>
      </c>
      <c r="V28" s="14"/>
      <c r="W28" s="77"/>
      <c r="X28" s="77"/>
      <c r="Y28" s="77"/>
      <c r="Z28" s="77"/>
      <c r="AA28" s="77"/>
      <c r="AB28" s="36">
        <f>IF(W28="X",5)+IF(X28="X",4)+IF(Y28="X",3)+IF(Z28="X",2)+IF(AA28="X",1)</f>
        <v>0</v>
      </c>
      <c r="AC28" s="9"/>
      <c r="AD28" s="77"/>
      <c r="AE28" s="77"/>
      <c r="AF28" s="77"/>
      <c r="AG28" s="99"/>
      <c r="AH28" s="77"/>
      <c r="AI28" s="36">
        <f t="shared" si="14"/>
        <v>0</v>
      </c>
      <c r="AJ28" s="9"/>
      <c r="AK28" s="77"/>
      <c r="AL28" s="77"/>
      <c r="AM28" s="77"/>
      <c r="AN28" s="77"/>
      <c r="AO28" s="80"/>
      <c r="AP28" s="36">
        <f t="shared" si="15"/>
        <v>0</v>
      </c>
      <c r="AQ28" s="67">
        <f t="shared" si="11"/>
        <v>0</v>
      </c>
      <c r="AR28" s="67">
        <f>(AQ28+U28)/2</f>
        <v>0</v>
      </c>
      <c r="AS28" s="67">
        <f>IF(AT28="",0,10)</f>
        <v>0</v>
      </c>
      <c r="AT28" s="39" t="str">
        <f t="shared" si="12"/>
        <v/>
      </c>
      <c r="AU28" s="131"/>
      <c r="AV28" s="139"/>
      <c r="AY28" s="79" t="b">
        <f t="shared" si="16"/>
        <v>0</v>
      </c>
      <c r="AZ28" s="79" t="b">
        <f t="shared" si="17"/>
        <v>0</v>
      </c>
      <c r="BA28" s="79" t="b">
        <f t="shared" si="8"/>
        <v>0</v>
      </c>
      <c r="BB28" s="79" t="b">
        <f t="shared" si="13"/>
        <v>0</v>
      </c>
    </row>
    <row r="29" spans="2:57" ht="3" customHeight="1" x14ac:dyDescent="0.3">
      <c r="C29" s="117"/>
      <c r="E29" s="21"/>
      <c r="F29" s="38"/>
      <c r="G29" s="38"/>
      <c r="H29" s="21"/>
      <c r="I29" s="38"/>
      <c r="J29" s="38"/>
      <c r="K29" s="21"/>
      <c r="L29" s="38"/>
      <c r="M29" s="8"/>
      <c r="N29" s="37"/>
      <c r="O29" s="38"/>
      <c r="P29" s="38"/>
      <c r="Q29" s="37"/>
      <c r="R29" s="38"/>
      <c r="S29" s="10"/>
      <c r="T29" s="67"/>
      <c r="U29" s="67"/>
      <c r="V29" s="14"/>
      <c r="W29" s="77"/>
      <c r="X29" s="77"/>
      <c r="Y29" s="77"/>
      <c r="Z29" s="77"/>
      <c r="AA29" s="77"/>
      <c r="AB29" s="10"/>
      <c r="AC29" s="9"/>
      <c r="AD29" s="77"/>
      <c r="AE29" s="77"/>
      <c r="AF29" s="77"/>
      <c r="AG29" s="99"/>
      <c r="AH29" s="77"/>
      <c r="AI29" s="36"/>
      <c r="AJ29" s="9"/>
      <c r="AK29" s="77"/>
      <c r="AL29" s="77"/>
      <c r="AM29" s="77"/>
      <c r="AN29" s="77"/>
      <c r="AO29" s="80"/>
      <c r="AP29" s="36"/>
      <c r="AQ29" s="67"/>
      <c r="AR29" s="67"/>
      <c r="AS29" s="67"/>
      <c r="AT29" s="39"/>
      <c r="AU29" s="131"/>
      <c r="AV29" s="139"/>
      <c r="AY29" s="79"/>
      <c r="AZ29" s="79"/>
      <c r="BA29" s="79" t="b">
        <f t="shared" si="8"/>
        <v>0</v>
      </c>
      <c r="BB29" s="79" t="b">
        <f t="shared" si="13"/>
        <v>0</v>
      </c>
    </row>
    <row r="30" spans="2:57" x14ac:dyDescent="0.3">
      <c r="B30" s="41" t="s">
        <v>47</v>
      </c>
      <c r="C30" s="51"/>
      <c r="E30" s="37"/>
      <c r="F30" s="38">
        <f t="shared" si="0"/>
        <v>0</v>
      </c>
      <c r="G30" s="38">
        <f t="shared" si="1"/>
        <v>0</v>
      </c>
      <c r="H30" s="37"/>
      <c r="I30" s="38">
        <f t="shared" si="2"/>
        <v>0</v>
      </c>
      <c r="J30" s="38">
        <f t="shared" si="3"/>
        <v>0</v>
      </c>
      <c r="K30" s="37"/>
      <c r="L30" s="38">
        <f t="shared" si="18"/>
        <v>0</v>
      </c>
      <c r="M30" s="8">
        <f t="shared" si="19"/>
        <v>0</v>
      </c>
      <c r="N30" s="37"/>
      <c r="O30" s="38">
        <f t="shared" si="4"/>
        <v>0</v>
      </c>
      <c r="P30" s="38">
        <f t="shared" si="5"/>
        <v>0</v>
      </c>
      <c r="Q30" s="37"/>
      <c r="R30" s="38">
        <f t="shared" si="6"/>
        <v>0</v>
      </c>
      <c r="S30" s="38">
        <f>IF(R30&gt;0,1,0)</f>
        <v>0</v>
      </c>
      <c r="T30" s="67">
        <f t="shared" si="9"/>
        <v>0</v>
      </c>
      <c r="U30" s="67">
        <f t="shared" si="10"/>
        <v>0</v>
      </c>
      <c r="V30" s="14"/>
      <c r="W30" s="77"/>
      <c r="X30" s="77"/>
      <c r="Y30" s="77"/>
      <c r="Z30" s="77"/>
      <c r="AA30" s="77"/>
      <c r="AB30" s="36">
        <f>IF(W30="X",5)+IF(X30="X",4)+IF(Y30="X",3)+IF(Z30="X",2)+IF(AA30="X",1)</f>
        <v>0</v>
      </c>
      <c r="AC30" s="9"/>
      <c r="AD30" s="77"/>
      <c r="AE30" s="77"/>
      <c r="AF30" s="77"/>
      <c r="AG30" s="99"/>
      <c r="AH30" s="77"/>
      <c r="AI30" s="36">
        <f t="shared" si="14"/>
        <v>0</v>
      </c>
      <c r="AJ30" s="9"/>
      <c r="AK30" s="77"/>
      <c r="AL30" s="77"/>
      <c r="AM30" s="77"/>
      <c r="AN30" s="77"/>
      <c r="AO30" s="80"/>
      <c r="AP30" s="36">
        <f t="shared" si="15"/>
        <v>0</v>
      </c>
      <c r="AQ30" s="67">
        <f t="shared" si="11"/>
        <v>0</v>
      </c>
      <c r="AR30" s="67">
        <f>(AQ30+U30)/2</f>
        <v>0</v>
      </c>
      <c r="AS30" s="67">
        <f>IF(AT30="",0,10)</f>
        <v>0</v>
      </c>
      <c r="AT30" s="39" t="str">
        <f t="shared" si="12"/>
        <v/>
      </c>
      <c r="AU30" s="131"/>
      <c r="AV30" s="139"/>
      <c r="AY30" s="79" t="b">
        <f t="shared" si="16"/>
        <v>0</v>
      </c>
      <c r="AZ30" s="79" t="b">
        <f t="shared" si="17"/>
        <v>0</v>
      </c>
      <c r="BA30" s="79" t="b">
        <f t="shared" si="8"/>
        <v>0</v>
      </c>
      <c r="BB30" s="79" t="b">
        <f t="shared" si="13"/>
        <v>0</v>
      </c>
    </row>
    <row r="31" spans="2:57" ht="3" customHeight="1" x14ac:dyDescent="0.3">
      <c r="C31" s="78"/>
      <c r="E31" s="21"/>
      <c r="F31" s="38"/>
      <c r="G31" s="38"/>
      <c r="H31" s="21"/>
      <c r="I31" s="38"/>
      <c r="J31" s="38"/>
      <c r="K31" s="21"/>
      <c r="L31" s="38"/>
      <c r="M31" s="8"/>
      <c r="N31" s="37"/>
      <c r="O31" s="38"/>
      <c r="P31" s="38"/>
      <c r="Q31" s="37"/>
      <c r="R31" s="38"/>
      <c r="S31" s="10"/>
      <c r="T31" s="67"/>
      <c r="U31" s="67"/>
      <c r="V31" s="14"/>
      <c r="W31" s="77"/>
      <c r="X31" s="77"/>
      <c r="Y31" s="77"/>
      <c r="Z31" s="77"/>
      <c r="AA31" s="77"/>
      <c r="AB31" s="10"/>
      <c r="AC31" s="9"/>
      <c r="AD31" s="77"/>
      <c r="AE31" s="77"/>
      <c r="AF31" s="77"/>
      <c r="AG31" s="99"/>
      <c r="AH31" s="77"/>
      <c r="AI31" s="36"/>
      <c r="AJ31" s="9"/>
      <c r="AK31" s="77"/>
      <c r="AL31" s="77"/>
      <c r="AM31" s="77"/>
      <c r="AN31" s="77"/>
      <c r="AO31" s="80"/>
      <c r="AP31" s="36"/>
      <c r="AQ31" s="67"/>
      <c r="AR31" s="67"/>
      <c r="AS31" s="67"/>
      <c r="AT31" s="39"/>
      <c r="AU31" s="131"/>
      <c r="AV31" s="139"/>
      <c r="AY31" s="79"/>
      <c r="AZ31" s="79"/>
      <c r="BA31" s="79" t="b">
        <f t="shared" si="8"/>
        <v>0</v>
      </c>
      <c r="BB31" s="79" t="b">
        <f t="shared" si="13"/>
        <v>0</v>
      </c>
    </row>
    <row r="32" spans="2:57" x14ac:dyDescent="0.3">
      <c r="B32" s="41" t="s">
        <v>48</v>
      </c>
      <c r="C32" s="51"/>
      <c r="E32" s="37"/>
      <c r="F32" s="38">
        <f t="shared" si="0"/>
        <v>0</v>
      </c>
      <c r="G32" s="38">
        <f t="shared" si="1"/>
        <v>0</v>
      </c>
      <c r="H32" s="37"/>
      <c r="I32" s="38">
        <f t="shared" si="2"/>
        <v>0</v>
      </c>
      <c r="J32" s="38">
        <f t="shared" si="3"/>
        <v>0</v>
      </c>
      <c r="K32" s="37"/>
      <c r="L32" s="38">
        <f t="shared" si="18"/>
        <v>0</v>
      </c>
      <c r="M32" s="8">
        <f t="shared" si="19"/>
        <v>0</v>
      </c>
      <c r="N32" s="37"/>
      <c r="O32" s="38">
        <f t="shared" si="4"/>
        <v>0</v>
      </c>
      <c r="P32" s="38">
        <f t="shared" si="5"/>
        <v>0</v>
      </c>
      <c r="Q32" s="37"/>
      <c r="R32" s="38">
        <f t="shared" si="6"/>
        <v>0</v>
      </c>
      <c r="S32" s="38">
        <f>IF(R32&gt;0,1,0)</f>
        <v>0</v>
      </c>
      <c r="T32" s="67">
        <f t="shared" si="9"/>
        <v>0</v>
      </c>
      <c r="U32" s="67">
        <f t="shared" si="10"/>
        <v>0</v>
      </c>
      <c r="V32" s="14"/>
      <c r="W32" s="77"/>
      <c r="X32" s="77"/>
      <c r="Y32" s="77"/>
      <c r="Z32" s="77"/>
      <c r="AA32" s="77"/>
      <c r="AB32" s="36">
        <f>IF(W32="X",5)+IF(X32="X",4)+IF(Y32="X",3)+IF(Z32="X",2)+IF(AA32="X",1)</f>
        <v>0</v>
      </c>
      <c r="AC32" s="9"/>
      <c r="AD32" s="77"/>
      <c r="AE32" s="77"/>
      <c r="AF32" s="77"/>
      <c r="AG32" s="99"/>
      <c r="AH32" s="77"/>
      <c r="AI32" s="36">
        <f t="shared" si="14"/>
        <v>0</v>
      </c>
      <c r="AJ32" s="9"/>
      <c r="AK32" s="77"/>
      <c r="AL32" s="77"/>
      <c r="AM32" s="77"/>
      <c r="AN32" s="77"/>
      <c r="AO32" s="80"/>
      <c r="AP32" s="36">
        <f t="shared" si="15"/>
        <v>0</v>
      </c>
      <c r="AQ32" s="67">
        <f t="shared" si="11"/>
        <v>0</v>
      </c>
      <c r="AR32" s="67">
        <f>(AQ32+U32)/2</f>
        <v>0</v>
      </c>
      <c r="AS32" s="67">
        <f>IF(AT32="",0,10)</f>
        <v>0</v>
      </c>
      <c r="AT32" s="39" t="str">
        <f t="shared" si="12"/>
        <v/>
      </c>
      <c r="AU32" s="131"/>
      <c r="AV32" s="139"/>
      <c r="AY32" s="79" t="b">
        <f t="shared" si="16"/>
        <v>0</v>
      </c>
      <c r="AZ32" s="79" t="b">
        <f t="shared" si="17"/>
        <v>0</v>
      </c>
      <c r="BA32" s="79" t="b">
        <f t="shared" si="8"/>
        <v>0</v>
      </c>
      <c r="BB32" s="79" t="b">
        <f t="shared" si="13"/>
        <v>0</v>
      </c>
    </row>
    <row r="33" spans="2:54" ht="3" customHeight="1" x14ac:dyDescent="0.3">
      <c r="C33" s="47"/>
      <c r="E33" s="21"/>
      <c r="F33" s="38"/>
      <c r="G33" s="38"/>
      <c r="H33" s="21"/>
      <c r="I33" s="38"/>
      <c r="J33" s="38"/>
      <c r="K33" s="21"/>
      <c r="L33" s="38"/>
      <c r="M33" s="8"/>
      <c r="N33" s="37"/>
      <c r="O33" s="38"/>
      <c r="P33" s="38"/>
      <c r="Q33" s="37"/>
      <c r="R33" s="38"/>
      <c r="S33" s="10"/>
      <c r="T33" s="67"/>
      <c r="U33" s="67"/>
      <c r="V33" s="14"/>
      <c r="W33" s="77"/>
      <c r="X33" s="77"/>
      <c r="Y33" s="77"/>
      <c r="Z33" s="77"/>
      <c r="AA33" s="77"/>
      <c r="AB33" s="10"/>
      <c r="AC33" s="9"/>
      <c r="AD33" s="77"/>
      <c r="AE33" s="77"/>
      <c r="AF33" s="77"/>
      <c r="AG33" s="99"/>
      <c r="AH33" s="77"/>
      <c r="AI33" s="36"/>
      <c r="AJ33" s="9"/>
      <c r="AK33" s="77"/>
      <c r="AL33" s="77"/>
      <c r="AM33" s="77"/>
      <c r="AN33" s="77"/>
      <c r="AO33" s="80"/>
      <c r="AP33" s="36"/>
      <c r="AQ33" s="67"/>
      <c r="AR33" s="67"/>
      <c r="AS33" s="67"/>
      <c r="AT33" s="39"/>
      <c r="AU33" s="131"/>
      <c r="AV33" s="139"/>
      <c r="AY33" s="79"/>
      <c r="AZ33" s="79"/>
      <c r="BA33" s="79" t="b">
        <f t="shared" si="8"/>
        <v>0</v>
      </c>
      <c r="BB33" s="79" t="b">
        <f t="shared" si="13"/>
        <v>0</v>
      </c>
    </row>
    <row r="34" spans="2:54" x14ac:dyDescent="0.3">
      <c r="B34" s="41" t="s">
        <v>51</v>
      </c>
      <c r="C34" s="45"/>
      <c r="E34" s="37"/>
      <c r="F34" s="38">
        <f t="shared" si="0"/>
        <v>0</v>
      </c>
      <c r="G34" s="38">
        <f t="shared" si="1"/>
        <v>0</v>
      </c>
      <c r="H34" s="37"/>
      <c r="I34" s="38">
        <f t="shared" si="2"/>
        <v>0</v>
      </c>
      <c r="J34" s="38">
        <f t="shared" si="3"/>
        <v>0</v>
      </c>
      <c r="K34" s="37"/>
      <c r="L34" s="38">
        <f t="shared" si="18"/>
        <v>0</v>
      </c>
      <c r="M34" s="8">
        <f t="shared" si="19"/>
        <v>0</v>
      </c>
      <c r="N34" s="37"/>
      <c r="O34" s="38">
        <f t="shared" si="4"/>
        <v>0</v>
      </c>
      <c r="P34" s="38">
        <f t="shared" si="5"/>
        <v>0</v>
      </c>
      <c r="Q34" s="37"/>
      <c r="R34" s="38">
        <f t="shared" si="6"/>
        <v>0</v>
      </c>
      <c r="S34" s="38">
        <f>IF(R34&gt;0,1,0)</f>
        <v>0</v>
      </c>
      <c r="T34" s="67">
        <f t="shared" si="9"/>
        <v>0</v>
      </c>
      <c r="U34" s="67">
        <f t="shared" si="10"/>
        <v>0</v>
      </c>
      <c r="V34" s="14"/>
      <c r="W34" s="77"/>
      <c r="X34" s="77"/>
      <c r="Y34" s="77"/>
      <c r="Z34" s="77"/>
      <c r="AA34" s="77"/>
      <c r="AB34" s="36">
        <f>IF(W34="X",5)+IF(X34="X",4)+IF(Y34="X",3)+IF(Z34="X",2)+IF(AA34="X",1)</f>
        <v>0</v>
      </c>
      <c r="AC34" s="9"/>
      <c r="AD34" s="77"/>
      <c r="AE34" s="77"/>
      <c r="AF34" s="77"/>
      <c r="AG34" s="99"/>
      <c r="AH34" s="77"/>
      <c r="AI34" s="36">
        <f t="shared" si="14"/>
        <v>0</v>
      </c>
      <c r="AJ34" s="9"/>
      <c r="AK34" s="77"/>
      <c r="AL34" s="77"/>
      <c r="AM34" s="77"/>
      <c r="AN34" s="77"/>
      <c r="AO34" s="80"/>
      <c r="AP34" s="36">
        <f t="shared" si="15"/>
        <v>0</v>
      </c>
      <c r="AQ34" s="67">
        <f t="shared" si="11"/>
        <v>0</v>
      </c>
      <c r="AR34" s="67">
        <f>(AQ34+U34)/2</f>
        <v>0</v>
      </c>
      <c r="AS34" s="67">
        <f>IF(AT34="",0,10)</f>
        <v>0</v>
      </c>
      <c r="AT34" s="39" t="str">
        <f t="shared" si="12"/>
        <v/>
      </c>
      <c r="AU34" s="131"/>
      <c r="AV34" s="139"/>
      <c r="AY34" s="79" t="b">
        <f t="shared" si="16"/>
        <v>0</v>
      </c>
      <c r="AZ34" s="79" t="b">
        <f t="shared" si="17"/>
        <v>0</v>
      </c>
      <c r="BA34" s="79" t="b">
        <f t="shared" si="8"/>
        <v>0</v>
      </c>
      <c r="BB34" s="79" t="b">
        <f t="shared" si="13"/>
        <v>0</v>
      </c>
    </row>
    <row r="35" spans="2:54" ht="3" customHeight="1" x14ac:dyDescent="0.3">
      <c r="C35" s="47"/>
      <c r="E35" s="21"/>
      <c r="F35" s="38"/>
      <c r="G35" s="38"/>
      <c r="H35" s="21"/>
      <c r="I35" s="38"/>
      <c r="J35" s="38"/>
      <c r="K35" s="21"/>
      <c r="L35" s="38"/>
      <c r="M35" s="8"/>
      <c r="N35" s="37"/>
      <c r="O35" s="38"/>
      <c r="P35" s="38"/>
      <c r="Q35" s="37"/>
      <c r="R35" s="38"/>
      <c r="S35" s="10"/>
      <c r="T35" s="67"/>
      <c r="U35" s="67"/>
      <c r="V35" s="14"/>
      <c r="W35" s="77"/>
      <c r="X35" s="77"/>
      <c r="Y35" s="77"/>
      <c r="Z35" s="77"/>
      <c r="AA35" s="77"/>
      <c r="AB35" s="10"/>
      <c r="AC35" s="9"/>
      <c r="AD35" s="77"/>
      <c r="AE35" s="77"/>
      <c r="AF35" s="77"/>
      <c r="AG35" s="99"/>
      <c r="AH35" s="77"/>
      <c r="AI35" s="36"/>
      <c r="AJ35" s="9"/>
      <c r="AK35" s="77"/>
      <c r="AL35" s="77"/>
      <c r="AM35" s="77"/>
      <c r="AN35" s="77"/>
      <c r="AO35" s="80"/>
      <c r="AP35" s="36"/>
      <c r="AQ35" s="67"/>
      <c r="AR35" s="67"/>
      <c r="AS35" s="67"/>
      <c r="AT35" s="39"/>
      <c r="AU35" s="131"/>
      <c r="AV35" s="139"/>
      <c r="AY35" s="79"/>
      <c r="AZ35" s="79"/>
      <c r="BA35" s="79" t="b">
        <f t="shared" si="8"/>
        <v>0</v>
      </c>
      <c r="BB35" s="79" t="b">
        <f t="shared" si="13"/>
        <v>0</v>
      </c>
    </row>
    <row r="36" spans="2:54" x14ac:dyDescent="0.3">
      <c r="B36" s="41" t="s">
        <v>49</v>
      </c>
      <c r="C36" s="49"/>
      <c r="E36" s="37"/>
      <c r="F36" s="38">
        <f t="shared" si="0"/>
        <v>0</v>
      </c>
      <c r="G36" s="38">
        <f t="shared" si="1"/>
        <v>0</v>
      </c>
      <c r="H36" s="37"/>
      <c r="I36" s="38">
        <f t="shared" si="2"/>
        <v>0</v>
      </c>
      <c r="J36" s="38">
        <f t="shared" si="3"/>
        <v>0</v>
      </c>
      <c r="K36" s="37"/>
      <c r="L36" s="38">
        <f t="shared" si="18"/>
        <v>0</v>
      </c>
      <c r="M36" s="8">
        <f t="shared" si="19"/>
        <v>0</v>
      </c>
      <c r="N36" s="37"/>
      <c r="O36" s="38">
        <f t="shared" si="4"/>
        <v>0</v>
      </c>
      <c r="P36" s="38">
        <f t="shared" si="5"/>
        <v>0</v>
      </c>
      <c r="Q36" s="37"/>
      <c r="R36" s="38">
        <f t="shared" si="6"/>
        <v>0</v>
      </c>
      <c r="S36" s="38">
        <f>IF(R36&gt;0,1,0)</f>
        <v>0</v>
      </c>
      <c r="T36" s="67">
        <f t="shared" si="9"/>
        <v>0</v>
      </c>
      <c r="U36" s="67">
        <f t="shared" si="10"/>
        <v>0</v>
      </c>
      <c r="V36" s="14"/>
      <c r="W36" s="77"/>
      <c r="X36" s="77"/>
      <c r="Y36" s="77"/>
      <c r="Z36" s="77"/>
      <c r="AA36" s="77"/>
      <c r="AB36" s="36">
        <f>IF(W36="X",5)+IF(X36="X",4)+IF(Y36="X",3)+IF(Z36="X",2)+IF(AA36="X",1)</f>
        <v>0</v>
      </c>
      <c r="AC36" s="9"/>
      <c r="AD36" s="77"/>
      <c r="AE36" s="77"/>
      <c r="AF36" s="77"/>
      <c r="AG36" s="99"/>
      <c r="AH36" s="77"/>
      <c r="AI36" s="36">
        <f t="shared" si="14"/>
        <v>0</v>
      </c>
      <c r="AJ36" s="9"/>
      <c r="AK36" s="77"/>
      <c r="AL36" s="77"/>
      <c r="AM36" s="77"/>
      <c r="AN36" s="77"/>
      <c r="AO36" s="80"/>
      <c r="AP36" s="36">
        <f t="shared" si="15"/>
        <v>0</v>
      </c>
      <c r="AQ36" s="67">
        <f t="shared" si="11"/>
        <v>0</v>
      </c>
      <c r="AR36" s="67">
        <f>(AQ36+U36)/2</f>
        <v>0</v>
      </c>
      <c r="AS36" s="67">
        <f>IF(AT36="",0,10)</f>
        <v>0</v>
      </c>
      <c r="AT36" s="39" t="str">
        <f t="shared" si="12"/>
        <v/>
      </c>
      <c r="AU36" s="131"/>
      <c r="AV36" s="139"/>
      <c r="AY36" s="79" t="b">
        <f t="shared" si="16"/>
        <v>0</v>
      </c>
      <c r="AZ36" s="79" t="b">
        <f t="shared" si="17"/>
        <v>0</v>
      </c>
      <c r="BA36" s="79" t="b">
        <f t="shared" si="8"/>
        <v>0</v>
      </c>
      <c r="BB36" s="79" t="b">
        <f t="shared" si="13"/>
        <v>0</v>
      </c>
    </row>
    <row r="37" spans="2:54" ht="3" customHeight="1" x14ac:dyDescent="0.3">
      <c r="C37" s="48"/>
      <c r="E37" s="21"/>
      <c r="F37" s="38"/>
      <c r="G37" s="38"/>
      <c r="H37" s="21"/>
      <c r="I37" s="38"/>
      <c r="J37" s="38"/>
      <c r="K37" s="21"/>
      <c r="L37" s="38"/>
      <c r="M37" s="8"/>
      <c r="N37" s="37"/>
      <c r="O37" s="38"/>
      <c r="P37" s="38"/>
      <c r="Q37" s="37"/>
      <c r="R37" s="38"/>
      <c r="S37" s="10"/>
      <c r="T37" s="67"/>
      <c r="U37" s="67"/>
      <c r="V37" s="14"/>
      <c r="W37" s="77"/>
      <c r="X37" s="77"/>
      <c r="Y37" s="77"/>
      <c r="Z37" s="77"/>
      <c r="AA37" s="77"/>
      <c r="AB37" s="10"/>
      <c r="AC37" s="9"/>
      <c r="AD37" s="77"/>
      <c r="AE37" s="77"/>
      <c r="AF37" s="77"/>
      <c r="AG37" s="99"/>
      <c r="AH37" s="77"/>
      <c r="AI37" s="36"/>
      <c r="AJ37" s="9"/>
      <c r="AK37" s="77"/>
      <c r="AL37" s="77"/>
      <c r="AM37" s="77"/>
      <c r="AN37" s="77"/>
      <c r="AO37" s="80"/>
      <c r="AP37" s="36"/>
      <c r="AQ37" s="67"/>
      <c r="AR37" s="67"/>
      <c r="AS37" s="67"/>
      <c r="AT37" s="39"/>
      <c r="AU37" s="131"/>
      <c r="AV37" s="139"/>
      <c r="AY37" s="79"/>
      <c r="AZ37" s="79"/>
      <c r="BA37" s="79" t="b">
        <f t="shared" si="8"/>
        <v>0</v>
      </c>
      <c r="BB37" s="79" t="b">
        <f t="shared" si="13"/>
        <v>0</v>
      </c>
    </row>
    <row r="38" spans="2:54" x14ac:dyDescent="0.3">
      <c r="B38" s="41" t="s">
        <v>50</v>
      </c>
      <c r="C38" s="49"/>
      <c r="E38" s="37"/>
      <c r="F38" s="38">
        <f t="shared" si="0"/>
        <v>0</v>
      </c>
      <c r="G38" s="38">
        <f t="shared" si="1"/>
        <v>0</v>
      </c>
      <c r="H38" s="37"/>
      <c r="I38" s="38">
        <f t="shared" si="2"/>
        <v>0</v>
      </c>
      <c r="J38" s="38">
        <f t="shared" si="3"/>
        <v>0</v>
      </c>
      <c r="K38" s="37"/>
      <c r="L38" s="38">
        <f t="shared" si="18"/>
        <v>0</v>
      </c>
      <c r="M38" s="8">
        <f t="shared" si="19"/>
        <v>0</v>
      </c>
      <c r="N38" s="37"/>
      <c r="O38" s="38">
        <f t="shared" si="4"/>
        <v>0</v>
      </c>
      <c r="P38" s="38">
        <f t="shared" si="5"/>
        <v>0</v>
      </c>
      <c r="Q38" s="37"/>
      <c r="R38" s="38">
        <f t="shared" si="6"/>
        <v>0</v>
      </c>
      <c r="S38" s="38">
        <f>IF(R38&gt;0,1,0)</f>
        <v>0</v>
      </c>
      <c r="T38" s="67">
        <f t="shared" si="9"/>
        <v>0</v>
      </c>
      <c r="U38" s="67">
        <f t="shared" si="10"/>
        <v>0</v>
      </c>
      <c r="V38" s="14"/>
      <c r="W38" s="77"/>
      <c r="X38" s="77"/>
      <c r="Y38" s="77"/>
      <c r="Z38" s="77"/>
      <c r="AA38" s="77"/>
      <c r="AB38" s="36">
        <f>IF(W38="X",5)+IF(X38="X",4)+IF(Y38="X",3)+IF(Z38="X",2)+IF(AA38="X",1)</f>
        <v>0</v>
      </c>
      <c r="AC38" s="9"/>
      <c r="AD38" s="77"/>
      <c r="AE38" s="77"/>
      <c r="AF38" s="77"/>
      <c r="AG38" s="99"/>
      <c r="AH38" s="77"/>
      <c r="AI38" s="36">
        <f t="shared" si="14"/>
        <v>0</v>
      </c>
      <c r="AJ38" s="9"/>
      <c r="AK38" s="77"/>
      <c r="AL38" s="77"/>
      <c r="AM38" s="77"/>
      <c r="AN38" s="77"/>
      <c r="AO38" s="80"/>
      <c r="AP38" s="36">
        <f t="shared" si="15"/>
        <v>0</v>
      </c>
      <c r="AQ38" s="67">
        <f t="shared" si="11"/>
        <v>0</v>
      </c>
      <c r="AR38" s="67">
        <f>(AQ38+U38)/2</f>
        <v>0</v>
      </c>
      <c r="AS38" s="67">
        <f>IF(AT38="",0,10)</f>
        <v>0</v>
      </c>
      <c r="AT38" s="39" t="str">
        <f t="shared" si="12"/>
        <v/>
      </c>
      <c r="AU38" s="131"/>
      <c r="AV38" s="139"/>
      <c r="AY38" s="79" t="b">
        <f t="shared" si="16"/>
        <v>0</v>
      </c>
      <c r="AZ38" s="79" t="b">
        <f t="shared" si="17"/>
        <v>0</v>
      </c>
      <c r="BA38" s="79" t="b">
        <f t="shared" si="8"/>
        <v>0</v>
      </c>
      <c r="BB38" s="79" t="b">
        <f t="shared" si="13"/>
        <v>0</v>
      </c>
    </row>
    <row r="39" spans="2:54" ht="3.75" customHeight="1" x14ac:dyDescent="0.3">
      <c r="C39" s="48"/>
      <c r="E39" s="21"/>
      <c r="F39" s="38"/>
      <c r="G39" s="10"/>
      <c r="H39" s="21"/>
      <c r="I39" s="38"/>
      <c r="J39" s="10"/>
      <c r="K39" s="21"/>
      <c r="L39" s="38"/>
      <c r="M39" s="10"/>
      <c r="N39" s="37"/>
      <c r="O39" s="38"/>
      <c r="P39" s="38"/>
      <c r="Q39" s="37"/>
      <c r="R39" s="38"/>
      <c r="S39" s="10"/>
      <c r="T39" s="67"/>
      <c r="U39" s="67"/>
      <c r="V39" s="14"/>
      <c r="W39" s="21"/>
      <c r="X39" s="21"/>
      <c r="Y39" s="21"/>
      <c r="Z39" s="21"/>
      <c r="AA39" s="10"/>
      <c r="AB39" s="9"/>
      <c r="AC39" s="21"/>
      <c r="AD39" s="21"/>
      <c r="AE39" s="97"/>
      <c r="AF39" s="98"/>
      <c r="AG39" s="9"/>
      <c r="AH39" s="21"/>
      <c r="AI39" s="21"/>
      <c r="AJ39" s="21"/>
      <c r="AK39" s="21"/>
      <c r="AL39" s="21"/>
      <c r="AM39" s="21"/>
      <c r="AN39" s="10"/>
      <c r="AO39" s="75"/>
      <c r="AP39" s="21"/>
      <c r="AQ39" s="67"/>
      <c r="AR39" s="67"/>
      <c r="AS39" s="67"/>
      <c r="AT39" s="19"/>
      <c r="AU39" s="134"/>
      <c r="AV39" s="132"/>
      <c r="AY39" s="79"/>
      <c r="AZ39" s="79"/>
      <c r="BA39" s="79" t="b">
        <f t="shared" si="8"/>
        <v>0</v>
      </c>
      <c r="BB39" s="79" t="b">
        <f t="shared" si="13"/>
        <v>0</v>
      </c>
    </row>
  </sheetData>
  <sheetProtection formatCells="0" formatColumns="0" formatRows="0" selectLockedCells="1" pivotTables="0"/>
  <mergeCells count="31">
    <mergeCell ref="B1:C4"/>
    <mergeCell ref="E1:AV2"/>
    <mergeCell ref="E4:AV4"/>
    <mergeCell ref="B6:B8"/>
    <mergeCell ref="C6:C8"/>
    <mergeCell ref="E6:Q6"/>
    <mergeCell ref="W6:AO6"/>
    <mergeCell ref="AT6:AT8"/>
    <mergeCell ref="AV6:AV8"/>
    <mergeCell ref="N7:N8"/>
    <mergeCell ref="W7:AA7"/>
    <mergeCell ref="AD7:AH7"/>
    <mergeCell ref="AI7:AI8"/>
    <mergeCell ref="AK7:AO7"/>
    <mergeCell ref="AP7:AP8"/>
    <mergeCell ref="AY6:BB7"/>
    <mergeCell ref="E7:E8"/>
    <mergeCell ref="F7:F8"/>
    <mergeCell ref="G7:G8"/>
    <mergeCell ref="H7:H8"/>
    <mergeCell ref="I7:I8"/>
    <mergeCell ref="J7:J8"/>
    <mergeCell ref="K7:K8"/>
    <mergeCell ref="L7:L8"/>
    <mergeCell ref="M7:M8"/>
    <mergeCell ref="O7:O8"/>
    <mergeCell ref="P7:P8"/>
    <mergeCell ref="Q7:Q8"/>
    <mergeCell ref="R7:R8"/>
    <mergeCell ref="S7:S8"/>
    <mergeCell ref="AB7:AB8"/>
  </mergeCells>
  <conditionalFormatting sqref="Q10">
    <cfRule type="containsText" dxfId="25" priority="1" operator="containsText" text="Baixo">
      <formula>NOT(ISERROR(SEARCH("Baixo",Q10)))</formula>
    </cfRule>
  </conditionalFormatting>
  <conditionalFormatting sqref="AT11:AU38">
    <cfRule type="containsText" dxfId="24" priority="14" operator="containsText" text="Baixo">
      <formula>NOT(ISERROR(SEARCH("Baixo",AT11)))</formula>
    </cfRule>
    <cfRule type="containsText" dxfId="23" priority="15" operator="containsText" text="Médio">
      <formula>NOT(ISERROR(SEARCH("Médio",AT11)))</formula>
    </cfRule>
    <cfRule type="beginsWith" dxfId="22" priority="16" operator="beginsWith" text="Alto">
      <formula>LEFT(AT11,LEN("Alto"))="Alto"</formula>
    </cfRule>
    <cfRule type="containsText" dxfId="21" priority="17" operator="containsText" text="Muito Alto">
      <formula>NOT(ISERROR(SEARCH("Muito Alto",AT11)))</formula>
    </cfRule>
  </conditionalFormatting>
  <conditionalFormatting sqref="AT3:AV3 AT5:AV6 AT7:AU8">
    <cfRule type="cellIs" dxfId="20" priority="30" operator="equal">
      <formula>"Desprezível"</formula>
    </cfRule>
    <cfRule type="cellIs" dxfId="19" priority="31" operator="equal">
      <formula>"Intolerável"</formula>
    </cfRule>
    <cfRule type="cellIs" dxfId="18" priority="32" operator="equal">
      <formula>"Indesejável"</formula>
    </cfRule>
    <cfRule type="cellIs" dxfId="17" priority="33" operator="equal">
      <formula>"Administrável"</formula>
    </cfRule>
  </conditionalFormatting>
  <conditionalFormatting sqref="AT9:AV1048576">
    <cfRule type="cellIs" dxfId="16" priority="22" operator="equal">
      <formula>"Desprezível"</formula>
    </cfRule>
    <cfRule type="cellIs" dxfId="15" priority="23" operator="equal">
      <formula>"Intolerável"</formula>
    </cfRule>
    <cfRule type="cellIs" dxfId="14" priority="24" operator="equal">
      <formula>"Indesejável"</formula>
    </cfRule>
    <cfRule type="cellIs" dxfId="13" priority="25" operator="equal">
      <formula>"Administrável"</formula>
    </cfRule>
  </conditionalFormatting>
  <conditionalFormatting sqref="AT10:AV10 AV11:AV39">
    <cfRule type="containsText" dxfId="12" priority="18" operator="containsText" text="Baixo">
      <formula>NOT(ISERROR(SEARCH("Baixo",AT10)))</formula>
    </cfRule>
    <cfRule type="containsText" dxfId="11" priority="19" operator="containsText" text="Médio">
      <formula>NOT(ISERROR(SEARCH("Médio",AT10)))</formula>
    </cfRule>
    <cfRule type="beginsWith" dxfId="10" priority="20" operator="beginsWith" text="Alto">
      <formula>LEFT(AT10,LEN("Alto"))="Alto"</formula>
    </cfRule>
    <cfRule type="containsText" dxfId="9" priority="21" operator="containsText" text="Muito Alto">
      <formula>NOT(ISERROR(SEARCH("Muito Alto",AT10)))</formula>
    </cfRule>
  </conditionalFormatting>
  <conditionalFormatting sqref="AZ8">
    <cfRule type="containsText" dxfId="8" priority="2" operator="containsText" text="Baixo">
      <formula>NOT(ISERROR(SEARCH("Baixo",AZ8)))</formula>
    </cfRule>
    <cfRule type="containsText" dxfId="7" priority="3" operator="containsText" text="Médio">
      <formula>NOT(ISERROR(SEARCH("Médio",AZ8)))</formula>
    </cfRule>
    <cfRule type="beginsWith" dxfId="6" priority="4" operator="beginsWith" text="Alto">
      <formula>LEFT(AZ8,LEN("Alto"))="Alto"</formula>
    </cfRule>
    <cfRule type="containsText" dxfId="5" priority="5" operator="containsText" text="Muito Alto">
      <formula>NOT(ISERROR(SEARCH("Muito Alto",AZ8)))</formula>
    </cfRule>
    <cfRule type="cellIs" dxfId="4" priority="6" operator="equal">
      <formula>"Desprezível"</formula>
    </cfRule>
    <cfRule type="cellIs" dxfId="3" priority="7" operator="equal">
      <formula>"Intolerável"</formula>
    </cfRule>
    <cfRule type="cellIs" dxfId="2" priority="8" operator="equal">
      <formula>"Indesejável"</formula>
    </cfRule>
    <cfRule type="cellIs" dxfId="1" priority="9" operator="equal">
      <formula>"Administrável"</formula>
    </cfRule>
  </conditionalFormatting>
  <dataValidations count="4">
    <dataValidation type="list" allowBlank="1" showInputMessage="1" showErrorMessage="1" sqref="AV10:AV39" xr:uid="{87A4091F-2C9B-4129-A24D-4533AA165124}">
      <formula1>EstrategiasOport</formula1>
    </dataValidation>
    <dataValidation type="list" allowBlank="1" showInputMessage="1" showErrorMessage="1" sqref="AT9:AV9 AT39:AU39" xr:uid="{FB597153-A1DF-4A45-AB4A-67F824EB766D}">
      <formula1>$BG$14:$BG$20</formula1>
    </dataValidation>
    <dataValidation allowBlank="1" showErrorMessage="1" sqref="AT6:AU8 AV6" xr:uid="{2567E68A-128B-403C-8809-0A29B4B49C59}"/>
    <dataValidation type="list" allowBlank="1" showInputMessage="1" showErrorMessage="1" sqref="H28 K26 K38 K30 K32 K34 K36 K28 K12 K14 K10 K16 K18 K20 E10 E12 E14 E16 E18 E20 E22 E24 E26 E28 H10 H12 H14 H16 H18 H20 H22 H24 H26 H36 E30 E32 E34 E36 H30 H32 H34 H38 E38 K22 K24 N10:N39 Q10:Q39" xr:uid="{BBE7E141-5A2A-44C1-88ED-C97ED722CA7B}">
      <formula1>$BD$10:$BD$14</formula1>
    </dataValidation>
  </dataValidations>
  <pageMargins left="0" right="0" top="0" bottom="0" header="0" footer="0"/>
  <pageSetup paperSize="9" scale="73" fitToHeight="2"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7960-CA77-41C9-99C4-534B80DB1956}">
  <dimension ref="B2:J49"/>
  <sheetViews>
    <sheetView showGridLines="0" zoomScale="80" zoomScaleNormal="80" workbookViewId="0">
      <pane xSplit="5" ySplit="9" topLeftCell="F10" activePane="bottomRight" state="frozen"/>
      <selection pane="topRight" activeCell="G1" sqref="G1"/>
      <selection pane="bottomLeft" activeCell="A10" sqref="A10"/>
      <selection pane="bottomRight" activeCell="D11" sqref="D11"/>
    </sheetView>
  </sheetViews>
  <sheetFormatPr defaultColWidth="9.109375" defaultRowHeight="13.8" x14ac:dyDescent="0.3"/>
  <cols>
    <col min="1" max="1" width="1.88671875" style="1" customWidth="1"/>
    <col min="2" max="2" width="9.88671875" style="1" bestFit="1" customWidth="1"/>
    <col min="3" max="3" width="39.5546875" style="2" customWidth="1"/>
    <col min="4" max="5" width="0.5546875" style="2" customWidth="1"/>
    <col min="6" max="6" width="17.6640625" style="2" customWidth="1"/>
    <col min="7" max="7" width="0.5546875" style="2" customWidth="1"/>
    <col min="8" max="8" width="17.6640625" style="2" customWidth="1"/>
    <col min="9" max="9" width="0.5546875" style="2" customWidth="1"/>
    <col min="10" max="10" width="85.6640625" style="2" customWidth="1"/>
    <col min="11" max="16384" width="9.109375" style="1"/>
  </cols>
  <sheetData>
    <row r="2" spans="2:10" ht="20.399999999999999" x14ac:dyDescent="0.3">
      <c r="B2" s="240" t="s">
        <v>95</v>
      </c>
      <c r="C2" s="240"/>
      <c r="D2" s="240"/>
      <c r="E2" s="240"/>
      <c r="F2" s="240"/>
      <c r="G2" s="240"/>
      <c r="H2" s="240"/>
      <c r="I2" s="240"/>
      <c r="J2" s="240"/>
    </row>
    <row r="3" spans="2:10" ht="3" customHeight="1" x14ac:dyDescent="0.3"/>
    <row r="4" spans="2:10" ht="20.399999999999999" x14ac:dyDescent="0.3">
      <c r="B4" s="275"/>
      <c r="C4" s="275"/>
      <c r="D4" s="275"/>
      <c r="E4" s="275"/>
      <c r="F4" s="275"/>
      <c r="G4" s="275"/>
      <c r="H4" s="275"/>
      <c r="I4" s="275"/>
      <c r="J4" s="275"/>
    </row>
    <row r="5" spans="2:10" ht="3" customHeight="1" thickBot="1" x14ac:dyDescent="0.35"/>
    <row r="6" spans="2:10" ht="27" customHeight="1" x14ac:dyDescent="0.3">
      <c r="B6" s="42"/>
      <c r="C6" s="241" t="s">
        <v>52</v>
      </c>
      <c r="D6" s="4"/>
      <c r="E6" s="4"/>
      <c r="F6" s="276" t="s">
        <v>46</v>
      </c>
      <c r="G6" s="65"/>
      <c r="H6" s="279" t="s">
        <v>34</v>
      </c>
      <c r="I6" s="65"/>
      <c r="J6" s="279" t="s">
        <v>33</v>
      </c>
    </row>
    <row r="7" spans="2:10" ht="16.5" customHeight="1" x14ac:dyDescent="0.3">
      <c r="B7" s="43" t="s">
        <v>0</v>
      </c>
      <c r="C7" s="242"/>
      <c r="D7" s="4"/>
      <c r="E7" s="4"/>
      <c r="F7" s="277"/>
      <c r="G7" s="64"/>
      <c r="H7" s="279"/>
      <c r="I7" s="64"/>
      <c r="J7" s="279"/>
    </row>
    <row r="8" spans="2:10" ht="23.1" customHeight="1" thickBot="1" x14ac:dyDescent="0.35">
      <c r="B8" s="44"/>
      <c r="C8" s="243"/>
      <c r="D8" s="4"/>
      <c r="E8" s="4"/>
      <c r="F8" s="278"/>
      <c r="G8" s="64"/>
      <c r="H8" s="279"/>
      <c r="I8" s="64"/>
      <c r="J8" s="279"/>
    </row>
    <row r="9" spans="2:10" ht="3" customHeight="1" x14ac:dyDescent="0.3">
      <c r="B9" s="5"/>
      <c r="C9" s="6"/>
    </row>
    <row r="10" spans="2:10" ht="30" customHeight="1" x14ac:dyDescent="0.3">
      <c r="B10" s="232" t="s">
        <v>35</v>
      </c>
      <c r="C10" s="233" t="str">
        <f>'[1] Aval.Oportunidades-CANTU'!C10</f>
        <v>Expansão/aumento de faturamento na captação de  Novos Negocios</v>
      </c>
      <c r="F10" s="270" t="s">
        <v>126</v>
      </c>
      <c r="G10" s="18"/>
      <c r="H10" s="270" t="s">
        <v>106</v>
      </c>
      <c r="I10" s="18"/>
      <c r="J10" s="40" t="s">
        <v>127</v>
      </c>
    </row>
    <row r="11" spans="2:10" ht="30" customHeight="1" x14ac:dyDescent="0.3">
      <c r="B11" s="232"/>
      <c r="C11" s="233"/>
      <c r="F11" s="273"/>
      <c r="G11" s="18"/>
      <c r="H11" s="271"/>
      <c r="I11" s="18"/>
      <c r="J11" s="40"/>
    </row>
    <row r="12" spans="2:10" ht="30" customHeight="1" x14ac:dyDescent="0.3">
      <c r="B12" s="232"/>
      <c r="C12" s="234"/>
      <c r="F12" s="274"/>
      <c r="G12" s="18"/>
      <c r="H12" s="272"/>
      <c r="I12" s="18"/>
      <c r="J12" s="40"/>
    </row>
    <row r="13" spans="2:10" ht="3" customHeight="1" x14ac:dyDescent="0.3">
      <c r="C13" s="16"/>
      <c r="F13" s="17"/>
      <c r="G13" s="18"/>
      <c r="H13" s="17"/>
      <c r="I13" s="18"/>
      <c r="J13" s="17"/>
    </row>
    <row r="14" spans="2:10" ht="30" customHeight="1" x14ac:dyDescent="0.3">
      <c r="B14" s="232" t="s">
        <v>36</v>
      </c>
      <c r="C14" s="233">
        <f>'[1] Aval.Oportunidades-CANTU'!C12</f>
        <v>0</v>
      </c>
      <c r="F14" s="40"/>
      <c r="G14" s="18"/>
      <c r="H14" s="270"/>
      <c r="I14" s="18"/>
      <c r="J14" s="40"/>
    </row>
    <row r="15" spans="2:10" ht="30" customHeight="1" x14ac:dyDescent="0.3">
      <c r="B15" s="232"/>
      <c r="C15" s="233"/>
      <c r="F15" s="40"/>
      <c r="G15" s="18"/>
      <c r="H15" s="271"/>
      <c r="I15" s="18"/>
      <c r="J15" s="40"/>
    </row>
    <row r="16" spans="2:10" ht="30" customHeight="1" x14ac:dyDescent="0.3">
      <c r="B16" s="232"/>
      <c r="C16" s="234"/>
      <c r="F16" s="40"/>
      <c r="G16" s="18"/>
      <c r="H16" s="272"/>
      <c r="I16" s="18"/>
      <c r="J16" s="40"/>
    </row>
    <row r="17" spans="2:10" ht="3" customHeight="1" x14ac:dyDescent="0.3">
      <c r="C17" s="16"/>
      <c r="F17" s="17"/>
      <c r="G17" s="18"/>
      <c r="H17" s="17"/>
      <c r="I17" s="18"/>
      <c r="J17" s="17"/>
    </row>
    <row r="18" spans="2:10" ht="30" customHeight="1" x14ac:dyDescent="0.3">
      <c r="B18" s="232" t="s">
        <v>37</v>
      </c>
      <c r="C18" s="233"/>
      <c r="F18" s="40"/>
      <c r="G18" s="18"/>
      <c r="H18" s="270"/>
      <c r="I18" s="18"/>
      <c r="J18" s="40"/>
    </row>
    <row r="19" spans="2:10" ht="30" customHeight="1" x14ac:dyDescent="0.3">
      <c r="B19" s="232"/>
      <c r="C19" s="233"/>
      <c r="F19" s="40"/>
      <c r="G19" s="18"/>
      <c r="H19" s="271"/>
      <c r="I19" s="18"/>
      <c r="J19" s="40"/>
    </row>
    <row r="20" spans="2:10" ht="30" customHeight="1" x14ac:dyDescent="0.3">
      <c r="B20" s="232"/>
      <c r="C20" s="234"/>
      <c r="F20" s="40"/>
      <c r="G20" s="18"/>
      <c r="H20" s="272"/>
      <c r="I20" s="18"/>
      <c r="J20" s="40"/>
    </row>
    <row r="21" spans="2:10" ht="3" customHeight="1" x14ac:dyDescent="0.3">
      <c r="C21" s="16"/>
      <c r="F21" s="17"/>
      <c r="G21" s="18"/>
      <c r="H21" s="17"/>
      <c r="I21" s="18"/>
      <c r="J21" s="17"/>
    </row>
    <row r="22" spans="2:10" ht="30" customHeight="1" x14ac:dyDescent="0.3">
      <c r="B22" s="232" t="s">
        <v>38</v>
      </c>
      <c r="C22" s="233"/>
      <c r="F22" s="40"/>
      <c r="G22" s="18"/>
      <c r="H22" s="270"/>
      <c r="I22" s="18"/>
      <c r="J22" s="40"/>
    </row>
    <row r="23" spans="2:10" ht="30" customHeight="1" x14ac:dyDescent="0.3">
      <c r="B23" s="232"/>
      <c r="C23" s="233"/>
      <c r="F23" s="40"/>
      <c r="G23" s="18"/>
      <c r="H23" s="271"/>
      <c r="I23" s="18"/>
      <c r="J23" s="40"/>
    </row>
    <row r="24" spans="2:10" ht="30" customHeight="1" x14ac:dyDescent="0.3">
      <c r="B24" s="232"/>
      <c r="C24" s="234"/>
      <c r="F24" s="40"/>
      <c r="G24" s="18"/>
      <c r="H24" s="272"/>
      <c r="I24" s="18"/>
      <c r="J24" s="40"/>
    </row>
    <row r="25" spans="2:10" ht="3" customHeight="1" x14ac:dyDescent="0.3">
      <c r="C25" s="16"/>
      <c r="F25" s="17"/>
      <c r="G25" s="18"/>
      <c r="H25" s="17"/>
      <c r="I25" s="18"/>
      <c r="J25" s="17"/>
    </row>
    <row r="26" spans="2:10" ht="30" customHeight="1" x14ac:dyDescent="0.3">
      <c r="B26" s="232" t="s">
        <v>39</v>
      </c>
      <c r="C26" s="233"/>
      <c r="F26" s="40"/>
      <c r="G26" s="18"/>
      <c r="H26" s="40"/>
      <c r="I26" s="18"/>
      <c r="J26" s="40"/>
    </row>
    <row r="27" spans="2:10" ht="30" customHeight="1" x14ac:dyDescent="0.3">
      <c r="B27" s="232"/>
      <c r="C27" s="233"/>
      <c r="F27" s="40"/>
      <c r="G27" s="18"/>
      <c r="H27" s="40"/>
      <c r="I27" s="18"/>
      <c r="J27" s="40"/>
    </row>
    <row r="28" spans="2:10" ht="30" customHeight="1" x14ac:dyDescent="0.3">
      <c r="B28" s="232"/>
      <c r="C28" s="234"/>
      <c r="F28" s="40"/>
      <c r="G28" s="18"/>
      <c r="H28" s="40"/>
      <c r="I28" s="18"/>
      <c r="J28" s="40"/>
    </row>
    <row r="29" spans="2:10" ht="3" customHeight="1" x14ac:dyDescent="0.3">
      <c r="C29" s="16"/>
      <c r="F29" s="17"/>
      <c r="G29" s="18"/>
      <c r="H29" s="17"/>
      <c r="I29" s="18"/>
      <c r="J29" s="17"/>
    </row>
    <row r="30" spans="2:10" ht="30" customHeight="1" x14ac:dyDescent="0.3">
      <c r="B30" s="232" t="s">
        <v>40</v>
      </c>
      <c r="C30" s="233"/>
      <c r="F30" s="40"/>
      <c r="G30" s="18"/>
      <c r="H30" s="40"/>
      <c r="I30" s="18"/>
      <c r="J30" s="40"/>
    </row>
    <row r="31" spans="2:10" ht="30" customHeight="1" x14ac:dyDescent="0.3">
      <c r="B31" s="232"/>
      <c r="C31" s="233"/>
      <c r="F31" s="40"/>
      <c r="G31" s="18"/>
      <c r="H31" s="40"/>
      <c r="I31" s="18"/>
      <c r="J31" s="40"/>
    </row>
    <row r="32" spans="2:10" ht="30" customHeight="1" x14ac:dyDescent="0.3">
      <c r="B32" s="232"/>
      <c r="C32" s="234"/>
      <c r="F32" s="40"/>
      <c r="G32" s="18"/>
      <c r="H32" s="40"/>
      <c r="I32" s="18"/>
      <c r="J32" s="40"/>
    </row>
    <row r="33" spans="2:10" ht="3" customHeight="1" x14ac:dyDescent="0.3">
      <c r="C33" s="16"/>
      <c r="F33" s="17"/>
      <c r="G33" s="18"/>
      <c r="H33" s="17"/>
      <c r="I33" s="18"/>
      <c r="J33" s="17"/>
    </row>
    <row r="34" spans="2:10" ht="30" customHeight="1" x14ac:dyDescent="0.3">
      <c r="B34" s="232" t="s">
        <v>41</v>
      </c>
      <c r="C34" s="233"/>
      <c r="F34" s="40"/>
      <c r="G34" s="18"/>
      <c r="H34" s="40"/>
      <c r="I34" s="18"/>
      <c r="J34" s="40"/>
    </row>
    <row r="35" spans="2:10" ht="30" customHeight="1" x14ac:dyDescent="0.3">
      <c r="B35" s="232"/>
      <c r="C35" s="233"/>
      <c r="F35" s="40"/>
      <c r="G35" s="18"/>
      <c r="H35" s="40"/>
      <c r="I35" s="18"/>
      <c r="J35" s="40"/>
    </row>
    <row r="36" spans="2:10" ht="30" customHeight="1" x14ac:dyDescent="0.3">
      <c r="B36" s="232"/>
      <c r="C36" s="234"/>
      <c r="F36" s="40"/>
      <c r="G36" s="18"/>
      <c r="H36" s="40"/>
      <c r="I36" s="18"/>
      <c r="J36" s="40"/>
    </row>
    <row r="37" spans="2:10" ht="3" customHeight="1" x14ac:dyDescent="0.3">
      <c r="C37" s="16"/>
      <c r="F37" s="17"/>
      <c r="G37" s="18"/>
      <c r="H37" s="17"/>
      <c r="I37" s="18"/>
      <c r="J37" s="17"/>
    </row>
    <row r="38" spans="2:10" ht="30" customHeight="1" x14ac:dyDescent="0.3">
      <c r="B38" s="232" t="s">
        <v>42</v>
      </c>
      <c r="C38" s="233"/>
      <c r="F38" s="40"/>
      <c r="G38" s="18"/>
      <c r="H38" s="40"/>
      <c r="I38" s="18"/>
      <c r="J38" s="40"/>
    </row>
    <row r="39" spans="2:10" ht="30" customHeight="1" x14ac:dyDescent="0.3">
      <c r="B39" s="232"/>
      <c r="C39" s="233"/>
      <c r="F39" s="40"/>
      <c r="G39" s="18"/>
      <c r="H39" s="40"/>
      <c r="I39" s="18"/>
      <c r="J39" s="40"/>
    </row>
    <row r="40" spans="2:10" ht="30" customHeight="1" x14ac:dyDescent="0.3">
      <c r="B40" s="232"/>
      <c r="C40" s="234"/>
      <c r="F40" s="40"/>
      <c r="G40" s="18"/>
      <c r="H40" s="40"/>
      <c r="I40" s="18"/>
      <c r="J40" s="40"/>
    </row>
    <row r="41" spans="2:10" ht="3" customHeight="1" x14ac:dyDescent="0.3">
      <c r="C41" s="16"/>
      <c r="F41" s="17"/>
      <c r="G41" s="18"/>
      <c r="H41" s="17"/>
      <c r="I41" s="18"/>
      <c r="J41" s="17"/>
    </row>
    <row r="42" spans="2:10" ht="30" customHeight="1" x14ac:dyDescent="0.3">
      <c r="B42" s="232" t="s">
        <v>43</v>
      </c>
      <c r="C42" s="233"/>
      <c r="F42" s="40"/>
      <c r="G42" s="18"/>
      <c r="H42" s="40"/>
      <c r="I42" s="18"/>
      <c r="J42" s="40"/>
    </row>
    <row r="43" spans="2:10" ht="30" customHeight="1" x14ac:dyDescent="0.3">
      <c r="B43" s="232"/>
      <c r="C43" s="233"/>
      <c r="F43" s="40"/>
      <c r="G43" s="18"/>
      <c r="H43" s="40"/>
      <c r="I43" s="18"/>
      <c r="J43" s="40"/>
    </row>
    <row r="44" spans="2:10" ht="30" customHeight="1" x14ac:dyDescent="0.3">
      <c r="B44" s="232"/>
      <c r="C44" s="234"/>
      <c r="F44" s="40"/>
      <c r="G44" s="18"/>
      <c r="H44" s="40"/>
      <c r="I44" s="18"/>
      <c r="J44" s="40"/>
    </row>
    <row r="45" spans="2:10" ht="3" customHeight="1" x14ac:dyDescent="0.3">
      <c r="C45" s="16"/>
      <c r="F45" s="17"/>
      <c r="G45" s="18"/>
      <c r="H45" s="17"/>
      <c r="I45" s="18"/>
      <c r="J45" s="17"/>
    </row>
    <row r="46" spans="2:10" ht="30" customHeight="1" x14ac:dyDescent="0.3">
      <c r="B46" s="232" t="s">
        <v>44</v>
      </c>
      <c r="C46" s="233"/>
      <c r="F46" s="40"/>
      <c r="G46" s="18"/>
      <c r="H46" s="40"/>
      <c r="I46" s="18"/>
      <c r="J46" s="40"/>
    </row>
    <row r="47" spans="2:10" ht="30" customHeight="1" x14ac:dyDescent="0.3">
      <c r="B47" s="232"/>
      <c r="C47" s="233"/>
      <c r="F47" s="40"/>
      <c r="G47" s="18"/>
      <c r="H47" s="40"/>
      <c r="I47" s="18"/>
      <c r="J47" s="40"/>
    </row>
    <row r="48" spans="2:10" ht="30" customHeight="1" x14ac:dyDescent="0.3">
      <c r="B48" s="232"/>
      <c r="C48" s="234"/>
      <c r="F48" s="40"/>
      <c r="G48" s="18"/>
      <c r="H48" s="40"/>
      <c r="I48" s="18"/>
      <c r="J48" s="40"/>
    </row>
    <row r="49" spans="3:10" ht="3" customHeight="1" x14ac:dyDescent="0.3">
      <c r="C49" s="16"/>
      <c r="F49" s="17"/>
      <c r="G49" s="18"/>
      <c r="H49" s="17"/>
      <c r="I49" s="18"/>
      <c r="J49" s="17"/>
    </row>
  </sheetData>
  <sheetProtection formatCells="0" formatColumns="0" formatRows="0" selectLockedCells="1" sort="0" autoFilter="0" pivotTables="0"/>
  <mergeCells count="31">
    <mergeCell ref="B2:J2"/>
    <mergeCell ref="B4:J4"/>
    <mergeCell ref="C6:C8"/>
    <mergeCell ref="F6:F8"/>
    <mergeCell ref="H6:H8"/>
    <mergeCell ref="J6:J8"/>
    <mergeCell ref="B10:B12"/>
    <mergeCell ref="C10:C12"/>
    <mergeCell ref="H10:H12"/>
    <mergeCell ref="B14:B16"/>
    <mergeCell ref="C14:C16"/>
    <mergeCell ref="H14:H16"/>
    <mergeCell ref="F10:F12"/>
    <mergeCell ref="B18:B20"/>
    <mergeCell ref="C18:C20"/>
    <mergeCell ref="H18:H20"/>
    <mergeCell ref="B22:B24"/>
    <mergeCell ref="C22:C24"/>
    <mergeCell ref="H22:H24"/>
    <mergeCell ref="B26:B28"/>
    <mergeCell ref="C26:C28"/>
    <mergeCell ref="B30:B32"/>
    <mergeCell ref="C30:C32"/>
    <mergeCell ref="B34:B36"/>
    <mergeCell ref="C34:C36"/>
    <mergeCell ref="B38:B40"/>
    <mergeCell ref="C38:C40"/>
    <mergeCell ref="B42:B44"/>
    <mergeCell ref="C42:C44"/>
    <mergeCell ref="B46:B48"/>
    <mergeCell ref="C46:C48"/>
  </mergeCells>
  <conditionalFormatting sqref="C1:C5 C9:C1048576">
    <cfRule type="cellIs" dxfId="0" priority="1" operator="equal">
      <formula>0</formula>
    </cfRule>
  </conditionalFormatting>
  <pageMargins left="0" right="0" top="0" bottom="0" header="0" footer="0"/>
  <pageSetup paperSize="9" scale="80" fitToHeight="2" orientation="landscape" r:id="rId1"/>
  <rowBreaks count="1" manualBreakCount="1">
    <brk id="28" min="1"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1259-86E4-4A5B-9FD7-553A9B16DC5A}">
  <dimension ref="A1:AA43"/>
  <sheetViews>
    <sheetView tabSelected="1" zoomScaleNormal="100" workbookViewId="0">
      <pane xSplit="4" ySplit="2" topLeftCell="E3" activePane="bottomRight" state="frozen"/>
      <selection pane="topRight" activeCell="E1" sqref="E1"/>
      <selection pane="bottomLeft" activeCell="A2" sqref="A2"/>
      <selection pane="bottomRight" activeCell="X7" sqref="E7:X7"/>
    </sheetView>
  </sheetViews>
  <sheetFormatPr defaultColWidth="9.109375" defaultRowHeight="14.4" outlineLevelRow="1" x14ac:dyDescent="0.3"/>
  <cols>
    <col min="1" max="1" width="9.33203125" style="192" bestFit="1" customWidth="1"/>
    <col min="2" max="2" width="35.33203125" style="152" bestFit="1" customWidth="1"/>
    <col min="3" max="3" width="16.88671875" style="152" customWidth="1"/>
    <col min="4" max="4" width="19.109375" style="190" customWidth="1"/>
    <col min="5" max="5" width="18.44140625" style="152" customWidth="1"/>
    <col min="6" max="6" width="18" style="152" bestFit="1" customWidth="1"/>
    <col min="7" max="8" width="15.88671875" style="152" bestFit="1" customWidth="1"/>
    <col min="9" max="15" width="14.33203125" style="152" bestFit="1" customWidth="1"/>
    <col min="16" max="21" width="13.33203125" style="152" bestFit="1" customWidth="1"/>
    <col min="22" max="25" width="14.33203125" style="152" bestFit="1" customWidth="1"/>
    <col min="26" max="26" width="14" style="152" bestFit="1" customWidth="1"/>
    <col min="27" max="27" width="14.33203125" style="152" bestFit="1" customWidth="1"/>
    <col min="28" max="16384" width="9.109375" style="152"/>
  </cols>
  <sheetData>
    <row r="1" spans="1:27" x14ac:dyDescent="0.3">
      <c r="D1" s="193">
        <f>SUM(E3:H3)+SUM(E5:H5)-SUM(E12:H13)-SUM(E15:H15)+SUM(E7:H7)+SUM(E21:H21)</f>
        <v>176793.1175110059</v>
      </c>
      <c r="E1" s="156">
        <f t="shared" ref="E1:X1" si="0">(E3/$C$3)*458056.3140171</f>
        <v>5588.2870310086209</v>
      </c>
      <c r="F1" s="156">
        <f t="shared" si="0"/>
        <v>14337.162628735232</v>
      </c>
      <c r="G1" s="156">
        <f t="shared" si="0"/>
        <v>12688.15989827367</v>
      </c>
      <c r="H1" s="156">
        <f t="shared" si="0"/>
        <v>17772.584983863482</v>
      </c>
      <c r="I1" s="156">
        <f t="shared" si="0"/>
        <v>16490.0273046156</v>
      </c>
      <c r="J1" s="156">
        <f t="shared" si="0"/>
        <v>21070.590444786601</v>
      </c>
      <c r="K1" s="156">
        <f t="shared" si="0"/>
        <v>23498.28890907723</v>
      </c>
      <c r="L1" s="156">
        <f t="shared" si="0"/>
        <v>27437.573209624294</v>
      </c>
      <c r="M1" s="156">
        <f t="shared" si="0"/>
        <v>31285.246247367933</v>
      </c>
      <c r="N1" s="156">
        <f t="shared" si="0"/>
        <v>33117.471503436333</v>
      </c>
      <c r="O1" s="156">
        <f t="shared" si="0"/>
        <v>33117.471503436333</v>
      </c>
      <c r="P1" s="156">
        <f t="shared" si="0"/>
        <v>22490.565018239609</v>
      </c>
      <c r="Q1" s="156">
        <f t="shared" si="0"/>
        <v>19559.004608530173</v>
      </c>
      <c r="R1" s="156">
        <f t="shared" si="0"/>
        <v>20795.756656376343</v>
      </c>
      <c r="S1" s="156">
        <f t="shared" si="0"/>
        <v>20795.756656376343</v>
      </c>
      <c r="T1" s="156">
        <f t="shared" si="0"/>
        <v>25513.73669075247</v>
      </c>
      <c r="U1" s="156">
        <f t="shared" si="0"/>
        <v>29498.826622701243</v>
      </c>
      <c r="V1" s="156">
        <f t="shared" si="0"/>
        <v>31193.634984564509</v>
      </c>
      <c r="W1" s="156">
        <f t="shared" si="0"/>
        <v>32980.0546092312</v>
      </c>
      <c r="X1" s="156">
        <f t="shared" si="0"/>
        <v>18826.114506102811</v>
      </c>
    </row>
    <row r="2" spans="1:27" x14ac:dyDescent="0.3">
      <c r="B2" s="158" t="s">
        <v>163</v>
      </c>
      <c r="C2" s="175" t="s">
        <v>140</v>
      </c>
      <c r="D2" s="179" t="s">
        <v>159</v>
      </c>
      <c r="E2" s="165">
        <v>45170</v>
      </c>
      <c r="F2" s="165">
        <v>45200</v>
      </c>
      <c r="G2" s="165">
        <v>45231</v>
      </c>
      <c r="H2" s="165">
        <v>45261</v>
      </c>
      <c r="I2" s="165">
        <v>45292</v>
      </c>
      <c r="J2" s="165">
        <v>45323</v>
      </c>
      <c r="K2" s="165">
        <v>45352</v>
      </c>
      <c r="L2" s="165">
        <v>45383</v>
      </c>
      <c r="M2" s="165">
        <v>45413</v>
      </c>
      <c r="N2" s="165">
        <v>45444</v>
      </c>
      <c r="O2" s="165">
        <v>45474</v>
      </c>
      <c r="P2" s="165">
        <v>45505</v>
      </c>
      <c r="Q2" s="165">
        <v>45536</v>
      </c>
      <c r="R2" s="165">
        <v>45566</v>
      </c>
      <c r="S2" s="165">
        <v>45597</v>
      </c>
      <c r="T2" s="165">
        <v>45627</v>
      </c>
      <c r="U2" s="165">
        <v>45658</v>
      </c>
      <c r="V2" s="165">
        <v>45689</v>
      </c>
      <c r="W2" s="165">
        <v>45717</v>
      </c>
      <c r="X2" s="165">
        <v>45748</v>
      </c>
      <c r="Y2" s="165">
        <v>45748</v>
      </c>
    </row>
    <row r="3" spans="1:27" x14ac:dyDescent="0.3">
      <c r="A3" s="192" t="s">
        <v>156</v>
      </c>
      <c r="B3" s="159" t="s">
        <v>128</v>
      </c>
      <c r="C3" s="176">
        <f>1526854.380057*D3</f>
        <v>1068798.0660399001</v>
      </c>
      <c r="D3" s="180">
        <v>0.7</v>
      </c>
      <c r="E3" s="153">
        <f>$C$3*E25</f>
        <v>13039.336405686781</v>
      </c>
      <c r="F3" s="153">
        <f t="shared" ref="F3:M3" si="1">$C$3*F25</f>
        <v>33453.379467048871</v>
      </c>
      <c r="G3" s="153">
        <f t="shared" si="1"/>
        <v>29605.706429305232</v>
      </c>
      <c r="H3" s="153">
        <f t="shared" si="1"/>
        <v>41469.364962348125</v>
      </c>
      <c r="I3" s="153">
        <f t="shared" si="1"/>
        <v>38476.730377436397</v>
      </c>
      <c r="J3" s="153">
        <f t="shared" si="1"/>
        <v>49164.711037835405</v>
      </c>
      <c r="K3" s="153">
        <f t="shared" si="1"/>
        <v>54829.340787846872</v>
      </c>
      <c r="L3" s="153">
        <f t="shared" si="1"/>
        <v>64021.004155790019</v>
      </c>
      <c r="M3" s="153">
        <f t="shared" si="1"/>
        <v>72998.907910525173</v>
      </c>
      <c r="N3" s="153">
        <f t="shared" ref="N3:X3" si="2">$C$3*N25</f>
        <v>77274.100174684776</v>
      </c>
      <c r="O3" s="153">
        <f t="shared" si="2"/>
        <v>77274.100174684776</v>
      </c>
      <c r="P3" s="153">
        <f t="shared" si="2"/>
        <v>52477.985042559092</v>
      </c>
      <c r="Q3" s="153">
        <f t="shared" si="2"/>
        <v>45637.677419903732</v>
      </c>
      <c r="R3" s="153">
        <f t="shared" si="2"/>
        <v>48523.432198211463</v>
      </c>
      <c r="S3" s="153">
        <f t="shared" si="2"/>
        <v>48523.432198211463</v>
      </c>
      <c r="T3" s="153">
        <f t="shared" si="2"/>
        <v>59532.05227842243</v>
      </c>
      <c r="U3" s="153">
        <f t="shared" si="2"/>
        <v>68830.595452969559</v>
      </c>
      <c r="V3" s="153">
        <f t="shared" si="2"/>
        <v>72785.148297317181</v>
      </c>
      <c r="W3" s="153">
        <f t="shared" si="2"/>
        <v>76953.460754872794</v>
      </c>
      <c r="X3" s="153">
        <f t="shared" si="2"/>
        <v>43927.600514239894</v>
      </c>
      <c r="Y3" s="153"/>
      <c r="Z3" s="167" t="b">
        <f>SUM(E3:X3)=C3</f>
        <v>1</v>
      </c>
      <c r="AA3" s="168">
        <f>SUM(E3:X3)-C3</f>
        <v>0</v>
      </c>
    </row>
    <row r="4" spans="1:27" x14ac:dyDescent="0.3">
      <c r="A4" s="192" t="s">
        <v>156</v>
      </c>
      <c r="B4" s="159" t="s">
        <v>154</v>
      </c>
      <c r="C4" s="176">
        <f>1526854.380057*D4</f>
        <v>458056.31401710003</v>
      </c>
      <c r="D4" s="180">
        <v>0.3</v>
      </c>
      <c r="E4" s="153">
        <v>5588.2870310086209</v>
      </c>
      <c r="F4" s="153">
        <v>14337.162628735232</v>
      </c>
      <c r="G4" s="153">
        <v>12688.15989827367</v>
      </c>
      <c r="H4" s="153">
        <v>17772.584983863482</v>
      </c>
      <c r="I4" s="153">
        <v>16490.0273046156</v>
      </c>
      <c r="J4" s="153">
        <v>21070.590444786601</v>
      </c>
      <c r="K4" s="153">
        <v>23498.28890907723</v>
      </c>
      <c r="L4" s="153">
        <v>27437.573209624294</v>
      </c>
      <c r="M4" s="153">
        <v>31285.246247367933</v>
      </c>
      <c r="N4" s="153">
        <v>33117.471503436333</v>
      </c>
      <c r="O4" s="153">
        <v>33117.471503436333</v>
      </c>
      <c r="P4" s="153">
        <v>22490.565018239609</v>
      </c>
      <c r="Q4" s="153">
        <v>19559.004608530173</v>
      </c>
      <c r="R4" s="153">
        <v>20795.756656376343</v>
      </c>
      <c r="S4" s="153">
        <v>20795.756656376343</v>
      </c>
      <c r="T4" s="153">
        <v>25513.73669075247</v>
      </c>
      <c r="U4" s="153">
        <v>29498.826622701243</v>
      </c>
      <c r="V4" s="153">
        <v>31193.634984564509</v>
      </c>
      <c r="W4" s="153">
        <v>32980.0546092312</v>
      </c>
      <c r="X4" s="153">
        <v>18826.114506102811</v>
      </c>
      <c r="Y4" s="153"/>
      <c r="Z4" s="167"/>
      <c r="AA4" s="168"/>
    </row>
    <row r="5" spans="1:27" x14ac:dyDescent="0.3">
      <c r="A5" s="192" t="s">
        <v>156</v>
      </c>
      <c r="B5" s="159" t="s">
        <v>129</v>
      </c>
      <c r="C5" s="176">
        <v>757955.8</v>
      </c>
      <c r="D5" s="181">
        <v>20</v>
      </c>
      <c r="E5" s="153">
        <f>C5/$D$5</f>
        <v>37897.79</v>
      </c>
      <c r="F5" s="153">
        <f>E5</f>
        <v>37897.79</v>
      </c>
      <c r="G5" s="153">
        <f t="shared" ref="G5:X5" si="3">F5</f>
        <v>37897.79</v>
      </c>
      <c r="H5" s="153">
        <f t="shared" si="3"/>
        <v>37897.79</v>
      </c>
      <c r="I5" s="153">
        <f t="shared" si="3"/>
        <v>37897.79</v>
      </c>
      <c r="J5" s="153">
        <f t="shared" si="3"/>
        <v>37897.79</v>
      </c>
      <c r="K5" s="153">
        <f t="shared" si="3"/>
        <v>37897.79</v>
      </c>
      <c r="L5" s="153">
        <f t="shared" si="3"/>
        <v>37897.79</v>
      </c>
      <c r="M5" s="153">
        <f t="shared" si="3"/>
        <v>37897.79</v>
      </c>
      <c r="N5" s="153">
        <f t="shared" si="3"/>
        <v>37897.79</v>
      </c>
      <c r="O5" s="153">
        <f t="shared" si="3"/>
        <v>37897.79</v>
      </c>
      <c r="P5" s="153">
        <f t="shared" si="3"/>
        <v>37897.79</v>
      </c>
      <c r="Q5" s="153">
        <f t="shared" si="3"/>
        <v>37897.79</v>
      </c>
      <c r="R5" s="153">
        <f t="shared" si="3"/>
        <v>37897.79</v>
      </c>
      <c r="S5" s="153">
        <f t="shared" si="3"/>
        <v>37897.79</v>
      </c>
      <c r="T5" s="153">
        <f t="shared" si="3"/>
        <v>37897.79</v>
      </c>
      <c r="U5" s="153">
        <f t="shared" si="3"/>
        <v>37897.79</v>
      </c>
      <c r="V5" s="153">
        <f t="shared" si="3"/>
        <v>37897.79</v>
      </c>
      <c r="W5" s="153">
        <f t="shared" si="3"/>
        <v>37897.79</v>
      </c>
      <c r="X5" s="153">
        <f t="shared" si="3"/>
        <v>37897.79</v>
      </c>
      <c r="Y5" s="153"/>
      <c r="Z5" s="167" t="b">
        <f>SUM(E5:X5)=C5</f>
        <v>1</v>
      </c>
      <c r="AA5" s="168">
        <f>SUM(E5:X5)-C5</f>
        <v>0</v>
      </c>
    </row>
    <row r="6" spans="1:27" x14ac:dyDescent="0.3">
      <c r="A6" s="192" t="s">
        <v>156</v>
      </c>
      <c r="B6" s="161" t="s">
        <v>155</v>
      </c>
      <c r="C6" s="176">
        <f>169650.486673</f>
        <v>169650.48667300001</v>
      </c>
      <c r="D6" s="181"/>
      <c r="E6" s="153"/>
      <c r="F6" s="153"/>
      <c r="G6" s="153"/>
      <c r="H6" s="153"/>
      <c r="I6" s="153"/>
      <c r="J6" s="153"/>
      <c r="K6" s="153"/>
      <c r="L6" s="153"/>
      <c r="M6" s="153"/>
      <c r="N6" s="153"/>
      <c r="O6" s="153"/>
      <c r="P6" s="153"/>
      <c r="Q6" s="153"/>
      <c r="R6" s="153"/>
      <c r="S6" s="153"/>
      <c r="T6" s="153"/>
      <c r="U6" s="153"/>
      <c r="V6" s="153"/>
      <c r="W6" s="153"/>
      <c r="X6" s="153">
        <f>C6</f>
        <v>169650.48667300001</v>
      </c>
      <c r="Y6" s="153">
        <f>D6</f>
        <v>0</v>
      </c>
      <c r="Z6" s="167" t="b">
        <f>SUM(E6:X6)=C6</f>
        <v>1</v>
      </c>
      <c r="AA6" s="168">
        <f>SUM(E6:X6)-C6</f>
        <v>0</v>
      </c>
    </row>
    <row r="7" spans="1:27" x14ac:dyDescent="0.3">
      <c r="A7" s="192" t="s">
        <v>158</v>
      </c>
      <c r="B7" s="161" t="s">
        <v>130</v>
      </c>
      <c r="C7" s="177">
        <f>SUM(E7:X7)</f>
        <v>-240712.02993389859</v>
      </c>
      <c r="D7" s="182">
        <v>9.8071251740445106E-2</v>
      </c>
      <c r="E7" s="153">
        <f>-$D$7*(E3+E4+E5+E6)</f>
        <v>-5543.5180508828935</v>
      </c>
      <c r="F7" s="153">
        <f>-$D$7*(F3+F4+F5+F6)</f>
        <v>-8403.561988184505</v>
      </c>
      <c r="G7" s="153">
        <f t="shared" ref="G7:X7" si="4">-$D$7*(G3+G4+G5+G6)</f>
        <v>-7864.4961151852485</v>
      </c>
      <c r="H7" s="153">
        <f t="shared" si="4"/>
        <v>-9526.6158902662901</v>
      </c>
      <c r="I7" s="153">
        <f t="shared" si="4"/>
        <v>-9107.3424334890897</v>
      </c>
      <c r="J7" s="153">
        <f t="shared" si="4"/>
        <v>-10604.747636264803</v>
      </c>
      <c r="K7" s="153">
        <f t="shared" si="4"/>
        <v>-11398.37239373593</v>
      </c>
      <c r="L7" s="153">
        <f t="shared" si="4"/>
        <v>-12686.140868123044</v>
      </c>
      <c r="M7" s="153">
        <f t="shared" si="4"/>
        <v>-13943.961238454642</v>
      </c>
      <c r="N7" s="153">
        <f t="shared" si="4"/>
        <v>-14542.923319564929</v>
      </c>
      <c r="O7" s="153">
        <f t="shared" si="4"/>
        <v>-14542.923319564929</v>
      </c>
      <c r="P7" s="153">
        <f t="shared" si="4"/>
        <v>-11068.943249125276</v>
      </c>
      <c r="Q7" s="153">
        <f t="shared" si="4"/>
        <v>-10110.603919348818</v>
      </c>
      <c r="R7" s="153">
        <f t="shared" si="4"/>
        <v>-10514.903324098259</v>
      </c>
      <c r="S7" s="153">
        <f t="shared" si="4"/>
        <v>-10514.903324098259</v>
      </c>
      <c r="T7" s="153">
        <f t="shared" si="4"/>
        <v>-12057.230682957244</v>
      </c>
      <c r="U7" s="153">
        <f t="shared" si="4"/>
        <v>-13359.973209372114</v>
      </c>
      <c r="V7" s="153">
        <f t="shared" si="4"/>
        <v>-13914.013134399127</v>
      </c>
      <c r="W7" s="153">
        <f t="shared" si="4"/>
        <v>-14498.001163481655</v>
      </c>
      <c r="X7" s="153">
        <f t="shared" si="4"/>
        <v>-26508.854673301514</v>
      </c>
      <c r="Y7" s="153">
        <f t="shared" ref="Y7" si="5">-$D$7*(Y3+Y4+Y5+Y6)</f>
        <v>0</v>
      </c>
      <c r="Z7" s="167" t="b">
        <f>SUM(E7:X7)=C7</f>
        <v>1</v>
      </c>
      <c r="AA7" s="168">
        <f>SUM(E7:X7)-C7</f>
        <v>0</v>
      </c>
    </row>
    <row r="8" spans="1:27" x14ac:dyDescent="0.3">
      <c r="A8" s="192" t="s">
        <v>158</v>
      </c>
      <c r="B8" s="161" t="s">
        <v>164</v>
      </c>
      <c r="C8" s="177">
        <f>-84825.2433365*3</f>
        <v>-254475.7300095</v>
      </c>
      <c r="D8" s="183"/>
      <c r="E8" s="153"/>
      <c r="F8" s="153"/>
      <c r="G8" s="153"/>
      <c r="H8" s="153"/>
      <c r="I8" s="153"/>
      <c r="J8" s="153"/>
      <c r="K8" s="153"/>
      <c r="L8" s="153"/>
      <c r="M8" s="153"/>
      <c r="N8" s="153"/>
      <c r="O8" s="153"/>
      <c r="P8" s="153"/>
      <c r="Q8" s="153"/>
      <c r="R8" s="153"/>
      <c r="S8" s="153"/>
      <c r="T8" s="153"/>
      <c r="U8" s="153"/>
      <c r="V8" s="153"/>
      <c r="W8" s="153"/>
      <c r="X8" s="153">
        <f>C8</f>
        <v>-254475.7300095</v>
      </c>
      <c r="Y8" s="153">
        <f>D8</f>
        <v>0</v>
      </c>
      <c r="Z8" s="167" t="b">
        <f>SUM(E8:X8)=C8</f>
        <v>1</v>
      </c>
      <c r="AA8" s="168">
        <f>SUM(E8:X8)-C8</f>
        <v>0</v>
      </c>
    </row>
    <row r="9" spans="1:27" x14ac:dyDescent="0.3">
      <c r="A9" s="192" t="s">
        <v>157</v>
      </c>
      <c r="B9" s="161" t="s">
        <v>131</v>
      </c>
      <c r="C9" s="177">
        <f>SUM(E9:X9)</f>
        <v>-586691.16109867988</v>
      </c>
      <c r="D9" s="183"/>
      <c r="E9" s="153">
        <f t="shared" ref="E9:M9" si="6">-SUM(E10:E16)</f>
        <v>-27145.030054933985</v>
      </c>
      <c r="F9" s="153">
        <f t="shared" si="6"/>
        <v>-27145.030054933985</v>
      </c>
      <c r="G9" s="153">
        <f t="shared" si="6"/>
        <v>-27145.030054933985</v>
      </c>
      <c r="H9" s="153">
        <f t="shared" si="6"/>
        <v>-27145.030054933985</v>
      </c>
      <c r="I9" s="153">
        <f t="shared" si="6"/>
        <v>-29881.940054933984</v>
      </c>
      <c r="J9" s="153">
        <f t="shared" si="6"/>
        <v>-29881.940054933984</v>
      </c>
      <c r="K9" s="153">
        <f t="shared" si="6"/>
        <v>-29881.940054933984</v>
      </c>
      <c r="L9" s="153">
        <f t="shared" si="6"/>
        <v>-29881.940054933984</v>
      </c>
      <c r="M9" s="153">
        <f t="shared" si="6"/>
        <v>-29881.940054933984</v>
      </c>
      <c r="N9" s="153">
        <f t="shared" ref="N9:X9" si="7">-SUM(N10:N16)</f>
        <v>-29881.940054933984</v>
      </c>
      <c r="O9" s="153">
        <f t="shared" si="7"/>
        <v>-29881.940054933984</v>
      </c>
      <c r="P9" s="153">
        <f t="shared" si="7"/>
        <v>-29881.940054933984</v>
      </c>
      <c r="Q9" s="153">
        <f t="shared" si="7"/>
        <v>-29881.940054933984</v>
      </c>
      <c r="R9" s="153">
        <f t="shared" si="7"/>
        <v>-29881.940054933984</v>
      </c>
      <c r="S9" s="153">
        <f t="shared" si="7"/>
        <v>-29881.940054933984</v>
      </c>
      <c r="T9" s="153">
        <f t="shared" si="7"/>
        <v>-29881.940054933984</v>
      </c>
      <c r="U9" s="153">
        <f t="shared" si="7"/>
        <v>-29881.940054933984</v>
      </c>
      <c r="V9" s="153">
        <f t="shared" si="7"/>
        <v>-29881.940054933984</v>
      </c>
      <c r="W9" s="153">
        <f t="shared" si="7"/>
        <v>-29881.940054933984</v>
      </c>
      <c r="X9" s="153">
        <f t="shared" si="7"/>
        <v>-29881.940054933984</v>
      </c>
      <c r="Y9" s="153">
        <f t="shared" ref="Y9" si="8">-SUM(Y10:Y16)</f>
        <v>-29881.940054933984</v>
      </c>
      <c r="Z9" s="167" t="b">
        <f>SUM(E9:X9)=C9</f>
        <v>1</v>
      </c>
      <c r="AA9" s="168">
        <f>SUM(E9:X9)-C9</f>
        <v>0</v>
      </c>
    </row>
    <row r="10" spans="1:27" hidden="1" outlineLevel="1" x14ac:dyDescent="0.3">
      <c r="A10" s="192" t="s">
        <v>157</v>
      </c>
      <c r="B10" s="169" t="s">
        <v>144</v>
      </c>
      <c r="C10" s="164"/>
      <c r="D10" s="184"/>
      <c r="E10" s="173">
        <f>(17890.4*13/12)/4</f>
        <v>4845.3166666666666</v>
      </c>
      <c r="F10" s="164">
        <f>E10</f>
        <v>4845.3166666666666</v>
      </c>
      <c r="G10" s="164">
        <f t="shared" ref="G10:Y16" si="9">F10</f>
        <v>4845.3166666666666</v>
      </c>
      <c r="H10" s="164">
        <f t="shared" si="9"/>
        <v>4845.3166666666666</v>
      </c>
      <c r="I10" s="164">
        <f t="shared" si="9"/>
        <v>4845.3166666666666</v>
      </c>
      <c r="J10" s="164">
        <f t="shared" si="9"/>
        <v>4845.3166666666666</v>
      </c>
      <c r="K10" s="164">
        <f t="shared" si="9"/>
        <v>4845.3166666666666</v>
      </c>
      <c r="L10" s="164">
        <f t="shared" si="9"/>
        <v>4845.3166666666666</v>
      </c>
      <c r="M10" s="164">
        <f t="shared" si="9"/>
        <v>4845.3166666666666</v>
      </c>
      <c r="N10" s="164">
        <f t="shared" si="9"/>
        <v>4845.3166666666666</v>
      </c>
      <c r="O10" s="164">
        <f t="shared" si="9"/>
        <v>4845.3166666666666</v>
      </c>
      <c r="P10" s="164">
        <f t="shared" si="9"/>
        <v>4845.3166666666666</v>
      </c>
      <c r="Q10" s="164">
        <f t="shared" si="9"/>
        <v>4845.3166666666666</v>
      </c>
      <c r="R10" s="164">
        <f t="shared" si="9"/>
        <v>4845.3166666666666</v>
      </c>
      <c r="S10" s="164">
        <f t="shared" si="9"/>
        <v>4845.3166666666666</v>
      </c>
      <c r="T10" s="164">
        <f t="shared" si="9"/>
        <v>4845.3166666666666</v>
      </c>
      <c r="U10" s="164">
        <f t="shared" si="9"/>
        <v>4845.3166666666666</v>
      </c>
      <c r="V10" s="164">
        <f t="shared" si="9"/>
        <v>4845.3166666666666</v>
      </c>
      <c r="W10" s="164">
        <f t="shared" si="9"/>
        <v>4845.3166666666666</v>
      </c>
      <c r="X10" s="164">
        <f t="shared" si="9"/>
        <v>4845.3166666666666</v>
      </c>
      <c r="Y10" s="164">
        <f t="shared" si="9"/>
        <v>4845.3166666666666</v>
      </c>
      <c r="Z10" s="167" t="b">
        <f t="shared" ref="Z10:Z17" si="10">SUM(E10:X10)=C10</f>
        <v>0</v>
      </c>
      <c r="AA10" s="168">
        <f t="shared" ref="AA10:AA17" si="11">SUM(E10:X10)-C10</f>
        <v>96906.333333333328</v>
      </c>
    </row>
    <row r="11" spans="1:27" hidden="1" outlineLevel="1" x14ac:dyDescent="0.3">
      <c r="A11" s="192" t="s">
        <v>157</v>
      </c>
      <c r="B11" s="169" t="s">
        <v>145</v>
      </c>
      <c r="C11" s="164"/>
      <c r="D11" s="184"/>
      <c r="E11" s="173">
        <f>13600*13/12</f>
        <v>14733.333333333334</v>
      </c>
      <c r="F11" s="164">
        <f>E11</f>
        <v>14733.333333333334</v>
      </c>
      <c r="G11" s="164">
        <f t="shared" si="9"/>
        <v>14733.333333333334</v>
      </c>
      <c r="H11" s="164">
        <f t="shared" si="9"/>
        <v>14733.333333333334</v>
      </c>
      <c r="I11" s="164">
        <f t="shared" ref="I11" si="12">H11</f>
        <v>14733.333333333334</v>
      </c>
      <c r="J11" s="164">
        <f t="shared" ref="J11" si="13">I11</f>
        <v>14733.333333333334</v>
      </c>
      <c r="K11" s="164">
        <f t="shared" ref="K11" si="14">J11</f>
        <v>14733.333333333334</v>
      </c>
      <c r="L11" s="164">
        <f t="shared" ref="L11" si="15">K11</f>
        <v>14733.333333333334</v>
      </c>
      <c r="M11" s="164">
        <f t="shared" ref="M11" si="16">L11</f>
        <v>14733.333333333334</v>
      </c>
      <c r="N11" s="164">
        <f t="shared" ref="N11" si="17">M11</f>
        <v>14733.333333333334</v>
      </c>
      <c r="O11" s="164">
        <f t="shared" ref="O11" si="18">N11</f>
        <v>14733.333333333334</v>
      </c>
      <c r="P11" s="164">
        <f t="shared" ref="P11" si="19">O11</f>
        <v>14733.333333333334</v>
      </c>
      <c r="Q11" s="164">
        <f t="shared" ref="Q11" si="20">P11</f>
        <v>14733.333333333334</v>
      </c>
      <c r="R11" s="164">
        <f t="shared" ref="R11" si="21">Q11</f>
        <v>14733.333333333334</v>
      </c>
      <c r="S11" s="164">
        <f t="shared" ref="S11" si="22">R11</f>
        <v>14733.333333333334</v>
      </c>
      <c r="T11" s="164">
        <f t="shared" ref="T11" si="23">S11</f>
        <v>14733.333333333334</v>
      </c>
      <c r="U11" s="164">
        <f t="shared" ref="U11" si="24">T11</f>
        <v>14733.333333333334</v>
      </c>
      <c r="V11" s="164">
        <f t="shared" ref="V11" si="25">U11</f>
        <v>14733.333333333334</v>
      </c>
      <c r="W11" s="164">
        <f t="shared" ref="W11" si="26">V11</f>
        <v>14733.333333333334</v>
      </c>
      <c r="X11" s="164">
        <f t="shared" ref="X11:Y11" si="27">W11</f>
        <v>14733.333333333334</v>
      </c>
      <c r="Y11" s="164">
        <f t="shared" si="27"/>
        <v>14733.333333333334</v>
      </c>
      <c r="Z11" s="167" t="b">
        <f t="shared" si="10"/>
        <v>0</v>
      </c>
      <c r="AA11" s="168">
        <f t="shared" si="11"/>
        <v>294666.66666666669</v>
      </c>
    </row>
    <row r="12" spans="1:27" hidden="1" outlineLevel="1" x14ac:dyDescent="0.3">
      <c r="A12" s="192" t="s">
        <v>157</v>
      </c>
      <c r="B12" s="169" t="s">
        <v>146</v>
      </c>
      <c r="C12" s="164"/>
      <c r="D12" s="184"/>
      <c r="E12" s="164">
        <v>0</v>
      </c>
      <c r="F12" s="164">
        <f>E12</f>
        <v>0</v>
      </c>
      <c r="G12" s="164">
        <f t="shared" si="9"/>
        <v>0</v>
      </c>
      <c r="H12" s="164">
        <f t="shared" si="9"/>
        <v>0</v>
      </c>
      <c r="I12" s="164">
        <v>2736.91</v>
      </c>
      <c r="J12" s="164">
        <f t="shared" ref="F12:U14" si="28">I12</f>
        <v>2736.91</v>
      </c>
      <c r="K12" s="164">
        <f t="shared" si="28"/>
        <v>2736.91</v>
      </c>
      <c r="L12" s="164">
        <f t="shared" si="28"/>
        <v>2736.91</v>
      </c>
      <c r="M12" s="164">
        <f t="shared" si="28"/>
        <v>2736.91</v>
      </c>
      <c r="N12" s="164">
        <f t="shared" si="28"/>
        <v>2736.91</v>
      </c>
      <c r="O12" s="164">
        <f t="shared" si="28"/>
        <v>2736.91</v>
      </c>
      <c r="P12" s="164">
        <f t="shared" si="28"/>
        <v>2736.91</v>
      </c>
      <c r="Q12" s="164">
        <f t="shared" si="28"/>
        <v>2736.91</v>
      </c>
      <c r="R12" s="164">
        <f t="shared" si="28"/>
        <v>2736.91</v>
      </c>
      <c r="S12" s="164">
        <f t="shared" si="28"/>
        <v>2736.91</v>
      </c>
      <c r="T12" s="164">
        <f t="shared" si="28"/>
        <v>2736.91</v>
      </c>
      <c r="U12" s="164">
        <f t="shared" si="28"/>
        <v>2736.91</v>
      </c>
      <c r="V12" s="164">
        <f t="shared" si="9"/>
        <v>2736.91</v>
      </c>
      <c r="W12" s="164">
        <f t="shared" si="9"/>
        <v>2736.91</v>
      </c>
      <c r="X12" s="164">
        <f t="shared" si="9"/>
        <v>2736.91</v>
      </c>
      <c r="Y12" s="164">
        <f t="shared" si="9"/>
        <v>2736.91</v>
      </c>
      <c r="Z12" s="167" t="b">
        <f t="shared" si="10"/>
        <v>0</v>
      </c>
      <c r="AA12" s="168">
        <f t="shared" si="11"/>
        <v>43790.560000000012</v>
      </c>
    </row>
    <row r="13" spans="1:27" hidden="1" outlineLevel="1" x14ac:dyDescent="0.3">
      <c r="A13" s="192" t="s">
        <v>157</v>
      </c>
      <c r="B13" s="169" t="s">
        <v>147</v>
      </c>
      <c r="C13" s="164"/>
      <c r="D13" s="184"/>
      <c r="E13" s="164">
        <f t="shared" ref="E13" si="29">(4500*1.9/2)</f>
        <v>4275</v>
      </c>
      <c r="F13" s="164">
        <f>E13</f>
        <v>4275</v>
      </c>
      <c r="G13" s="164">
        <f t="shared" si="9"/>
        <v>4275</v>
      </c>
      <c r="H13" s="164">
        <f t="shared" si="9"/>
        <v>4275</v>
      </c>
      <c r="I13" s="164">
        <f t="shared" ref="I13" si="30">H13</f>
        <v>4275</v>
      </c>
      <c r="J13" s="164">
        <f t="shared" si="28"/>
        <v>4275</v>
      </c>
      <c r="K13" s="164">
        <f t="shared" si="9"/>
        <v>4275</v>
      </c>
      <c r="L13" s="164">
        <f t="shared" si="9"/>
        <v>4275</v>
      </c>
      <c r="M13" s="164">
        <f t="shared" si="9"/>
        <v>4275</v>
      </c>
      <c r="N13" s="164">
        <f t="shared" si="9"/>
        <v>4275</v>
      </c>
      <c r="O13" s="164">
        <f t="shared" si="9"/>
        <v>4275</v>
      </c>
      <c r="P13" s="164">
        <f t="shared" si="9"/>
        <v>4275</v>
      </c>
      <c r="Q13" s="164">
        <f t="shared" si="9"/>
        <v>4275</v>
      </c>
      <c r="R13" s="164">
        <f t="shared" si="9"/>
        <v>4275</v>
      </c>
      <c r="S13" s="164">
        <f t="shared" si="9"/>
        <v>4275</v>
      </c>
      <c r="T13" s="164">
        <f t="shared" si="9"/>
        <v>4275</v>
      </c>
      <c r="U13" s="164">
        <f t="shared" si="9"/>
        <v>4275</v>
      </c>
      <c r="V13" s="164">
        <f t="shared" si="9"/>
        <v>4275</v>
      </c>
      <c r="W13" s="164">
        <f t="shared" si="9"/>
        <v>4275</v>
      </c>
      <c r="X13" s="164">
        <f t="shared" si="9"/>
        <v>4275</v>
      </c>
      <c r="Y13" s="164">
        <f t="shared" si="9"/>
        <v>4275</v>
      </c>
      <c r="Z13" s="167" t="b">
        <f t="shared" si="10"/>
        <v>0</v>
      </c>
      <c r="AA13" s="168">
        <f t="shared" si="11"/>
        <v>85500</v>
      </c>
    </row>
    <row r="14" spans="1:27" hidden="1" outlineLevel="1" x14ac:dyDescent="0.3">
      <c r="A14" s="192" t="s">
        <v>157</v>
      </c>
      <c r="B14" s="169" t="s">
        <v>148</v>
      </c>
      <c r="C14" s="164"/>
      <c r="D14" s="184"/>
      <c r="E14" s="173">
        <f>10165/11*13/12</f>
        <v>1001.0984848484849</v>
      </c>
      <c r="F14" s="164">
        <f t="shared" si="28"/>
        <v>1001.0984848484849</v>
      </c>
      <c r="G14" s="164">
        <f t="shared" si="9"/>
        <v>1001.0984848484849</v>
      </c>
      <c r="H14" s="164">
        <f t="shared" si="9"/>
        <v>1001.0984848484849</v>
      </c>
      <c r="I14" s="164">
        <f t="shared" si="9"/>
        <v>1001.0984848484849</v>
      </c>
      <c r="J14" s="164">
        <f t="shared" si="9"/>
        <v>1001.0984848484849</v>
      </c>
      <c r="K14" s="164">
        <f t="shared" si="9"/>
        <v>1001.0984848484849</v>
      </c>
      <c r="L14" s="164">
        <f t="shared" si="9"/>
        <v>1001.0984848484849</v>
      </c>
      <c r="M14" s="164">
        <f t="shared" si="9"/>
        <v>1001.0984848484849</v>
      </c>
      <c r="N14" s="164">
        <f t="shared" si="9"/>
        <v>1001.0984848484849</v>
      </c>
      <c r="O14" s="164">
        <f t="shared" si="9"/>
        <v>1001.0984848484849</v>
      </c>
      <c r="P14" s="164">
        <f t="shared" si="9"/>
        <v>1001.0984848484849</v>
      </c>
      <c r="Q14" s="164">
        <f t="shared" si="9"/>
        <v>1001.0984848484849</v>
      </c>
      <c r="R14" s="164">
        <f t="shared" si="9"/>
        <v>1001.0984848484849</v>
      </c>
      <c r="S14" s="164">
        <f t="shared" si="9"/>
        <v>1001.0984848484849</v>
      </c>
      <c r="T14" s="164">
        <f t="shared" si="9"/>
        <v>1001.0984848484849</v>
      </c>
      <c r="U14" s="164">
        <f t="shared" si="9"/>
        <v>1001.0984848484849</v>
      </c>
      <c r="V14" s="164">
        <f t="shared" si="9"/>
        <v>1001.0984848484849</v>
      </c>
      <c r="W14" s="164">
        <f t="shared" si="9"/>
        <v>1001.0984848484849</v>
      </c>
      <c r="X14" s="164">
        <f t="shared" si="9"/>
        <v>1001.0984848484849</v>
      </c>
      <c r="Y14" s="164">
        <f t="shared" si="9"/>
        <v>1001.0984848484849</v>
      </c>
      <c r="Z14" s="167" t="b">
        <f t="shared" si="10"/>
        <v>0</v>
      </c>
      <c r="AA14" s="168">
        <f t="shared" si="11"/>
        <v>20021.969696969689</v>
      </c>
    </row>
    <row r="15" spans="1:27" hidden="1" outlineLevel="1" x14ac:dyDescent="0.3">
      <c r="A15" s="192" t="s">
        <v>157</v>
      </c>
      <c r="B15" s="169" t="s">
        <v>166</v>
      </c>
      <c r="C15" s="164"/>
      <c r="D15" s="180">
        <v>0.03</v>
      </c>
      <c r="E15" s="173">
        <f>(C3+C4)*D15/D5</f>
        <v>2290.2815700854999</v>
      </c>
      <c r="F15" s="164">
        <f>E15</f>
        <v>2290.2815700854999</v>
      </c>
      <c r="G15" s="164">
        <f t="shared" si="9"/>
        <v>2290.2815700854999</v>
      </c>
      <c r="H15" s="164">
        <f t="shared" si="9"/>
        <v>2290.2815700854999</v>
      </c>
      <c r="I15" s="164">
        <f t="shared" si="9"/>
        <v>2290.2815700854999</v>
      </c>
      <c r="J15" s="164">
        <f t="shared" si="9"/>
        <v>2290.2815700854999</v>
      </c>
      <c r="K15" s="164">
        <f t="shared" si="9"/>
        <v>2290.2815700854999</v>
      </c>
      <c r="L15" s="164">
        <f t="shared" si="9"/>
        <v>2290.2815700854999</v>
      </c>
      <c r="M15" s="164">
        <f t="shared" si="9"/>
        <v>2290.2815700854999</v>
      </c>
      <c r="N15" s="164">
        <f t="shared" si="9"/>
        <v>2290.2815700854999</v>
      </c>
      <c r="O15" s="164">
        <f t="shared" si="9"/>
        <v>2290.2815700854999</v>
      </c>
      <c r="P15" s="164">
        <f t="shared" si="9"/>
        <v>2290.2815700854999</v>
      </c>
      <c r="Q15" s="164">
        <f t="shared" si="9"/>
        <v>2290.2815700854999</v>
      </c>
      <c r="R15" s="164">
        <f t="shared" si="9"/>
        <v>2290.2815700854999</v>
      </c>
      <c r="S15" s="164">
        <f t="shared" si="9"/>
        <v>2290.2815700854999</v>
      </c>
      <c r="T15" s="164">
        <f t="shared" si="9"/>
        <v>2290.2815700854999</v>
      </c>
      <c r="U15" s="164">
        <f t="shared" si="9"/>
        <v>2290.2815700854999</v>
      </c>
      <c r="V15" s="164">
        <f t="shared" si="9"/>
        <v>2290.2815700854999</v>
      </c>
      <c r="W15" s="164">
        <f t="shared" si="9"/>
        <v>2290.2815700854999</v>
      </c>
      <c r="X15" s="164">
        <f t="shared" si="9"/>
        <v>2290.2815700854999</v>
      </c>
      <c r="Y15" s="164">
        <f t="shared" si="9"/>
        <v>2290.2815700854999</v>
      </c>
      <c r="Z15" s="167" t="b">
        <f t="shared" si="10"/>
        <v>0</v>
      </c>
      <c r="AA15" s="168">
        <f t="shared" si="11"/>
        <v>45805.631401709987</v>
      </c>
    </row>
    <row r="16" spans="1:27" hidden="1" outlineLevel="1" x14ac:dyDescent="0.3">
      <c r="A16" s="192" t="s">
        <v>157</v>
      </c>
      <c r="B16" s="169" t="s">
        <v>132</v>
      </c>
      <c r="C16" s="164"/>
      <c r="D16" s="184"/>
      <c r="E16" s="164">
        <v>0</v>
      </c>
      <c r="F16" s="164">
        <f>E16</f>
        <v>0</v>
      </c>
      <c r="G16" s="164">
        <f t="shared" si="9"/>
        <v>0</v>
      </c>
      <c r="H16" s="164">
        <f t="shared" si="9"/>
        <v>0</v>
      </c>
      <c r="I16" s="164">
        <f t="shared" si="9"/>
        <v>0</v>
      </c>
      <c r="J16" s="164">
        <f t="shared" si="9"/>
        <v>0</v>
      </c>
      <c r="K16" s="164">
        <f t="shared" si="9"/>
        <v>0</v>
      </c>
      <c r="L16" s="164">
        <f t="shared" si="9"/>
        <v>0</v>
      </c>
      <c r="M16" s="164">
        <f t="shared" si="9"/>
        <v>0</v>
      </c>
      <c r="N16" s="164">
        <f t="shared" si="9"/>
        <v>0</v>
      </c>
      <c r="O16" s="164">
        <f t="shared" si="9"/>
        <v>0</v>
      </c>
      <c r="P16" s="164">
        <f t="shared" si="9"/>
        <v>0</v>
      </c>
      <c r="Q16" s="164">
        <f t="shared" si="9"/>
        <v>0</v>
      </c>
      <c r="R16" s="164">
        <f t="shared" si="9"/>
        <v>0</v>
      </c>
      <c r="S16" s="164">
        <f t="shared" si="9"/>
        <v>0</v>
      </c>
      <c r="T16" s="164">
        <f t="shared" si="9"/>
        <v>0</v>
      </c>
      <c r="U16" s="164">
        <f t="shared" si="9"/>
        <v>0</v>
      </c>
      <c r="V16" s="164">
        <f t="shared" si="9"/>
        <v>0</v>
      </c>
      <c r="W16" s="164">
        <f t="shared" si="9"/>
        <v>0</v>
      </c>
      <c r="X16" s="164">
        <f t="shared" si="9"/>
        <v>0</v>
      </c>
      <c r="Y16" s="164">
        <f t="shared" si="9"/>
        <v>0</v>
      </c>
      <c r="Z16" s="167" t="b">
        <f t="shared" si="10"/>
        <v>1</v>
      </c>
      <c r="AA16" s="168">
        <f t="shared" si="11"/>
        <v>0</v>
      </c>
    </row>
    <row r="17" spans="1:27" collapsed="1" x14ac:dyDescent="0.3">
      <c r="B17" s="160" t="s">
        <v>167</v>
      </c>
      <c r="C17" s="164">
        <f>SUM(C3:C9)</f>
        <v>1372581.7456879215</v>
      </c>
      <c r="D17" s="184"/>
      <c r="E17" s="164">
        <f t="shared" ref="E17:X17" si="31">SUM(E3:E9)</f>
        <v>23836.865330878525</v>
      </c>
      <c r="F17" s="164">
        <f t="shared" si="31"/>
        <v>50139.740052665613</v>
      </c>
      <c r="G17" s="164">
        <f t="shared" si="31"/>
        <v>45182.130157459673</v>
      </c>
      <c r="H17" s="164">
        <f t="shared" si="31"/>
        <v>60468.094001011326</v>
      </c>
      <c r="I17" s="164">
        <f t="shared" si="31"/>
        <v>53875.265193628926</v>
      </c>
      <c r="J17" s="164">
        <f t="shared" si="31"/>
        <v>67646.403791423218</v>
      </c>
      <c r="K17" s="164">
        <f t="shared" si="31"/>
        <v>74945.107248254179</v>
      </c>
      <c r="L17" s="164">
        <f t="shared" si="31"/>
        <v>86788.28644235729</v>
      </c>
      <c r="M17" s="164">
        <f t="shared" si="31"/>
        <v>98356.042864504474</v>
      </c>
      <c r="N17" s="164">
        <f t="shared" si="31"/>
        <v>103864.49830362221</v>
      </c>
      <c r="O17" s="164">
        <f t="shared" si="31"/>
        <v>103864.49830362221</v>
      </c>
      <c r="P17" s="164">
        <f t="shared" si="31"/>
        <v>71915.456756739441</v>
      </c>
      <c r="Q17" s="164">
        <f t="shared" si="31"/>
        <v>63101.928054151089</v>
      </c>
      <c r="R17" s="164">
        <f t="shared" si="31"/>
        <v>66820.135475555551</v>
      </c>
      <c r="S17" s="164">
        <f t="shared" si="31"/>
        <v>66820.135475555551</v>
      </c>
      <c r="T17" s="164">
        <f t="shared" si="31"/>
        <v>81004.408231283684</v>
      </c>
      <c r="U17" s="164">
        <f t="shared" si="31"/>
        <v>92985.298811364715</v>
      </c>
      <c r="V17" s="164">
        <f t="shared" si="31"/>
        <v>98080.620092548575</v>
      </c>
      <c r="W17" s="164">
        <f t="shared" si="31"/>
        <v>103451.36414568836</v>
      </c>
      <c r="X17" s="164">
        <f t="shared" si="31"/>
        <v>-40564.533044392803</v>
      </c>
      <c r="Y17" s="164">
        <f t="shared" ref="Y17" si="32">SUM(Y3:Y9)</f>
        <v>-29881.940054933984</v>
      </c>
      <c r="Z17" s="167" t="b">
        <f t="shared" si="10"/>
        <v>1</v>
      </c>
      <c r="AA17" s="168">
        <f t="shared" si="11"/>
        <v>0</v>
      </c>
    </row>
    <row r="18" spans="1:27" x14ac:dyDescent="0.3">
      <c r="B18" s="160" t="s">
        <v>133</v>
      </c>
      <c r="C18" s="171">
        <f>C17/(C3+C4+C5+C6+C7)</f>
        <v>0.62002601509194921</v>
      </c>
      <c r="D18" s="185"/>
      <c r="E18" s="172">
        <f t="shared" ref="E18:X18" si="33">E17/(E3+E4+E5+E6+E7)</f>
        <v>0.46755549495541049</v>
      </c>
      <c r="F18" s="172">
        <f t="shared" si="33"/>
        <v>0.64876611501669268</v>
      </c>
      <c r="G18" s="172">
        <f t="shared" si="33"/>
        <v>0.62469105692494009</v>
      </c>
      <c r="H18" s="172">
        <f t="shared" si="33"/>
        <v>0.69017164554478683</v>
      </c>
      <c r="I18" s="172">
        <f t="shared" si="33"/>
        <v>0.64323140956942693</v>
      </c>
      <c r="J18" s="172">
        <f t="shared" si="33"/>
        <v>0.69360763367407363</v>
      </c>
      <c r="K18" s="172">
        <f t="shared" si="33"/>
        <v>0.71494055376273891</v>
      </c>
      <c r="L18" s="172">
        <f t="shared" si="33"/>
        <v>0.74387690028502906</v>
      </c>
      <c r="M18" s="172">
        <f t="shared" si="33"/>
        <v>0.76698058270530989</v>
      </c>
      <c r="N18" s="172">
        <f t="shared" si="33"/>
        <v>0.77657767622323881</v>
      </c>
      <c r="O18" s="172">
        <f t="shared" si="33"/>
        <v>0.77657767622323881</v>
      </c>
      <c r="P18" s="172">
        <f t="shared" si="33"/>
        <v>0.70645673670598874</v>
      </c>
      <c r="Q18" s="172">
        <f t="shared" si="33"/>
        <v>0.67863307192299582</v>
      </c>
      <c r="R18" s="172">
        <f t="shared" si="33"/>
        <v>0.69098967223808538</v>
      </c>
      <c r="S18" s="172">
        <f t="shared" si="33"/>
        <v>0.69098967223808538</v>
      </c>
      <c r="T18" s="172">
        <f t="shared" si="33"/>
        <v>0.73051741249695312</v>
      </c>
      <c r="U18" s="172">
        <f t="shared" si="33"/>
        <v>0.75679489235164776</v>
      </c>
      <c r="V18" s="172">
        <f t="shared" si="33"/>
        <v>0.76647903870871514</v>
      </c>
      <c r="W18" s="172">
        <f t="shared" si="33"/>
        <v>0.77588540062000122</v>
      </c>
      <c r="X18" s="172">
        <f t="shared" si="33"/>
        <v>-0.16638915081952521</v>
      </c>
      <c r="Y18" s="172" t="e">
        <f t="shared" ref="Y18" si="34">Y17/(Y3+Y4+Y5+Y6+Y7)</f>
        <v>#DIV/0!</v>
      </c>
      <c r="Z18"/>
      <c r="AA18"/>
    </row>
    <row r="19" spans="1:27" ht="48.6" x14ac:dyDescent="0.3">
      <c r="A19" s="192" t="s">
        <v>158</v>
      </c>
      <c r="B19" s="159" t="s">
        <v>134</v>
      </c>
      <c r="C19" s="177">
        <f>SUM(E19:X19)</f>
        <v>-602503.61023057241</v>
      </c>
      <c r="D19" s="186" t="s">
        <v>160</v>
      </c>
      <c r="E19" s="174">
        <f t="shared" ref="E19:G19" si="35">-(E3+E4+E5+E7)*39%</f>
        <v>-19882.939200466881</v>
      </c>
      <c r="F19" s="174">
        <f t="shared" si="35"/>
        <v>-30141.060341963846</v>
      </c>
      <c r="G19" s="174">
        <f t="shared" si="35"/>
        <v>-28207.59248283353</v>
      </c>
      <c r="H19" s="174">
        <f>-(H3+H4+H5+H7)*39%</f>
        <v>-34169.118381818676</v>
      </c>
      <c r="I19" s="174">
        <f t="shared" ref="I19:S19" si="36">-(I3+I4+I5+I7)*30%</f>
        <v>-25127.161574568872</v>
      </c>
      <c r="J19" s="174">
        <f t="shared" si="36"/>
        <v>-29258.503153907157</v>
      </c>
      <c r="K19" s="174">
        <f t="shared" si="36"/>
        <v>-31448.11419095645</v>
      </c>
      <c r="L19" s="174">
        <f t="shared" si="36"/>
        <v>-35001.067949187382</v>
      </c>
      <c r="M19" s="174">
        <f t="shared" si="36"/>
        <v>-38471.394875831531</v>
      </c>
      <c r="N19" s="174">
        <f t="shared" si="36"/>
        <v>-40123.931507566856</v>
      </c>
      <c r="O19" s="174">
        <f t="shared" si="36"/>
        <v>-40123.931507566856</v>
      </c>
      <c r="P19" s="174">
        <f t="shared" si="36"/>
        <v>-30539.219043502027</v>
      </c>
      <c r="Q19" s="174">
        <f t="shared" si="36"/>
        <v>-27895.160432725523</v>
      </c>
      <c r="R19" s="174">
        <f t="shared" si="36"/>
        <v>-29010.622659146862</v>
      </c>
      <c r="S19" s="174">
        <f t="shared" si="36"/>
        <v>-29010.622659146862</v>
      </c>
      <c r="T19" s="174">
        <f>-(T3+T4+T5+T7)*30%</f>
        <v>-33265.9044858653</v>
      </c>
      <c r="U19" s="174">
        <f t="shared" ref="U19:W19" si="37">-(U3+U4+U5+U7)*22%</f>
        <v>-27030.792550585713</v>
      </c>
      <c r="V19" s="174">
        <f t="shared" si="37"/>
        <v>-28151.763232446167</v>
      </c>
      <c r="W19" s="174">
        <f t="shared" si="37"/>
        <v>-29333.326924136916</v>
      </c>
      <c r="X19" s="174">
        <f>-(X3+X4+X5+X7)*22%</f>
        <v>-16311.383076349064</v>
      </c>
      <c r="Y19" s="174">
        <f>-(Y3+Y4+Y5+Y7)*22%</f>
        <v>0</v>
      </c>
      <c r="Z19" s="167" t="b">
        <f>SUM(E19:X19)=C19</f>
        <v>1</v>
      </c>
      <c r="AA19" s="168">
        <f>SUM(E19:X19)-C19</f>
        <v>0</v>
      </c>
    </row>
    <row r="20" spans="1:27" x14ac:dyDescent="0.3">
      <c r="B20" s="159" t="s">
        <v>135</v>
      </c>
      <c r="C20" s="177">
        <f>SUM(E20:X20)</f>
        <v>770078.13545734924</v>
      </c>
      <c r="D20" s="183"/>
      <c r="E20" s="153">
        <f t="shared" ref="E20:X20" si="38">SUM(E3:E9,E19)</f>
        <v>3953.9261304116444</v>
      </c>
      <c r="F20" s="153">
        <f t="shared" si="38"/>
        <v>19998.679710701766</v>
      </c>
      <c r="G20" s="153">
        <f t="shared" si="38"/>
        <v>16974.537674626143</v>
      </c>
      <c r="H20" s="153">
        <f t="shared" si="38"/>
        <v>26298.97561919265</v>
      </c>
      <c r="I20" s="153">
        <f t="shared" si="38"/>
        <v>28748.103619060053</v>
      </c>
      <c r="J20" s="153">
        <f t="shared" si="38"/>
        <v>38387.900637516061</v>
      </c>
      <c r="K20" s="153">
        <f t="shared" si="38"/>
        <v>43496.993057297732</v>
      </c>
      <c r="L20" s="153">
        <f t="shared" si="38"/>
        <v>51787.218493169908</v>
      </c>
      <c r="M20" s="153">
        <f t="shared" si="38"/>
        <v>59884.647988672943</v>
      </c>
      <c r="N20" s="153">
        <f t="shared" si="38"/>
        <v>63740.566796055355</v>
      </c>
      <c r="O20" s="153">
        <f t="shared" si="38"/>
        <v>63740.566796055355</v>
      </c>
      <c r="P20" s="153">
        <f t="shared" si="38"/>
        <v>41376.237713237409</v>
      </c>
      <c r="Q20" s="153">
        <f t="shared" si="38"/>
        <v>35206.767621425563</v>
      </c>
      <c r="R20" s="153">
        <f t="shared" si="38"/>
        <v>37809.512816408693</v>
      </c>
      <c r="S20" s="153">
        <f t="shared" si="38"/>
        <v>37809.512816408693</v>
      </c>
      <c r="T20" s="153">
        <f t="shared" si="38"/>
        <v>47738.503745418384</v>
      </c>
      <c r="U20" s="153">
        <f t="shared" si="38"/>
        <v>65954.506260779002</v>
      </c>
      <c r="V20" s="153">
        <f t="shared" si="38"/>
        <v>69928.856860102416</v>
      </c>
      <c r="W20" s="153">
        <f t="shared" si="38"/>
        <v>74118.037221551451</v>
      </c>
      <c r="X20" s="153">
        <f t="shared" si="38"/>
        <v>-56875.916120741866</v>
      </c>
      <c r="Y20" s="153">
        <f t="shared" ref="Y20" si="39">SUM(Y3:Y9,Y19)</f>
        <v>-29881.940054933984</v>
      </c>
      <c r="Z20" s="167" t="b">
        <f t="shared" ref="Z20" si="40">SUM(E20:X20)=C20</f>
        <v>1</v>
      </c>
      <c r="AA20" s="168">
        <f t="shared" ref="AA20" si="41">SUM(E20:X20)-C20</f>
        <v>0</v>
      </c>
    </row>
    <row r="21" spans="1:27" x14ac:dyDescent="0.3">
      <c r="B21" s="159" t="s">
        <v>136</v>
      </c>
      <c r="C21" s="177">
        <f>SUM(E21:X21)</f>
        <v>-267045.32054022397</v>
      </c>
      <c r="D21" s="182">
        <v>0.10879999999999999</v>
      </c>
      <c r="E21" s="153">
        <f>-(E3+E4+E5+E6)*$D$21</f>
        <v>-6149.9649819124597</v>
      </c>
      <c r="F21" s="153">
        <f>-(F3+F4+F5+F6)*$D$21</f>
        <v>-9322.8905320213107</v>
      </c>
      <c r="G21" s="153">
        <f t="shared" ref="G21:X21" si="42">-(G3+G4+G5+G6)*$D$21</f>
        <v>-8724.8522084405849</v>
      </c>
      <c r="H21" s="153">
        <f t="shared" si="42"/>
        <v>-10568.803706147821</v>
      </c>
      <c r="I21" s="153">
        <f t="shared" si="42"/>
        <v>-10103.662787807258</v>
      </c>
      <c r="J21" s="153">
        <f t="shared" si="42"/>
        <v>-11764.880353309272</v>
      </c>
      <c r="K21" s="153">
        <f t="shared" si="42"/>
        <v>-12645.325663025342</v>
      </c>
      <c r="L21" s="153">
        <f t="shared" si="42"/>
        <v>-14073.972769357075</v>
      </c>
      <c r="M21" s="153">
        <f t="shared" si="42"/>
        <v>-15469.395524378768</v>
      </c>
      <c r="N21" s="153">
        <f t="shared" si="42"/>
        <v>-16133.882550579576</v>
      </c>
      <c r="O21" s="153">
        <f t="shared" si="42"/>
        <v>-16133.882550579576</v>
      </c>
      <c r="P21" s="153">
        <f t="shared" si="42"/>
        <v>-12279.857798614899</v>
      </c>
      <c r="Q21" s="153">
        <f t="shared" si="42"/>
        <v>-11216.678556693607</v>
      </c>
      <c r="R21" s="153">
        <f t="shared" si="42"/>
        <v>-11665.207299379152</v>
      </c>
      <c r="S21" s="153">
        <f t="shared" si="42"/>
        <v>-11665.207299379152</v>
      </c>
      <c r="T21" s="153">
        <f t="shared" si="42"/>
        <v>-13376.261391846228</v>
      </c>
      <c r="U21" s="153">
        <f t="shared" si="42"/>
        <v>-14821.520673832982</v>
      </c>
      <c r="V21" s="153">
        <f t="shared" si="42"/>
        <v>-15436.171173068728</v>
      </c>
      <c r="W21" s="153">
        <f t="shared" si="42"/>
        <v>-16084.046023614514</v>
      </c>
      <c r="X21" s="153">
        <f t="shared" si="42"/>
        <v>-29408.856696235682</v>
      </c>
      <c r="Y21" s="153">
        <f t="shared" ref="Y21" si="43">-(Y3+Y4+Y5+Y6)*$D$21</f>
        <v>0</v>
      </c>
      <c r="Z21" s="167" t="b">
        <f t="shared" ref="Z21" si="44">SUM(E21:X21)=C21</f>
        <v>1</v>
      </c>
      <c r="AA21" s="168">
        <f t="shared" ref="AA21" si="45">SUM(E21:X21)-C21</f>
        <v>0</v>
      </c>
    </row>
    <row r="22" spans="1:27" x14ac:dyDescent="0.3">
      <c r="B22" s="160" t="s">
        <v>137</v>
      </c>
      <c r="C22" s="178">
        <f>SUM(E22:X22)</f>
        <v>503032.81491712539</v>
      </c>
      <c r="D22" s="187"/>
      <c r="E22" s="153">
        <f>SUM(E20:E21)</f>
        <v>-2196.0388515008153</v>
      </c>
      <c r="F22" s="153">
        <f t="shared" ref="F22:M22" si="46">SUM(F20:F21)</f>
        <v>10675.789178680456</v>
      </c>
      <c r="G22" s="153">
        <f t="shared" si="46"/>
        <v>8249.6854661855577</v>
      </c>
      <c r="H22" s="153">
        <f t="shared" si="46"/>
        <v>15730.171913044829</v>
      </c>
      <c r="I22" s="153">
        <f t="shared" si="46"/>
        <v>18644.440831252796</v>
      </c>
      <c r="J22" s="153">
        <f t="shared" si="46"/>
        <v>26623.020284206788</v>
      </c>
      <c r="K22" s="153">
        <f t="shared" si="46"/>
        <v>30851.66739427239</v>
      </c>
      <c r="L22" s="153">
        <f t="shared" si="46"/>
        <v>37713.245723812834</v>
      </c>
      <c r="M22" s="153">
        <f t="shared" si="46"/>
        <v>44415.252464294172</v>
      </c>
      <c r="N22" s="153">
        <f t="shared" ref="N22:X22" si="47">SUM(N20:N21)</f>
        <v>47606.684245475779</v>
      </c>
      <c r="O22" s="153">
        <f t="shared" si="47"/>
        <v>47606.684245475779</v>
      </c>
      <c r="P22" s="153">
        <f t="shared" si="47"/>
        <v>29096.37991462251</v>
      </c>
      <c r="Q22" s="153">
        <f t="shared" si="47"/>
        <v>23990.089064731954</v>
      </c>
      <c r="R22" s="153">
        <f t="shared" si="47"/>
        <v>26144.305517029541</v>
      </c>
      <c r="S22" s="153">
        <f t="shared" si="47"/>
        <v>26144.305517029541</v>
      </c>
      <c r="T22" s="153">
        <f t="shared" si="47"/>
        <v>34362.242353572154</v>
      </c>
      <c r="U22" s="153">
        <f t="shared" si="47"/>
        <v>51132.985586946023</v>
      </c>
      <c r="V22" s="153">
        <f t="shared" si="47"/>
        <v>54492.685687033692</v>
      </c>
      <c r="W22" s="153">
        <f t="shared" si="47"/>
        <v>58033.991197936935</v>
      </c>
      <c r="X22" s="153">
        <f t="shared" si="47"/>
        <v>-86284.772816977551</v>
      </c>
      <c r="Y22" s="153">
        <f t="shared" ref="Y22" si="48">SUM(Y20:Y21)</f>
        <v>-29881.940054933984</v>
      </c>
      <c r="Z22" s="167" t="b">
        <f t="shared" ref="Z22" si="49">SUM(E22:X22)=C22</f>
        <v>1</v>
      </c>
      <c r="AA22" s="168">
        <f t="shared" ref="AA22" si="50">SUM(E22:X22)-C22</f>
        <v>0</v>
      </c>
    </row>
    <row r="23" spans="1:27" x14ac:dyDescent="0.3">
      <c r="B23" s="160" t="s">
        <v>138</v>
      </c>
      <c r="C23" s="171">
        <f>C22/(C3+C4+C5+C6+C7)</f>
        <v>0.22723122515171876</v>
      </c>
      <c r="D23" s="185"/>
      <c r="E23" s="154">
        <f t="shared" ref="E23:X23" si="51">E22/(E3+E4+E5+E6+E7)</f>
        <v>-4.307487657887156E-2</v>
      </c>
      <c r="F23" s="154">
        <f t="shared" si="51"/>
        <v>0.13813574348241064</v>
      </c>
      <c r="G23" s="154">
        <f t="shared" si="51"/>
        <v>0.1140606853906581</v>
      </c>
      <c r="H23" s="154">
        <f t="shared" si="51"/>
        <v>0.17954127401050482</v>
      </c>
      <c r="I23" s="154">
        <f t="shared" si="51"/>
        <v>0.22260103803514497</v>
      </c>
      <c r="J23" s="154">
        <f t="shared" si="51"/>
        <v>0.27297726213979168</v>
      </c>
      <c r="K23" s="154">
        <f t="shared" si="51"/>
        <v>0.29431018222845695</v>
      </c>
      <c r="L23" s="154">
        <f t="shared" si="51"/>
        <v>0.32324652875074705</v>
      </c>
      <c r="M23" s="154">
        <f t="shared" si="51"/>
        <v>0.34635021117102788</v>
      </c>
      <c r="N23" s="154">
        <f t="shared" si="51"/>
        <v>0.3559473046889568</v>
      </c>
      <c r="O23" s="154">
        <f t="shared" si="51"/>
        <v>0.3559473046889568</v>
      </c>
      <c r="P23" s="154">
        <f t="shared" si="51"/>
        <v>0.28582636517170679</v>
      </c>
      <c r="Q23" s="154">
        <f t="shared" si="51"/>
        <v>0.25800270038871376</v>
      </c>
      <c r="R23" s="154">
        <f t="shared" si="51"/>
        <v>0.27035930070380348</v>
      </c>
      <c r="S23" s="154">
        <f t="shared" si="51"/>
        <v>0.27035930070380348</v>
      </c>
      <c r="T23" s="154">
        <f t="shared" si="51"/>
        <v>0.30988704096267117</v>
      </c>
      <c r="U23" s="154">
        <f t="shared" si="51"/>
        <v>0.41616452081736582</v>
      </c>
      <c r="V23" s="154">
        <f t="shared" si="51"/>
        <v>0.4258486671744332</v>
      </c>
      <c r="W23" s="154">
        <f t="shared" si="51"/>
        <v>0.43525502908571928</v>
      </c>
      <c r="X23" s="154">
        <f t="shared" si="51"/>
        <v>-0.35392617639554164</v>
      </c>
      <c r="Y23" s="154" t="e">
        <f t="shared" ref="Y23" si="52">Y22/(Y3+Y4+Y5+Y6+Y7)</f>
        <v>#DIV/0!</v>
      </c>
    </row>
    <row r="24" spans="1:27" x14ac:dyDescent="0.3">
      <c r="B24" s="151"/>
      <c r="C24" s="155"/>
      <c r="D24" s="188"/>
      <c r="E24" s="155"/>
      <c r="F24" s="155"/>
      <c r="G24" s="155"/>
      <c r="H24" s="155"/>
      <c r="I24" s="155"/>
      <c r="J24" s="155"/>
      <c r="K24" s="155"/>
      <c r="L24" s="155"/>
      <c r="M24" s="155"/>
    </row>
    <row r="25" spans="1:27" x14ac:dyDescent="0.3">
      <c r="B25" s="151" t="s">
        <v>139</v>
      </c>
      <c r="C25" s="166">
        <f>SUM(E25:X25)</f>
        <v>1</v>
      </c>
      <c r="D25" s="189"/>
      <c r="E25" s="166">
        <v>1.2200000000000001E-2</v>
      </c>
      <c r="F25" s="166">
        <v>3.1300000000000001E-2</v>
      </c>
      <c r="G25" s="166">
        <v>2.7699999999999999E-2</v>
      </c>
      <c r="H25" s="166">
        <v>3.8800000000000001E-2</v>
      </c>
      <c r="I25" s="166">
        <v>3.5999999999999997E-2</v>
      </c>
      <c r="J25" s="166">
        <v>4.5999999999999999E-2</v>
      </c>
      <c r="K25" s="166">
        <v>5.1299999999999998E-2</v>
      </c>
      <c r="L25" s="166">
        <v>5.9900000000000002E-2</v>
      </c>
      <c r="M25" s="166">
        <v>6.83E-2</v>
      </c>
      <c r="N25" s="166">
        <v>7.2300000000000003E-2</v>
      </c>
      <c r="O25" s="166">
        <v>7.2300000000000003E-2</v>
      </c>
      <c r="P25" s="166">
        <v>4.9099999999999998E-2</v>
      </c>
      <c r="Q25" s="166">
        <v>4.2700000000000002E-2</v>
      </c>
      <c r="R25" s="166">
        <v>4.5400000000000003E-2</v>
      </c>
      <c r="S25" s="166">
        <v>4.5400000000000003E-2</v>
      </c>
      <c r="T25" s="166">
        <v>5.57E-2</v>
      </c>
      <c r="U25" s="166">
        <v>6.4399999999999999E-2</v>
      </c>
      <c r="V25" s="166">
        <v>6.8099999999999994E-2</v>
      </c>
      <c r="W25" s="166">
        <v>7.1999999999999995E-2</v>
      </c>
      <c r="X25" s="166">
        <v>4.1099999999999998E-2</v>
      </c>
      <c r="Y25" s="166">
        <v>4.1099999999999998E-2</v>
      </c>
      <c r="Z25" s="167" t="b">
        <f t="shared" ref="Z25" si="53">SUM(E25:X25)=C25</f>
        <v>1</v>
      </c>
      <c r="AA25" s="168">
        <f t="shared" ref="AA25" si="54">SUM(E25:X25)-C25</f>
        <v>0</v>
      </c>
    </row>
    <row r="26" spans="1:27" x14ac:dyDescent="0.3">
      <c r="B26" s="152" t="s">
        <v>165</v>
      </c>
      <c r="C26" s="178">
        <f>SUM(E26:X26)</f>
        <v>1946703.3162558773</v>
      </c>
      <c r="E26" s="156">
        <f>E3+E4+E5+E6+E7+E21</f>
        <v>44831.930403900049</v>
      </c>
      <c r="F26" s="156">
        <f t="shared" ref="F26:X26" si="55">F3+F4+F5+F6+F7+F21</f>
        <v>67961.879575578292</v>
      </c>
      <c r="G26" s="156">
        <f t="shared" si="55"/>
        <v>63602.308003953076</v>
      </c>
      <c r="H26" s="156">
        <f t="shared" si="55"/>
        <v>77044.32034979749</v>
      </c>
      <c r="I26" s="156">
        <f t="shared" si="55"/>
        <v>73653.542460755649</v>
      </c>
      <c r="J26" s="156">
        <f t="shared" si="55"/>
        <v>85763.463493047922</v>
      </c>
      <c r="K26" s="156">
        <f t="shared" si="55"/>
        <v>92181.721640162825</v>
      </c>
      <c r="L26" s="156">
        <f t="shared" si="55"/>
        <v>102596.25372793419</v>
      </c>
      <c r="M26" s="156">
        <f t="shared" si="55"/>
        <v>112768.58739505969</v>
      </c>
      <c r="N26" s="156">
        <f t="shared" si="55"/>
        <v>117612.55580797661</v>
      </c>
      <c r="O26" s="156">
        <f t="shared" si="55"/>
        <v>117612.55580797661</v>
      </c>
      <c r="P26" s="156">
        <f t="shared" si="55"/>
        <v>89517.539013058529</v>
      </c>
      <c r="Q26" s="156">
        <f t="shared" si="55"/>
        <v>81767.189552391472</v>
      </c>
      <c r="R26" s="156">
        <f t="shared" si="55"/>
        <v>85036.868231110391</v>
      </c>
      <c r="S26" s="156">
        <f t="shared" si="55"/>
        <v>85036.868231110391</v>
      </c>
      <c r="T26" s="156">
        <f t="shared" si="55"/>
        <v>97510.08689437143</v>
      </c>
      <c r="U26" s="156">
        <f t="shared" si="55"/>
        <v>108045.71819246571</v>
      </c>
      <c r="V26" s="156">
        <f t="shared" si="55"/>
        <v>112526.38897441384</v>
      </c>
      <c r="W26" s="156">
        <f t="shared" si="55"/>
        <v>117249.25817700782</v>
      </c>
      <c r="X26" s="156">
        <f t="shared" si="55"/>
        <v>214384.28032380549</v>
      </c>
      <c r="Y26" s="156">
        <f t="shared" ref="Y26" si="56">Y3+Y4+Y5+Y6+Y7+Y21</f>
        <v>0</v>
      </c>
    </row>
    <row r="28" spans="1:27" hidden="1" x14ac:dyDescent="0.3"/>
    <row r="29" spans="1:27" hidden="1" x14ac:dyDescent="0.3"/>
    <row r="30" spans="1:27" hidden="1" x14ac:dyDescent="0.3"/>
    <row r="31" spans="1:27" hidden="1" x14ac:dyDescent="0.3"/>
    <row r="32" spans="1:27" hidden="1" x14ac:dyDescent="0.3"/>
    <row r="33" spans="2:7" hidden="1" x14ac:dyDescent="0.3"/>
    <row r="34" spans="2:7" hidden="1" x14ac:dyDescent="0.3"/>
    <row r="35" spans="2:7" hidden="1" x14ac:dyDescent="0.3"/>
    <row r="36" spans="2:7" ht="43.2" x14ac:dyDescent="0.3">
      <c r="B36" s="163" t="s">
        <v>141</v>
      </c>
      <c r="C36" s="163" t="s">
        <v>143</v>
      </c>
      <c r="D36" s="163" t="s">
        <v>142</v>
      </c>
    </row>
    <row r="37" spans="2:7" x14ac:dyDescent="0.3">
      <c r="B37" s="157" t="s">
        <v>162</v>
      </c>
      <c r="C37" s="162">
        <f>(($C$3+$C$4)/9%*2.5%)</f>
        <v>424126.21668250003</v>
      </c>
      <c r="D37" s="162">
        <v>0</v>
      </c>
    </row>
    <row r="38" spans="2:7" x14ac:dyDescent="0.3">
      <c r="B38" s="157" t="s">
        <v>149</v>
      </c>
      <c r="C38" s="162">
        <f>(($C$3+$C$4)/9%*5%)</f>
        <v>848252.43336500006</v>
      </c>
      <c r="D38" s="162">
        <f>(C38-C37)/2</f>
        <v>212063.10834125002</v>
      </c>
      <c r="E38" s="156"/>
      <c r="G38" s="156"/>
    </row>
    <row r="39" spans="2:7" x14ac:dyDescent="0.3">
      <c r="B39" s="170" t="s">
        <v>150</v>
      </c>
      <c r="C39" s="162">
        <f>(($C$3+$C$4)/9%*5%)</f>
        <v>848252.43336500006</v>
      </c>
      <c r="D39" s="191" t="s">
        <v>161</v>
      </c>
    </row>
    <row r="40" spans="2:7" ht="6.75" customHeight="1" x14ac:dyDescent="0.3">
      <c r="D40" s="152"/>
    </row>
    <row r="41" spans="2:7" x14ac:dyDescent="0.3">
      <c r="B41" s="170" t="s">
        <v>151</v>
      </c>
      <c r="C41" s="162">
        <f>(($C$3+$C$4)/9%*2.5%)</f>
        <v>424126.21668250003</v>
      </c>
      <c r="D41" s="162">
        <v>0</v>
      </c>
    </row>
    <row r="42" spans="2:7" x14ac:dyDescent="0.3">
      <c r="B42" s="170" t="s">
        <v>152</v>
      </c>
      <c r="C42" s="162">
        <f>(($C$3+$C$4)/9%*5%)</f>
        <v>848252.43336500006</v>
      </c>
      <c r="D42" s="162">
        <f>(C42-C41)/2</f>
        <v>212063.10834125002</v>
      </c>
      <c r="E42" s="156"/>
    </row>
    <row r="43" spans="2:7" x14ac:dyDescent="0.3">
      <c r="B43" s="170" t="s">
        <v>153</v>
      </c>
      <c r="C43" s="162">
        <f>(($C$3+$C$4)/9%*5%)</f>
        <v>848252.43336500006</v>
      </c>
      <c r="D43" s="191" t="s">
        <v>161</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42"/>
  <sheetViews>
    <sheetView zoomScale="70" zoomScaleNormal="70" workbookViewId="0">
      <selection activeCell="Q26" sqref="Q26"/>
    </sheetView>
  </sheetViews>
  <sheetFormatPr defaultRowHeight="14.4" x14ac:dyDescent="0.3"/>
  <cols>
    <col min="2" max="2" width="13.5546875" customWidth="1"/>
    <col min="3" max="3" width="20.88671875" customWidth="1"/>
    <col min="4" max="4" width="21.5546875" customWidth="1"/>
    <col min="5" max="5" width="2" customWidth="1"/>
    <col min="6" max="6" width="13.5546875" customWidth="1"/>
    <col min="7" max="7" width="20" customWidth="1"/>
    <col min="8" max="8" width="19.88671875" customWidth="1"/>
    <col min="9" max="9" width="1.6640625" customWidth="1"/>
    <col min="10" max="10" width="14.88671875" customWidth="1"/>
    <col min="11" max="11" width="21.88671875" customWidth="1"/>
    <col min="12" max="12" width="20.33203125" customWidth="1"/>
    <col min="13" max="13" width="1.88671875" customWidth="1"/>
    <col min="14" max="14" width="16.88671875" customWidth="1"/>
    <col min="15" max="15" width="20.109375" customWidth="1"/>
    <col min="16" max="16" width="19" customWidth="1"/>
  </cols>
  <sheetData>
    <row r="1" spans="2:16" ht="15" thickBot="1" x14ac:dyDescent="0.35"/>
    <row r="2" spans="2:16" x14ac:dyDescent="0.3">
      <c r="B2" s="125" t="s">
        <v>86</v>
      </c>
      <c r="C2" s="126" t="s">
        <v>58</v>
      </c>
      <c r="D2" s="127" t="s">
        <v>87</v>
      </c>
      <c r="F2" s="88" t="s">
        <v>86</v>
      </c>
      <c r="G2" s="88" t="s">
        <v>58</v>
      </c>
      <c r="H2" s="88" t="s">
        <v>87</v>
      </c>
      <c r="J2" s="88" t="s">
        <v>86</v>
      </c>
      <c r="K2" s="88" t="s">
        <v>58</v>
      </c>
      <c r="L2" s="88" t="s">
        <v>87</v>
      </c>
      <c r="N2" s="91" t="s">
        <v>86</v>
      </c>
      <c r="O2" s="88" t="s">
        <v>58</v>
      </c>
      <c r="P2" s="88" t="s">
        <v>87</v>
      </c>
    </row>
    <row r="3" spans="2:16" x14ac:dyDescent="0.3">
      <c r="B3" s="120">
        <v>1</v>
      </c>
      <c r="C3" s="87">
        <v>1</v>
      </c>
      <c r="D3" s="121" t="s">
        <v>20</v>
      </c>
      <c r="F3" s="87">
        <v>1</v>
      </c>
      <c r="G3" s="87">
        <v>11</v>
      </c>
      <c r="H3" s="90" t="s">
        <v>17</v>
      </c>
      <c r="J3" s="87">
        <v>1</v>
      </c>
      <c r="K3" s="87">
        <v>14</v>
      </c>
      <c r="L3" s="89" t="s">
        <v>18</v>
      </c>
      <c r="N3" s="87">
        <v>3</v>
      </c>
      <c r="O3" s="87">
        <v>14</v>
      </c>
      <c r="P3" s="92" t="s">
        <v>19</v>
      </c>
    </row>
    <row r="4" spans="2:16" x14ac:dyDescent="0.3">
      <c r="B4" s="120">
        <v>1</v>
      </c>
      <c r="C4" s="87">
        <v>2</v>
      </c>
      <c r="D4" s="121" t="s">
        <v>20</v>
      </c>
      <c r="F4" s="87">
        <v>1</v>
      </c>
      <c r="G4" s="87">
        <v>12</v>
      </c>
      <c r="H4" s="90" t="s">
        <v>17</v>
      </c>
      <c r="J4" s="87">
        <v>1</v>
      </c>
      <c r="K4" s="87">
        <v>15</v>
      </c>
      <c r="L4" s="89" t="s">
        <v>18</v>
      </c>
      <c r="N4" s="87">
        <v>3</v>
      </c>
      <c r="O4" s="87">
        <v>15</v>
      </c>
      <c r="P4" s="92" t="s">
        <v>19</v>
      </c>
    </row>
    <row r="5" spans="2:16" x14ac:dyDescent="0.3">
      <c r="B5" s="120">
        <v>1</v>
      </c>
      <c r="C5" s="87">
        <v>3</v>
      </c>
      <c r="D5" s="121" t="s">
        <v>20</v>
      </c>
      <c r="F5" s="87">
        <v>1</v>
      </c>
      <c r="G5" s="87">
        <v>13</v>
      </c>
      <c r="H5" s="90" t="s">
        <v>17</v>
      </c>
      <c r="J5" s="87">
        <v>1</v>
      </c>
      <c r="K5" s="87">
        <v>16</v>
      </c>
      <c r="L5" s="89" t="s">
        <v>18</v>
      </c>
      <c r="N5" s="87">
        <v>3</v>
      </c>
      <c r="O5" s="87">
        <v>16</v>
      </c>
      <c r="P5" s="92" t="s">
        <v>19</v>
      </c>
    </row>
    <row r="6" spans="2:16" x14ac:dyDescent="0.3">
      <c r="B6" s="120">
        <v>1</v>
      </c>
      <c r="C6" s="87">
        <v>4</v>
      </c>
      <c r="D6" s="121" t="s">
        <v>20</v>
      </c>
      <c r="F6" s="87">
        <v>2</v>
      </c>
      <c r="G6" s="87">
        <v>8</v>
      </c>
      <c r="H6" s="90" t="s">
        <v>17</v>
      </c>
      <c r="J6" s="87">
        <v>1</v>
      </c>
      <c r="K6" s="87">
        <v>17</v>
      </c>
      <c r="L6" s="89" t="s">
        <v>18</v>
      </c>
      <c r="N6" s="87">
        <v>3</v>
      </c>
      <c r="O6" s="87">
        <v>17</v>
      </c>
      <c r="P6" s="92" t="s">
        <v>19</v>
      </c>
    </row>
    <row r="7" spans="2:16" x14ac:dyDescent="0.3">
      <c r="B7" s="120">
        <v>1</v>
      </c>
      <c r="C7" s="87">
        <v>5</v>
      </c>
      <c r="D7" s="121" t="s">
        <v>20</v>
      </c>
      <c r="F7" s="87">
        <v>2</v>
      </c>
      <c r="G7" s="87">
        <v>9</v>
      </c>
      <c r="H7" s="90" t="s">
        <v>17</v>
      </c>
      <c r="J7" s="87">
        <v>2</v>
      </c>
      <c r="K7" s="87">
        <v>14</v>
      </c>
      <c r="L7" s="89" t="s">
        <v>18</v>
      </c>
      <c r="N7" s="87">
        <v>3</v>
      </c>
      <c r="O7" s="87">
        <v>18</v>
      </c>
      <c r="P7" s="92" t="s">
        <v>19</v>
      </c>
    </row>
    <row r="8" spans="2:16" x14ac:dyDescent="0.3">
      <c r="B8" s="120">
        <v>1</v>
      </c>
      <c r="C8" s="87">
        <v>6</v>
      </c>
      <c r="D8" s="121" t="s">
        <v>20</v>
      </c>
      <c r="F8" s="87">
        <v>2</v>
      </c>
      <c r="G8" s="87">
        <v>10</v>
      </c>
      <c r="H8" s="90" t="s">
        <v>17</v>
      </c>
      <c r="J8" s="87">
        <v>2</v>
      </c>
      <c r="K8" s="87">
        <v>15</v>
      </c>
      <c r="L8" s="89" t="s">
        <v>18</v>
      </c>
      <c r="N8" s="87">
        <v>3</v>
      </c>
      <c r="O8" s="87">
        <v>19</v>
      </c>
      <c r="P8" s="92" t="s">
        <v>19</v>
      </c>
    </row>
    <row r="9" spans="2:16" x14ac:dyDescent="0.3">
      <c r="B9" s="120">
        <v>1</v>
      </c>
      <c r="C9" s="87">
        <v>7</v>
      </c>
      <c r="D9" s="121" t="s">
        <v>20</v>
      </c>
      <c r="F9" s="87">
        <v>2</v>
      </c>
      <c r="G9" s="87">
        <v>11</v>
      </c>
      <c r="H9" s="90" t="s">
        <v>17</v>
      </c>
      <c r="J9" s="87">
        <v>2</v>
      </c>
      <c r="K9" s="87">
        <v>16</v>
      </c>
      <c r="L9" s="89" t="s">
        <v>18</v>
      </c>
      <c r="N9" s="87">
        <v>3</v>
      </c>
      <c r="O9" s="87">
        <v>20</v>
      </c>
      <c r="P9" s="92" t="s">
        <v>19</v>
      </c>
    </row>
    <row r="10" spans="2:16" x14ac:dyDescent="0.3">
      <c r="B10" s="120">
        <v>1</v>
      </c>
      <c r="C10" s="87">
        <v>8</v>
      </c>
      <c r="D10" s="121" t="s">
        <v>20</v>
      </c>
      <c r="F10" s="87">
        <v>2</v>
      </c>
      <c r="G10" s="87">
        <v>12</v>
      </c>
      <c r="H10" s="90" t="s">
        <v>17</v>
      </c>
      <c r="J10" s="87">
        <v>2</v>
      </c>
      <c r="K10" s="87">
        <v>17</v>
      </c>
      <c r="L10" s="89" t="s">
        <v>18</v>
      </c>
      <c r="N10" s="87">
        <v>4</v>
      </c>
      <c r="O10" s="87">
        <v>11</v>
      </c>
      <c r="P10" s="92" t="s">
        <v>19</v>
      </c>
    </row>
    <row r="11" spans="2:16" x14ac:dyDescent="0.3">
      <c r="B11" s="120">
        <v>1</v>
      </c>
      <c r="C11" s="87">
        <v>9</v>
      </c>
      <c r="D11" s="121" t="s">
        <v>20</v>
      </c>
      <c r="F11" s="87">
        <v>2</v>
      </c>
      <c r="G11" s="87">
        <v>13</v>
      </c>
      <c r="H11" s="90" t="s">
        <v>17</v>
      </c>
      <c r="J11" s="87">
        <v>3</v>
      </c>
      <c r="K11" s="87">
        <v>11</v>
      </c>
      <c r="L11" s="89" t="s">
        <v>18</v>
      </c>
      <c r="N11" s="87">
        <v>4</v>
      </c>
      <c r="O11" s="87">
        <v>12</v>
      </c>
      <c r="P11" s="92" t="s">
        <v>19</v>
      </c>
    </row>
    <row r="12" spans="2:16" x14ac:dyDescent="0.3">
      <c r="B12" s="120">
        <v>1</v>
      </c>
      <c r="C12" s="87">
        <v>10</v>
      </c>
      <c r="D12" s="121" t="s">
        <v>20</v>
      </c>
      <c r="F12" s="87">
        <v>3</v>
      </c>
      <c r="G12" s="87">
        <v>1</v>
      </c>
      <c r="H12" s="90" t="s">
        <v>17</v>
      </c>
      <c r="J12" s="87">
        <v>3</v>
      </c>
      <c r="K12" s="87">
        <v>12</v>
      </c>
      <c r="L12" s="89" t="s">
        <v>18</v>
      </c>
      <c r="N12" s="87">
        <v>4</v>
      </c>
      <c r="O12" s="87">
        <v>13</v>
      </c>
      <c r="P12" s="92" t="s">
        <v>19</v>
      </c>
    </row>
    <row r="13" spans="2:16" x14ac:dyDescent="0.3">
      <c r="B13" s="120">
        <v>2</v>
      </c>
      <c r="C13" s="87">
        <v>1</v>
      </c>
      <c r="D13" s="121" t="s">
        <v>20</v>
      </c>
      <c r="F13" s="87">
        <v>3</v>
      </c>
      <c r="G13" s="87">
        <v>2</v>
      </c>
      <c r="H13" s="90" t="s">
        <v>17</v>
      </c>
      <c r="J13" s="87">
        <v>3</v>
      </c>
      <c r="K13" s="87">
        <v>13</v>
      </c>
      <c r="L13" s="89" t="s">
        <v>18</v>
      </c>
      <c r="N13" s="87">
        <v>4</v>
      </c>
      <c r="O13" s="87">
        <v>14</v>
      </c>
      <c r="P13" s="92" t="s">
        <v>19</v>
      </c>
    </row>
    <row r="14" spans="2:16" x14ac:dyDescent="0.3">
      <c r="B14" s="120">
        <v>2</v>
      </c>
      <c r="C14" s="87">
        <v>2</v>
      </c>
      <c r="D14" s="121" t="s">
        <v>20</v>
      </c>
      <c r="F14" s="87">
        <v>3</v>
      </c>
      <c r="G14" s="87">
        <v>3</v>
      </c>
      <c r="H14" s="90" t="s">
        <v>17</v>
      </c>
      <c r="J14" s="87">
        <v>4</v>
      </c>
      <c r="K14" s="87">
        <v>1</v>
      </c>
      <c r="L14" s="89" t="s">
        <v>18</v>
      </c>
      <c r="N14" s="87">
        <v>4</v>
      </c>
      <c r="O14" s="87">
        <v>15</v>
      </c>
      <c r="P14" s="92" t="s">
        <v>19</v>
      </c>
    </row>
    <row r="15" spans="2:16" x14ac:dyDescent="0.3">
      <c r="B15" s="120">
        <v>2</v>
      </c>
      <c r="C15" s="87">
        <v>3</v>
      </c>
      <c r="D15" s="121" t="s">
        <v>20</v>
      </c>
      <c r="F15" s="87">
        <v>3</v>
      </c>
      <c r="G15" s="87">
        <v>4</v>
      </c>
      <c r="H15" s="90" t="s">
        <v>17</v>
      </c>
      <c r="J15" s="87">
        <v>4</v>
      </c>
      <c r="K15" s="87">
        <v>2</v>
      </c>
      <c r="L15" s="89" t="s">
        <v>18</v>
      </c>
      <c r="N15" s="87">
        <v>4</v>
      </c>
      <c r="O15" s="87">
        <v>16</v>
      </c>
      <c r="P15" s="92" t="s">
        <v>19</v>
      </c>
    </row>
    <row r="16" spans="2:16" x14ac:dyDescent="0.3">
      <c r="B16" s="120">
        <v>2</v>
      </c>
      <c r="C16" s="87">
        <v>4</v>
      </c>
      <c r="D16" s="121" t="s">
        <v>20</v>
      </c>
      <c r="F16" s="87">
        <v>3</v>
      </c>
      <c r="G16" s="87">
        <v>5</v>
      </c>
      <c r="H16" s="90" t="s">
        <v>17</v>
      </c>
      <c r="J16" s="87">
        <v>4</v>
      </c>
      <c r="K16" s="87">
        <v>3</v>
      </c>
      <c r="L16" s="89" t="s">
        <v>18</v>
      </c>
      <c r="N16" s="87">
        <v>4</v>
      </c>
      <c r="O16" s="87">
        <v>17</v>
      </c>
      <c r="P16" s="92" t="s">
        <v>19</v>
      </c>
    </row>
    <row r="17" spans="2:16" x14ac:dyDescent="0.3">
      <c r="B17" s="120">
        <v>2</v>
      </c>
      <c r="C17" s="87">
        <v>5</v>
      </c>
      <c r="D17" s="121" t="s">
        <v>20</v>
      </c>
      <c r="F17" s="87">
        <v>3</v>
      </c>
      <c r="G17" s="87">
        <v>6</v>
      </c>
      <c r="H17" s="90" t="s">
        <v>17</v>
      </c>
      <c r="J17" s="87">
        <v>4</v>
      </c>
      <c r="K17" s="87">
        <v>4</v>
      </c>
      <c r="L17" s="89" t="s">
        <v>18</v>
      </c>
      <c r="N17" s="87">
        <v>4</v>
      </c>
      <c r="O17" s="87">
        <v>18</v>
      </c>
      <c r="P17" s="92" t="s">
        <v>19</v>
      </c>
    </row>
    <row r="18" spans="2:16" x14ac:dyDescent="0.3">
      <c r="B18" s="120">
        <v>2</v>
      </c>
      <c r="C18" s="87">
        <v>6</v>
      </c>
      <c r="D18" s="121" t="s">
        <v>20</v>
      </c>
      <c r="F18" s="87">
        <v>3</v>
      </c>
      <c r="G18" s="87">
        <v>7</v>
      </c>
      <c r="H18" s="90" t="s">
        <v>17</v>
      </c>
      <c r="J18" s="87">
        <v>4</v>
      </c>
      <c r="K18" s="87">
        <v>5</v>
      </c>
      <c r="L18" s="89" t="s">
        <v>18</v>
      </c>
      <c r="N18" s="87">
        <v>4</v>
      </c>
      <c r="O18" s="87">
        <v>19</v>
      </c>
      <c r="P18" s="92" t="s">
        <v>19</v>
      </c>
    </row>
    <row r="19" spans="2:16" ht="15" thickBot="1" x14ac:dyDescent="0.35">
      <c r="B19" s="122">
        <v>2</v>
      </c>
      <c r="C19" s="123">
        <v>7</v>
      </c>
      <c r="D19" s="124" t="s">
        <v>20</v>
      </c>
      <c r="F19" s="87">
        <v>3</v>
      </c>
      <c r="G19" s="87">
        <v>8</v>
      </c>
      <c r="H19" s="90" t="s">
        <v>17</v>
      </c>
      <c r="J19" s="87">
        <v>4</v>
      </c>
      <c r="K19" s="87">
        <v>6</v>
      </c>
      <c r="L19" s="89" t="s">
        <v>18</v>
      </c>
      <c r="N19" s="87">
        <v>4</v>
      </c>
      <c r="O19" s="87">
        <v>20</v>
      </c>
      <c r="P19" s="92" t="s">
        <v>19</v>
      </c>
    </row>
    <row r="20" spans="2:16" x14ac:dyDescent="0.3">
      <c r="F20" s="87">
        <v>3</v>
      </c>
      <c r="G20" s="87">
        <v>9</v>
      </c>
      <c r="H20" s="90" t="s">
        <v>17</v>
      </c>
      <c r="J20" s="87">
        <v>4</v>
      </c>
      <c r="K20" s="87">
        <v>7</v>
      </c>
      <c r="L20" s="89" t="s">
        <v>18</v>
      </c>
      <c r="N20" s="87">
        <v>5</v>
      </c>
      <c r="O20" s="87">
        <v>11</v>
      </c>
      <c r="P20" s="92" t="s">
        <v>19</v>
      </c>
    </row>
    <row r="21" spans="2:16" x14ac:dyDescent="0.3">
      <c r="F21" s="87">
        <v>3</v>
      </c>
      <c r="G21" s="87">
        <v>10</v>
      </c>
      <c r="H21" s="90" t="s">
        <v>17</v>
      </c>
      <c r="J21" s="87">
        <v>4</v>
      </c>
      <c r="K21" s="87">
        <v>8</v>
      </c>
      <c r="L21" s="89" t="s">
        <v>18</v>
      </c>
      <c r="N21" s="87">
        <v>5</v>
      </c>
      <c r="O21" s="87">
        <v>12</v>
      </c>
      <c r="P21" s="92" t="s">
        <v>19</v>
      </c>
    </row>
    <row r="22" spans="2:16" x14ac:dyDescent="0.3">
      <c r="J22" s="87">
        <v>4</v>
      </c>
      <c r="K22" s="87">
        <v>9</v>
      </c>
      <c r="L22" s="89" t="s">
        <v>18</v>
      </c>
      <c r="N22" s="87">
        <v>5</v>
      </c>
      <c r="O22" s="87">
        <v>13</v>
      </c>
      <c r="P22" s="92" t="s">
        <v>19</v>
      </c>
    </row>
    <row r="23" spans="2:16" x14ac:dyDescent="0.3">
      <c r="J23" s="87">
        <v>4</v>
      </c>
      <c r="K23" s="87">
        <v>10</v>
      </c>
      <c r="L23" s="89" t="s">
        <v>18</v>
      </c>
      <c r="N23" s="87">
        <v>5</v>
      </c>
      <c r="O23" s="87">
        <v>14</v>
      </c>
      <c r="P23" s="92" t="s">
        <v>19</v>
      </c>
    </row>
    <row r="24" spans="2:16" x14ac:dyDescent="0.3">
      <c r="J24" s="87">
        <v>5</v>
      </c>
      <c r="K24" s="87">
        <v>1</v>
      </c>
      <c r="L24" s="89" t="s">
        <v>18</v>
      </c>
      <c r="N24" s="87">
        <v>5</v>
      </c>
      <c r="O24" s="87">
        <v>15</v>
      </c>
      <c r="P24" s="92" t="s">
        <v>19</v>
      </c>
    </row>
    <row r="25" spans="2:16" x14ac:dyDescent="0.3">
      <c r="J25" s="87">
        <v>5</v>
      </c>
      <c r="K25" s="87">
        <v>2</v>
      </c>
      <c r="L25" s="89" t="s">
        <v>18</v>
      </c>
      <c r="N25" s="87">
        <v>5</v>
      </c>
      <c r="O25" s="87">
        <v>16</v>
      </c>
      <c r="P25" s="92" t="s">
        <v>19</v>
      </c>
    </row>
    <row r="26" spans="2:16" x14ac:dyDescent="0.3">
      <c r="J26" s="87">
        <v>5</v>
      </c>
      <c r="K26" s="87">
        <v>3</v>
      </c>
      <c r="L26" s="89" t="s">
        <v>18</v>
      </c>
      <c r="N26" s="87">
        <v>5</v>
      </c>
      <c r="O26" s="87">
        <v>17</v>
      </c>
      <c r="P26" s="92" t="s">
        <v>19</v>
      </c>
    </row>
    <row r="27" spans="2:16" x14ac:dyDescent="0.3">
      <c r="J27" s="87">
        <v>5</v>
      </c>
      <c r="K27" s="87">
        <v>4</v>
      </c>
      <c r="L27" s="89" t="s">
        <v>18</v>
      </c>
      <c r="N27" s="87">
        <v>5</v>
      </c>
      <c r="O27" s="87">
        <v>18</v>
      </c>
      <c r="P27" s="92" t="s">
        <v>19</v>
      </c>
    </row>
    <row r="28" spans="2:16" x14ac:dyDescent="0.3">
      <c r="J28" s="87">
        <v>5</v>
      </c>
      <c r="K28" s="87">
        <v>5</v>
      </c>
      <c r="L28" s="89" t="s">
        <v>18</v>
      </c>
      <c r="N28" s="87">
        <v>5</v>
      </c>
      <c r="O28" s="87">
        <v>19</v>
      </c>
      <c r="P28" s="92" t="s">
        <v>19</v>
      </c>
    </row>
    <row r="29" spans="2:16" x14ac:dyDescent="0.3">
      <c r="J29" s="87">
        <v>5</v>
      </c>
      <c r="K29" s="87">
        <v>6</v>
      </c>
      <c r="L29" s="89" t="s">
        <v>18</v>
      </c>
      <c r="N29" s="87">
        <v>5</v>
      </c>
      <c r="O29" s="87">
        <v>20</v>
      </c>
      <c r="P29" s="92" t="s">
        <v>19</v>
      </c>
    </row>
    <row r="30" spans="2:16" x14ac:dyDescent="0.3">
      <c r="J30" s="87">
        <v>5</v>
      </c>
      <c r="K30" s="87">
        <v>7</v>
      </c>
      <c r="L30" s="89" t="s">
        <v>18</v>
      </c>
      <c r="N30" s="87">
        <v>6</v>
      </c>
      <c r="O30" s="87">
        <v>8</v>
      </c>
      <c r="P30" s="92" t="s">
        <v>19</v>
      </c>
    </row>
    <row r="31" spans="2:16" x14ac:dyDescent="0.3">
      <c r="J31" s="87">
        <v>5</v>
      </c>
      <c r="K31" s="87">
        <v>8</v>
      </c>
      <c r="L31" s="89" t="s">
        <v>18</v>
      </c>
      <c r="N31" s="87">
        <v>6</v>
      </c>
      <c r="O31" s="87">
        <v>9</v>
      </c>
      <c r="P31" s="92" t="s">
        <v>19</v>
      </c>
    </row>
    <row r="32" spans="2:16" x14ac:dyDescent="0.3">
      <c r="J32" s="87">
        <v>5</v>
      </c>
      <c r="K32" s="87">
        <v>9</v>
      </c>
      <c r="L32" s="89" t="s">
        <v>18</v>
      </c>
      <c r="N32" s="87">
        <v>6</v>
      </c>
      <c r="O32" s="87">
        <v>10</v>
      </c>
      <c r="P32" s="92" t="s">
        <v>19</v>
      </c>
    </row>
    <row r="33" spans="7:16" x14ac:dyDescent="0.3">
      <c r="J33" s="87">
        <v>5</v>
      </c>
      <c r="K33" s="87">
        <v>10</v>
      </c>
      <c r="L33" s="89" t="s">
        <v>18</v>
      </c>
      <c r="N33" s="87">
        <v>6</v>
      </c>
      <c r="O33" s="87">
        <v>11</v>
      </c>
      <c r="P33" s="92" t="s">
        <v>19</v>
      </c>
    </row>
    <row r="34" spans="7:16" x14ac:dyDescent="0.3">
      <c r="G34" s="280"/>
      <c r="J34" s="87">
        <v>6</v>
      </c>
      <c r="K34" s="87">
        <v>1</v>
      </c>
      <c r="L34" s="89" t="s">
        <v>18</v>
      </c>
      <c r="N34" s="87">
        <v>6</v>
      </c>
      <c r="O34" s="87">
        <v>12</v>
      </c>
      <c r="P34" s="92" t="s">
        <v>19</v>
      </c>
    </row>
    <row r="35" spans="7:16" x14ac:dyDescent="0.3">
      <c r="G35" s="280"/>
      <c r="J35" s="87">
        <v>6</v>
      </c>
      <c r="K35" s="87">
        <v>2</v>
      </c>
      <c r="L35" s="89" t="s">
        <v>18</v>
      </c>
      <c r="N35" s="87">
        <v>6</v>
      </c>
      <c r="O35" s="87">
        <v>13</v>
      </c>
      <c r="P35" s="92" t="s">
        <v>19</v>
      </c>
    </row>
    <row r="36" spans="7:16" x14ac:dyDescent="0.3">
      <c r="G36" s="280"/>
      <c r="J36" s="87">
        <v>6</v>
      </c>
      <c r="K36" s="87">
        <v>3</v>
      </c>
      <c r="L36" s="89" t="s">
        <v>18</v>
      </c>
      <c r="N36" s="87">
        <v>6</v>
      </c>
      <c r="O36" s="87">
        <v>14</v>
      </c>
      <c r="P36" s="92" t="s">
        <v>19</v>
      </c>
    </row>
    <row r="37" spans="7:16" x14ac:dyDescent="0.3">
      <c r="G37" s="280"/>
      <c r="J37" s="87">
        <v>6</v>
      </c>
      <c r="K37" s="87">
        <v>4</v>
      </c>
      <c r="L37" s="89" t="s">
        <v>18</v>
      </c>
      <c r="N37" s="87">
        <v>6</v>
      </c>
      <c r="O37" s="87">
        <v>15</v>
      </c>
      <c r="P37" s="92" t="s">
        <v>19</v>
      </c>
    </row>
    <row r="38" spans="7:16" x14ac:dyDescent="0.3">
      <c r="G38" s="280"/>
      <c r="J38" s="87">
        <v>6</v>
      </c>
      <c r="K38" s="87">
        <v>5</v>
      </c>
      <c r="L38" s="89" t="s">
        <v>18</v>
      </c>
      <c r="N38" s="87">
        <v>6</v>
      </c>
      <c r="O38" s="87">
        <v>16</v>
      </c>
      <c r="P38" s="92" t="s">
        <v>19</v>
      </c>
    </row>
    <row r="39" spans="7:16" x14ac:dyDescent="0.3">
      <c r="G39" s="280"/>
      <c r="J39" s="87">
        <v>6</v>
      </c>
      <c r="K39" s="87">
        <v>6</v>
      </c>
      <c r="L39" s="89" t="s">
        <v>18</v>
      </c>
      <c r="N39" s="87">
        <v>6</v>
      </c>
      <c r="O39" s="87">
        <v>17</v>
      </c>
      <c r="P39" s="92" t="s">
        <v>19</v>
      </c>
    </row>
    <row r="40" spans="7:16" x14ac:dyDescent="0.3">
      <c r="G40" s="280"/>
      <c r="J40" s="87">
        <v>6</v>
      </c>
      <c r="K40" s="87">
        <v>7</v>
      </c>
      <c r="L40" s="89" t="s">
        <v>18</v>
      </c>
      <c r="N40" s="87">
        <v>6</v>
      </c>
      <c r="O40" s="87">
        <v>18</v>
      </c>
      <c r="P40" s="92" t="s">
        <v>19</v>
      </c>
    </row>
    <row r="41" spans="7:16" x14ac:dyDescent="0.3">
      <c r="G41" s="280"/>
      <c r="N41" s="87">
        <v>6</v>
      </c>
      <c r="O41" s="87">
        <v>19</v>
      </c>
      <c r="P41" s="92" t="s">
        <v>19</v>
      </c>
    </row>
    <row r="42" spans="7:16" x14ac:dyDescent="0.3">
      <c r="N42" s="87">
        <v>6</v>
      </c>
      <c r="O42" s="87">
        <v>20</v>
      </c>
      <c r="P42" s="92" t="s">
        <v>19</v>
      </c>
    </row>
  </sheetData>
  <mergeCells count="1">
    <mergeCell ref="G34:G41"/>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4">
    <pageSetUpPr fitToPage="1"/>
  </sheetPr>
  <dimension ref="R5:U14"/>
  <sheetViews>
    <sheetView showGridLines="0" zoomScale="71" zoomScaleNormal="71" workbookViewId="0">
      <selection activeCell="W20" sqref="W20"/>
    </sheetView>
  </sheetViews>
  <sheetFormatPr defaultRowHeight="14.4" x14ac:dyDescent="0.3"/>
  <cols>
    <col min="18" max="18" width="3.5546875" customWidth="1"/>
    <col min="19" max="19" width="5.6640625" customWidth="1"/>
    <col min="21" max="21" width="9.44140625" customWidth="1"/>
  </cols>
  <sheetData>
    <row r="5" spans="18:21" ht="15" thickBot="1" x14ac:dyDescent="0.35"/>
    <row r="6" spans="18:21" x14ac:dyDescent="0.3">
      <c r="R6" s="22"/>
      <c r="S6" s="23"/>
      <c r="T6" s="23"/>
      <c r="U6" s="24"/>
    </row>
    <row r="7" spans="18:21" ht="15.6" x14ac:dyDescent="0.3">
      <c r="R7" s="25"/>
      <c r="S7" s="26"/>
      <c r="T7" s="27" t="s">
        <v>20</v>
      </c>
      <c r="U7" s="28"/>
    </row>
    <row r="8" spans="18:21" ht="15.6" x14ac:dyDescent="0.3">
      <c r="R8" s="25"/>
      <c r="T8" s="27"/>
      <c r="U8" s="28"/>
    </row>
    <row r="9" spans="18:21" ht="15.6" x14ac:dyDescent="0.3">
      <c r="R9" s="25"/>
      <c r="S9" s="29"/>
      <c r="T9" s="27" t="s">
        <v>17</v>
      </c>
      <c r="U9" s="28"/>
    </row>
    <row r="10" spans="18:21" ht="15.6" x14ac:dyDescent="0.3">
      <c r="R10" s="25"/>
      <c r="T10" s="27"/>
      <c r="U10" s="28"/>
    </row>
    <row r="11" spans="18:21" ht="15.6" x14ac:dyDescent="0.3">
      <c r="R11" s="25"/>
      <c r="S11" s="30"/>
      <c r="T11" s="27" t="s">
        <v>18</v>
      </c>
      <c r="U11" s="28"/>
    </row>
    <row r="12" spans="18:21" ht="15.6" x14ac:dyDescent="0.3">
      <c r="R12" s="25"/>
      <c r="T12" s="27"/>
      <c r="U12" s="28"/>
    </row>
    <row r="13" spans="18:21" ht="15.6" x14ac:dyDescent="0.3">
      <c r="R13" s="25"/>
      <c r="S13" s="31"/>
      <c r="T13" s="27" t="s">
        <v>19</v>
      </c>
      <c r="U13" s="28"/>
    </row>
    <row r="14" spans="18:21" ht="15" thickBot="1" x14ac:dyDescent="0.35">
      <c r="R14" s="32"/>
      <c r="S14" s="33"/>
      <c r="T14" s="33"/>
      <c r="U14" s="34"/>
    </row>
  </sheetData>
  <sheetProtection selectLockedCells="1" selectUnlockedCells="1"/>
  <printOptions horizontalCentered="1" verticalCentered="1"/>
  <pageMargins left="0" right="0" top="0" bottom="0" header="0" footer="0"/>
  <pageSetup paperSize="9" orientation="landscape" r:id="rId1"/>
  <headerFooter>
    <oddFooter>&amp;R&amp;F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5</vt:i4>
      </vt:variant>
    </vt:vector>
  </HeadingPairs>
  <TitlesOfParts>
    <vt:vector size="12" baseType="lpstr">
      <vt:lpstr>Riscos-CANTU</vt:lpstr>
      <vt:lpstr>Ações-Riscos-CANTU</vt:lpstr>
      <vt:lpstr>Oportunidades-CANTU</vt:lpstr>
      <vt:lpstr>Ações - Oportunidades-CANTU</vt:lpstr>
      <vt:lpstr>Viabilidade</vt:lpstr>
      <vt:lpstr>Classificação</vt:lpstr>
      <vt:lpstr>Gráfico</vt:lpstr>
      <vt:lpstr>'Ações - Oportunidades-CANTU'!Area_de_impressao</vt:lpstr>
      <vt:lpstr>'Ações-Riscos-CANTU'!Area_de_impressao</vt:lpstr>
      <vt:lpstr>Gráfico!Area_de_impressao</vt:lpstr>
      <vt:lpstr>'Oportunidades-CANTU'!Area_de_impressao</vt:lpstr>
      <vt:lpstr>'Riscos-CANTU'!Area_de_impressao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2006-09-25T12:47:36Z</dcterms:created>
  <dcterms:modified xsi:type="dcterms:W3CDTF">2026-07-24T02:53:14Z</dcterms:modified>
</cp:coreProperties>
</file>