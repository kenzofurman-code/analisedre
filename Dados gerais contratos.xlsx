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C:\Users\HomePC\.gemini\antigravity-ide\scratch\analise-dre\"/>
    </mc:Choice>
  </mc:AlternateContent>
  <xr:revisionPtr revIDLastSave="0" documentId="13_ncr:1_{90746420-B8F4-4DDE-9FF2-FA82A3488B33}" xr6:coauthVersionLast="47" xr6:coauthVersionMax="47" xr10:uidLastSave="{00000000-0000-0000-0000-000000000000}"/>
  <bookViews>
    <workbookView xWindow="-108" yWindow="-108" windowWidth="30936" windowHeight="16776" tabRatio="706" firstSheet="1" activeTab="3" xr2:uid="{00000000-000D-0000-FFFF-FFFF00000000}"/>
  </bookViews>
  <sheets>
    <sheet name="Indicadores" sheetId="10" state="hidden" r:id="rId1"/>
    <sheet name="Prazo Obras" sheetId="5" r:id="rId2"/>
    <sheet name="Custo Obras" sheetId="6" r:id="rId3"/>
    <sheet name="Informações gerais Obras" sheetId="12" r:id="rId4"/>
  </sheets>
  <externalReferences>
    <externalReference r:id="rId5"/>
  </externalReferences>
  <definedNames>
    <definedName name="_xlnm._FilterDatabase" localSheetId="2" hidden="1">'Custo Obras'!$A$1:$J$21</definedName>
    <definedName name="_xlnm._FilterDatabase" localSheetId="1" hidden="1">'Prazo Obras'!$A$1:$V$21</definedName>
    <definedName name="Estratégias">'[1]Estratégias (legenda)'!$A$2:$A$5</definedName>
    <definedName name="EstrategiasOport">'[1]Estratégias (legenda)'!$D$2:$D$5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3" i="5" l="1"/>
  <c r="L3" i="5"/>
  <c r="C3" i="5" l="1"/>
  <c r="L16" i="5" l="1"/>
  <c r="M16" i="5" s="1"/>
  <c r="M17" i="5"/>
  <c r="M18" i="5"/>
  <c r="M19" i="5"/>
  <c r="M20" i="5"/>
  <c r="M21" i="5"/>
  <c r="C21" i="5" l="1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2" i="5"/>
  <c r="F4" i="5"/>
  <c r="F5" i="5"/>
  <c r="F6" i="5"/>
  <c r="F7" i="5"/>
  <c r="F8" i="5"/>
  <c r="F9" i="5"/>
  <c r="F11" i="5"/>
  <c r="F12" i="5"/>
  <c r="F13" i="5"/>
  <c r="F14" i="5"/>
  <c r="F15" i="5"/>
  <c r="F16" i="5"/>
  <c r="F17" i="5"/>
  <c r="F18" i="5"/>
  <c r="F19" i="5"/>
  <c r="F20" i="5"/>
  <c r="F21" i="5"/>
  <c r="F2" i="5"/>
  <c r="G2" i="6"/>
  <c r="G15" i="6"/>
  <c r="G14" i="6"/>
  <c r="G13" i="6"/>
  <c r="G12" i="6"/>
  <c r="G10" i="6"/>
  <c r="I10" i="5" l="1"/>
  <c r="I11" i="5"/>
  <c r="I15" i="5"/>
  <c r="I9" i="5"/>
  <c r="E17" i="5"/>
  <c r="I17" i="5" s="1"/>
  <c r="E18" i="5"/>
  <c r="I18" i="5" s="1"/>
  <c r="E19" i="5"/>
  <c r="I19" i="5" s="1"/>
  <c r="E20" i="5"/>
  <c r="I20" i="5" s="1"/>
  <c r="E21" i="5"/>
  <c r="I21" i="5" s="1"/>
  <c r="E16" i="5"/>
  <c r="I16" i="5" s="1"/>
  <c r="I70" i="10" l="1"/>
  <c r="I71" i="10"/>
  <c r="I72" i="10"/>
  <c r="I73" i="10"/>
  <c r="I69" i="10"/>
  <c r="F134" i="10"/>
  <c r="F133" i="10"/>
  <c r="F132" i="10"/>
  <c r="F131" i="10"/>
  <c r="F130" i="10"/>
  <c r="F129" i="10"/>
  <c r="F128" i="10"/>
  <c r="F127" i="10"/>
  <c r="C127" i="10"/>
  <c r="C128" i="10" s="1"/>
  <c r="C129" i="10" s="1"/>
  <c r="C130" i="10" s="1"/>
  <c r="C131" i="10" s="1"/>
  <c r="C132" i="10" s="1"/>
  <c r="C133" i="10" s="1"/>
  <c r="C134" i="10" s="1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0" i="10" l="1"/>
  <c r="F99" i="10"/>
  <c r="F98" i="10"/>
  <c r="F97" i="10"/>
  <c r="F96" i="10"/>
  <c r="F95" i="10"/>
  <c r="F94" i="10"/>
  <c r="F93" i="10"/>
  <c r="C93" i="10"/>
  <c r="C94" i="10" s="1"/>
  <c r="C95" i="10" s="1"/>
  <c r="C96" i="10" s="1"/>
  <c r="C97" i="10" s="1"/>
  <c r="C98" i="10" s="1"/>
  <c r="C99" i="10" s="1"/>
  <c r="C100" i="10" s="1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6" i="10"/>
  <c r="F65" i="10"/>
  <c r="F64" i="10"/>
  <c r="F63" i="10"/>
  <c r="F62" i="10"/>
  <c r="F61" i="10"/>
  <c r="F60" i="10"/>
  <c r="F59" i="10"/>
  <c r="C59" i="10"/>
  <c r="C60" i="10" s="1"/>
  <c r="C61" i="10" s="1"/>
  <c r="C62" i="10" s="1"/>
  <c r="C63" i="10" s="1"/>
  <c r="C64" i="10" s="1"/>
  <c r="C65" i="10" s="1"/>
  <c r="C66" i="10" s="1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0" i="10"/>
  <c r="F31" i="10"/>
  <c r="F32" i="10"/>
  <c r="F33" i="10"/>
  <c r="F29" i="10"/>
  <c r="F28" i="10"/>
  <c r="F27" i="10"/>
  <c r="F26" i="10"/>
  <c r="C26" i="10"/>
  <c r="C27" i="10" s="1"/>
  <c r="C28" i="10" s="1"/>
  <c r="C29" i="10" s="1"/>
  <c r="C30" i="10" s="1"/>
  <c r="C31" i="10" s="1"/>
  <c r="C32" i="10" s="1"/>
  <c r="C33" i="10" s="1"/>
  <c r="F3" i="10"/>
  <c r="F4" i="10"/>
  <c r="F5" i="10"/>
  <c r="F6" i="10"/>
  <c r="F7" i="10"/>
  <c r="F8" i="10"/>
  <c r="F9" i="10"/>
  <c r="F10" i="10"/>
  <c r="F11" i="10"/>
  <c r="F12" i="10"/>
  <c r="F13" i="10"/>
  <c r="F14" i="10"/>
  <c r="F15" i="10"/>
  <c r="F16" i="10"/>
  <c r="F17" i="10"/>
  <c r="F18" i="10"/>
  <c r="F19" i="10"/>
  <c r="F20" i="10"/>
  <c r="F21" i="10"/>
  <c r="F22" i="10"/>
  <c r="F23" i="10"/>
  <c r="F24" i="10"/>
  <c r="F25" i="10"/>
  <c r="F2" i="10"/>
  <c r="G5" i="6" l="1"/>
  <c r="L5" i="5"/>
  <c r="U5" i="5" s="1"/>
  <c r="S9" i="5" l="1"/>
  <c r="M4" i="5" l="1"/>
  <c r="M5" i="5"/>
  <c r="M6" i="5"/>
  <c r="C15" i="6"/>
  <c r="C12" i="6"/>
  <c r="C11" i="6"/>
  <c r="C10" i="6"/>
  <c r="C9" i="6"/>
  <c r="C8" i="6"/>
  <c r="C7" i="6"/>
  <c r="S15" i="5"/>
  <c r="L15" i="5"/>
  <c r="M15" i="5" s="1"/>
  <c r="L14" i="5"/>
  <c r="U14" i="5" s="1"/>
  <c r="V14" i="5" s="1"/>
  <c r="E14" i="5"/>
  <c r="I14" i="5" s="1"/>
  <c r="L13" i="5"/>
  <c r="U13" i="5" s="1"/>
  <c r="V13" i="5" s="1"/>
  <c r="E13" i="5"/>
  <c r="I13" i="5" s="1"/>
  <c r="S12" i="5"/>
  <c r="L12" i="5"/>
  <c r="U12" i="5" s="1"/>
  <c r="E12" i="5"/>
  <c r="I12" i="5" s="1"/>
  <c r="S11" i="5"/>
  <c r="L11" i="5"/>
  <c r="U11" i="5" s="1"/>
  <c r="S10" i="5"/>
  <c r="K10" i="5"/>
  <c r="F10" i="5" s="1"/>
  <c r="L9" i="5"/>
  <c r="U9" i="5" s="1"/>
  <c r="S8" i="5"/>
  <c r="L8" i="5"/>
  <c r="U8" i="5" s="1"/>
  <c r="S7" i="5"/>
  <c r="L7" i="5"/>
  <c r="U7" i="5" s="1"/>
  <c r="U6" i="5"/>
  <c r="V6" i="5" s="1"/>
  <c r="L2" i="5"/>
  <c r="M2" i="5" s="1"/>
  <c r="V11" i="5" l="1"/>
  <c r="V8" i="5"/>
  <c r="M13" i="5"/>
  <c r="V9" i="5"/>
  <c r="V7" i="5"/>
  <c r="M14" i="5"/>
  <c r="V5" i="5"/>
  <c r="L10" i="5"/>
  <c r="U10" i="5" s="1"/>
  <c r="V10" i="5" s="1"/>
  <c r="M8" i="5"/>
  <c r="M7" i="5"/>
  <c r="V12" i="5"/>
  <c r="M9" i="5"/>
  <c r="M11" i="5"/>
  <c r="M12" i="5"/>
  <c r="U2" i="5"/>
  <c r="V2" i="5" s="1"/>
  <c r="M10" i="5" l="1"/>
</calcChain>
</file>

<file path=xl/sharedStrings.xml><?xml version="1.0" encoding="utf-8"?>
<sst xmlns="http://schemas.openxmlformats.org/spreadsheetml/2006/main" count="723" uniqueCount="172">
  <si>
    <t>Data</t>
  </si>
  <si>
    <t>Previsto</t>
  </si>
  <si>
    <t>Realizado</t>
  </si>
  <si>
    <t>PACE</t>
  </si>
  <si>
    <t>HALL DESIGN</t>
  </si>
  <si>
    <t>OBRA</t>
  </si>
  <si>
    <t>Tipologia Gerencial</t>
  </si>
  <si>
    <t>Tipo</t>
  </si>
  <si>
    <t>Inicial</t>
  </si>
  <si>
    <t>Obra</t>
  </si>
  <si>
    <t>Término prev. (BASE)</t>
  </si>
  <si>
    <t>Término prev. (REPLAN.)</t>
  </si>
  <si>
    <t>Término real (CVCO)</t>
  </si>
  <si>
    <t>Mês atraso</t>
  </si>
  <si>
    <t>Contrato</t>
  </si>
  <si>
    <t>Multa Contrato (%)</t>
  </si>
  <si>
    <t>Valor Contrato</t>
  </si>
  <si>
    <t>Valor Multa (R$)</t>
  </si>
  <si>
    <t>Multa (%)</t>
  </si>
  <si>
    <t>Varanda</t>
  </si>
  <si>
    <t>"14.1. A CONTRATADA ficará sujeita à aplicação da multa de 0,033% (zero vírgula zero trinta e três por cento), sobre o valor global da obra constante do orçamento em anexo, por dia que exceder o prazo contratual estipulado para conclusão dos serviços, ressalvados os casos fortuitos, de força maior e/ou aqueles citados neste instrumento, limitada a 10% (dez por cento) do valor do presente instrumento."</t>
  </si>
  <si>
    <t>Aretha</t>
  </si>
  <si>
    <t>N/A</t>
  </si>
  <si>
    <t>"14.1. A CONTRATADA ficará sujeita à aplicação da multa de 0,033% (trinta e três centésimos por cento), sobre o valor global da obra constante do orçamento em anexo, por dia que exceder o prazo contratual para conclusão dos serviços, limitado a 5 % (cinco por cento), ressalvados os casos fortuitos ou de força maior, observando as condições dispostas no item 4.1, acima."</t>
  </si>
  <si>
    <t>"4.1.2. Considerando os longos prazos de produção da construção civil, ajustam as Partes um prazo de tolerância de até 3 (três) meses em relação ao prazo retro descrito, sem que fique caracterizado inadimplemento contratual da CONTRATADA". "14.1. A CONTRATADA ficará sujeita à aplicação da multa de 0,033% (trinta e três centésimos por cento), sobre o Custo Efetivo Real das Obras, por dia que exceder o prazo contratual somado ao prazo de carência estipulado para conclusão dos serviços, limitada a 5 % (cinco por cento) sobre o Custo Real da Obra, ressalvados os casos fortuitos ou de força maior."</t>
  </si>
  <si>
    <t>Vizione</t>
  </si>
  <si>
    <t>"A) A partir do 181º (centésimo octogésimo primeiro) dia de atraso, em diante, a CONTRATADA incorrerá em multa mensal, pro rata die, na proporção de 0,033% (zero vírgula zero trinta e três por cento) por dia de atraso, limitado a 10% (dez por cento) do valor do custo orçado corrigido da obra. "</t>
  </si>
  <si>
    <t>Jardim dos Manacás</t>
  </si>
  <si>
    <t>Solenne</t>
  </si>
  <si>
    <t>Reserva Origens</t>
  </si>
  <si>
    <t>Croma</t>
  </si>
  <si>
    <t>Unna</t>
  </si>
  <si>
    <t>Qoya</t>
  </si>
  <si>
    <t>Líor</t>
  </si>
  <si>
    <t>Floripa Shopping</t>
  </si>
  <si>
    <t>Vivere</t>
  </si>
  <si>
    <t>Poty</t>
  </si>
  <si>
    <t>Amiz</t>
  </si>
  <si>
    <t>Nizza</t>
  </si>
  <si>
    <t>Reserva Origens 3</t>
  </si>
  <si>
    <t>Comporta</t>
  </si>
  <si>
    <t>Contrato (R$)</t>
  </si>
  <si>
    <t>Orçamento Reajustado (R$)</t>
  </si>
  <si>
    <t>Projeção Atual (R$)</t>
  </si>
  <si>
    <t>Resultado Atual (R$)</t>
  </si>
  <si>
    <t>"...3.3 - Se o custo final da obra for menor que o PMG previsto neste contrato, caberá à CONTRATADA o recebimento de “prêmio economia”, até o limite de R$ 500.000,00 (quinhentos mil reais), atualizados pelo INCC desde a data base deste contrato, a ser calculado da seguinte maneira:
Prêmio Economia = 40% x (“PMG” – “Custo Efetivo da Obra”)
3.3.1 -	O prêmio economia será apurado após conclusão das obras, mediante fechamento de custos, e será pago 6 (seis) meses após conclusão das obras, condicionado ao integral cumprimento pela CONTRATADA das obrigações avençadas neste contrato."</t>
  </si>
  <si>
    <t>"....a) Na hipótese de ser apurado Custo Excedente ou Economia igual ou inferior a 2,5% (dois e meio por cento), sobre o Custo Raso da Obra, a CONTRATANTE será responsável pelo custo total excedente, bem como pela economia excedente; b) Na hipótese de ser apurado Custo Excedente ou Economia de até 5% (cinco por cento) sobre o Custo Raso da Obra: (i) as Partes ficarão responsáveis pelo pagamento ou recebimento do total do Custo Excedente ou Economia que superar a margem dos 2,5% (dois e meio por cento) sobre o
Custo Raso da Obra, na proporção de 50% (cinquenta por cento) cada uma. c) Se o Custo Excedente ou Economia apurado for superior a 5% (cinco por cento) do Custo Raso da Obra, a CONTRATADA: arcará ou receberá 100% (cem por cento) do custo excedente ou economia apurado na faixa superior a 5% (cinco por cento)."</t>
  </si>
  <si>
    <t>"...Caso o custo real e efetivo da obra exceda 2% (dois por cento) o custo orçado, devidamente reajustado, descrito na planilha orçamentária anexa, a quantia excedente será
suportada exclusivamente pela CONTRATANTE, não sendo mais devida taxa de administração sobre este valor. Na hipótese de ser verificado o custo real e efetivo da obra em mais de 2%(dois por cento) o custo orçado, devidamente reajustado, descrito na planilha orçamentária anexa, a quantia excedente será suportada exclusivamente pela CONTRATADA, não sendo mais devida taxa de administração sobre este valor. 3.4. Se, entretanto, o custo final da obra, em INCC, for menor do que o previsto na planilha orçamentária que faz parte integrante desse contrato, caberá à CONTRATADA 50% (cinquenta por cento) do saldo contratual (economia de orçamento) sobre a diferença apurada, como um bônus por performance, a ser paga 6 (seis) meses após a Entrega Definitiva da Obra, conforme cláusula 4.1.2.</t>
  </si>
  <si>
    <t>"...3.3. Se, entretanto, o Custo Efetivo final das Obras, após atualizado pelo INCC-DI, for menor do que o previsto na planilha orçamentária que faz parte integrante desse
Contrato, caberá à CONTRATADA o direito a 5% (cinco por cento) sobre a economia gerada a partir de R$ 120.000.000,00 (cento e vinte milhões de reais) de Custo Efetivo das Obras (“Prêmio”), percentual este que deverá ser pago em até 6 (seis) meses após a emissão do CVCO ou entrega do empreendimento em pleno funcionamento, observada a Cláusula Nona, o que ocorrer por último.3.3.2. Ao exclusivo critério da CONTRATADA, esta poderá pagar o valor equivalente ao Prêmio, mediante dação em pagamento de unidade autônoma, pronta e acabada, do bloco MUDRA do Empreendimento, de propriedade da CONTRATANTE.</t>
  </si>
  <si>
    <t>"...A – Na hipótese de ser verificada uma economia sobre o custo orçado corrigido, esta economia reverterá 50% (cinquenta por cento) em favor da CONTRATANTE e 50% (cinquenta por cento) em favor da CONTRATADA, sem modificação da taxa de administração em favor da CONTRATADA, que permanecerá válida sobre os 100% (cem por cento) do custo orçado inicial, corrigido.
C - Na hipótese de o valor do custo efetivo ser excedido, (i) caso o valor exceda em até 5% (cinco por cento) o custo orçado corrigido, a quantia excedente será integralmente suportada pela CONTRATANTE; (ii) caso o valor do custo efetivo exceda além de 5% (cinco por cento) o custo orçado corrigido, a quantia excedente será integralmente suportada pela CONTRATADA. Em ambos os casos, não haverá modificação da taxa de administração em favor da CONTRATADA, que permanecerá válida sobre 100% (cem por cento) do custo orçado corrigido."</t>
  </si>
  <si>
    <t>Estouro contratada</t>
  </si>
  <si>
    <t>Estouro contratante</t>
  </si>
  <si>
    <t>Dias atraso</t>
  </si>
  <si>
    <t>Banda acima contrato (R$)</t>
  </si>
  <si>
    <t>Valor</t>
  </si>
  <si>
    <t>Obra e tipo</t>
  </si>
  <si>
    <t>Término real</t>
  </si>
  <si>
    <t>Valor Contrato corrigido</t>
  </si>
  <si>
    <t>Margem</t>
  </si>
  <si>
    <t>Resultado</t>
  </si>
  <si>
    <t>Despesas ADM</t>
  </si>
  <si>
    <t>Mês inicial</t>
  </si>
  <si>
    <t>Mês contrato</t>
  </si>
  <si>
    <t>% Receita liquida geral</t>
  </si>
  <si>
    <t>Recebimento da assistência técnica</t>
  </si>
  <si>
    <t>Pagamento Multa</t>
  </si>
  <si>
    <t>Meses inicial x CVCO</t>
  </si>
  <si>
    <t>Premio economia</t>
  </si>
  <si>
    <t>Mês real (previsto + atraso)</t>
  </si>
  <si>
    <t>Dias de chuva contabilizados no período</t>
  </si>
  <si>
    <t>Terceiros</t>
  </si>
  <si>
    <t>Interna ou externa</t>
  </si>
  <si>
    <t>Interna</t>
  </si>
  <si>
    <t>Cód. Pasta</t>
  </si>
  <si>
    <t>Cliente</t>
  </si>
  <si>
    <t>Engenheiro</t>
  </si>
  <si>
    <t>Torres</t>
  </si>
  <si>
    <t>Piemonte</t>
  </si>
  <si>
    <t xml:space="preserve">André </t>
  </si>
  <si>
    <t>Jefferson</t>
  </si>
  <si>
    <t>Thiago</t>
  </si>
  <si>
    <t>Allison</t>
  </si>
  <si>
    <t>Miragio Cacupé</t>
  </si>
  <si>
    <t>Philipi</t>
  </si>
  <si>
    <t>Juliano</t>
  </si>
  <si>
    <t>Origens Essenza</t>
  </si>
  <si>
    <t>Luiza</t>
  </si>
  <si>
    <t>-</t>
  </si>
  <si>
    <t>Invescon</t>
  </si>
  <si>
    <t>Andreas</t>
  </si>
  <si>
    <t>Hall Design</t>
  </si>
  <si>
    <t>Víncere</t>
  </si>
  <si>
    <t>Felipe</t>
  </si>
  <si>
    <t>Débora Basoli</t>
  </si>
  <si>
    <t>Yuri</t>
  </si>
  <si>
    <t>Qoya Residence</t>
  </si>
  <si>
    <t>Rua Bom Jesus, 928 Juvevê - Curitiba/PR 80035-010</t>
  </si>
  <si>
    <t>R. Nicolau Salomão, 430 Tingui - Curitiba/PR 82620-130</t>
  </si>
  <si>
    <t>R. Jerônimo Durski, 1624 Bigorrilho - Curitiba/PR/PR 80730-290</t>
  </si>
  <si>
    <t>Rua Pedro Collere, 299 Vila Izabel - Curitiba/PR, 80320-320</t>
  </si>
  <si>
    <t>Estrada Haroldo Soares Glavan, 4320, Cacupé - Florianópolis/SC 88050-005</t>
  </si>
  <si>
    <t>Rodovia José Carlos Daux, 3116 Saco Grande - Florianópolis/SC 88032-005</t>
  </si>
  <si>
    <t>Estrada Delegado Bruno de Almeida, 2048</t>
  </si>
  <si>
    <t>Rua Jerônimo Durski, 1557</t>
  </si>
  <si>
    <t>Rua Lysimaco Ferreira da Costa, 460</t>
  </si>
  <si>
    <t>Rua Brasilio Itiberê,1681</t>
  </si>
  <si>
    <t>Rua Buenos Aires, 562, Batel, Curitiba - PR</t>
  </si>
  <si>
    <t>Rua Guaratuba 563, Ahú, Curitiba – PR</t>
  </si>
  <si>
    <t>Endereço</t>
  </si>
  <si>
    <t>Total / Pav Tipos</t>
  </si>
  <si>
    <t>Aptos / Andar</t>
  </si>
  <si>
    <t>Aptos / Total</t>
  </si>
  <si>
    <t>Coordenador</t>
  </si>
  <si>
    <t>Carneiro lobo</t>
  </si>
  <si>
    <t>Subsolos</t>
  </si>
  <si>
    <t>Residencial vertical</t>
  </si>
  <si>
    <t>Loteamento horizontal</t>
  </si>
  <si>
    <t>Área total</t>
  </si>
  <si>
    <t>Contenção</t>
  </si>
  <si>
    <t>Fundação Profunda</t>
  </si>
  <si>
    <t>Fundação Superficial</t>
  </si>
  <si>
    <t>Vedações Externas</t>
  </si>
  <si>
    <t>Vedações Internas</t>
  </si>
  <si>
    <t>Fachada</t>
  </si>
  <si>
    <t>Hélice Contínua / Atirantamento</t>
  </si>
  <si>
    <t>Hélice Contínua</t>
  </si>
  <si>
    <t>Blocos e Baldrames</t>
  </si>
  <si>
    <t>Alvenaria</t>
  </si>
  <si>
    <t>Dry-Wall</t>
  </si>
  <si>
    <t>Textura; Cerâmica</t>
  </si>
  <si>
    <t>Parede Diafragma / Atirantamento</t>
  </si>
  <si>
    <t>Barrete</t>
  </si>
  <si>
    <t>Blocos</t>
  </si>
  <si>
    <t>Textura; Concreto Aparente</t>
  </si>
  <si>
    <t>Textura; Porcelanato; Pastilha</t>
  </si>
  <si>
    <t>Textura</t>
  </si>
  <si>
    <t>Estaca Escavada</t>
  </si>
  <si>
    <t>Alvenaria Estrutural</t>
  </si>
  <si>
    <t xml:space="preserve">Textura; Porcelanato; </t>
  </si>
  <si>
    <t>Estimado</t>
  </si>
  <si>
    <t>Textura; Porcelanato;Pastilha</t>
  </si>
  <si>
    <t>Estaca escavada / Atirantamento</t>
  </si>
  <si>
    <t>Parede Diafragma e hélice continua/ Atirantamento</t>
  </si>
  <si>
    <t>Textura; Porcelanato;Brise;ACM</t>
  </si>
  <si>
    <t>Estrutura</t>
  </si>
  <si>
    <t>Laje protendida</t>
  </si>
  <si>
    <t>Alvenaria + Shaft em DW</t>
  </si>
  <si>
    <t>R. Carneiro Lobo, 61 - Água Verde, Curitiba -PR</t>
  </si>
  <si>
    <t>Rua Carmelo Rangel,  500 - Batel, Curitiba -PR</t>
  </si>
  <si>
    <t>Laje convencional</t>
  </si>
  <si>
    <t>Textura; Porcelanato</t>
  </si>
  <si>
    <t>Fernanda</t>
  </si>
  <si>
    <t>Franco</t>
  </si>
  <si>
    <t>Paulo</t>
  </si>
  <si>
    <t>Ademir</t>
  </si>
  <si>
    <t>23/29</t>
  </si>
  <si>
    <t>2/1</t>
  </si>
  <si>
    <t>Vagas</t>
  </si>
  <si>
    <t>Área privativa</t>
  </si>
  <si>
    <t>Área lote</t>
  </si>
  <si>
    <t>Miguel</t>
  </si>
  <si>
    <t>Pace</t>
  </si>
  <si>
    <t>Ag7</t>
  </si>
  <si>
    <t>Regis</t>
  </si>
  <si>
    <t>Vinicius</t>
  </si>
  <si>
    <t>1 a 2</t>
  </si>
  <si>
    <t>Sapata</t>
  </si>
  <si>
    <t>Laje convencional/Concreto aparente</t>
  </si>
  <si>
    <t>Entrega Cliente</t>
  </si>
  <si>
    <t>Inicio (BASE)</t>
  </si>
  <si>
    <t>Miragio</t>
  </si>
  <si>
    <t>31/04/2025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</si>
</sst>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5" formatCode="0.000%"/>
    <numFmt numFmtId="166" formatCode="[$-416]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name val="Arial"/>
      <family val="1"/>
    </font>
    <font>
      <b/>
      <sz val="10"/>
      <color theme="0"/>
      <name val="Gravity"/>
      <family val="3"/>
    </font>
    <font>
      <sz val="10"/>
      <color rgb="FF000000"/>
      <name val="Gravity"/>
      <family val="3"/>
    </font>
    <font>
      <sz val="10"/>
      <color theme="1"/>
      <name val="Gravity"/>
      <family val="3"/>
    </font>
    <font>
      <b/>
      <sz val="9"/>
      <color theme="0"/>
      <name val="Verdana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B87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1A665B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/>
      <top style="medium">
        <color indexed="64"/>
      </top>
      <bottom style="medium">
        <color indexed="64"/>
      </bottom>
      <diagonal/>
    </border>
    <border>
      <left style="medium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otted">
        <color theme="0" tint="-0.34998626667073579"/>
      </right>
      <top style="medium">
        <color indexed="64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medium">
        <color indexed="64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medium">
        <color indexed="64"/>
      </right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 style="medium">
        <color indexed="64"/>
      </right>
      <top style="dotted">
        <color theme="0" tint="-0.34998626667073579"/>
      </top>
      <bottom style="dotted">
        <color theme="0" tint="-0.34998626667073579"/>
      </bottom>
      <diagonal/>
    </border>
    <border>
      <left style="medium">
        <color indexed="64"/>
      </left>
      <right style="dotted">
        <color theme="0" tint="-0.34998626667073579"/>
      </right>
      <top style="dotted">
        <color theme="0" tint="-0.34998626667073579"/>
      </top>
      <bottom style="medium">
        <color indexed="64"/>
      </bottom>
      <diagonal/>
    </border>
    <border>
      <left style="dotted">
        <color theme="0" tint="-0.34998626667073579"/>
      </left>
      <right style="dotted">
        <color theme="0" tint="-0.34998626667073579"/>
      </right>
      <top style="dotted">
        <color theme="0" tint="-0.34998626667073579"/>
      </top>
      <bottom style="medium">
        <color indexed="64"/>
      </bottom>
      <diagonal/>
    </border>
    <border>
      <left style="dotted">
        <color theme="0" tint="-0.34998626667073579"/>
      </left>
      <right style="medium">
        <color indexed="64"/>
      </right>
      <top style="dotted">
        <color theme="0" tint="-0.34998626667073579"/>
      </top>
      <bottom style="medium">
        <color indexed="64"/>
      </bottom>
      <diagonal/>
    </border>
    <border>
      <left style="dotted">
        <color theme="0" tint="-0.34998626667073579"/>
      </left>
      <right/>
      <top style="medium">
        <color indexed="64"/>
      </top>
      <bottom style="dotted">
        <color theme="0" tint="-0.34998626667073579"/>
      </bottom>
      <diagonal/>
    </border>
    <border>
      <left style="dotted">
        <color theme="0" tint="-0.34998626667073579"/>
      </left>
      <right/>
      <top style="dotted">
        <color theme="0" tint="-0.34998626667073579"/>
      </top>
      <bottom style="dotted">
        <color theme="0" tint="-0.34998626667073579"/>
      </bottom>
      <diagonal/>
    </border>
    <border>
      <left style="dotted">
        <color theme="0" tint="-0.34998626667073579"/>
      </left>
      <right/>
      <top style="dotted">
        <color theme="0" tint="-0.34998626667073579"/>
      </top>
      <bottom style="medium">
        <color indexed="64"/>
      </bottom>
      <diagonal/>
    </border>
    <border>
      <left style="dotted">
        <color theme="0" tint="-0.34998626667073579"/>
      </left>
      <right style="dotted">
        <color theme="0" tint="-0.34998626667073579"/>
      </right>
      <top/>
      <bottom style="dotted">
        <color theme="0" tint="-0.34998626667073579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 style="hair">
        <color indexed="8"/>
      </right>
      <top style="medium">
        <color indexed="64"/>
      </top>
      <bottom/>
      <diagonal/>
    </border>
    <border>
      <left style="hair">
        <color indexed="64"/>
      </left>
      <right style="hair">
        <color indexed="8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medium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hair">
        <color indexed="8"/>
      </bottom>
      <diagonal/>
    </border>
    <border>
      <left style="medium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 style="hair">
        <color indexed="8"/>
      </top>
      <bottom style="medium">
        <color indexed="8"/>
      </bottom>
      <diagonal/>
    </border>
    <border>
      <left style="hair">
        <color indexed="8"/>
      </left>
      <right style="hair">
        <color indexed="8"/>
      </right>
      <top/>
      <bottom style="hair">
        <color indexed="8"/>
      </bottom>
      <diagonal/>
    </border>
    <border>
      <left style="hair">
        <color indexed="8"/>
      </left>
      <right/>
      <top style="medium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hair">
        <color indexed="8"/>
      </bottom>
      <diagonal/>
    </border>
    <border>
      <left style="hair">
        <color indexed="8"/>
      </left>
      <right/>
      <top style="hair">
        <color indexed="8"/>
      </top>
      <bottom style="medium">
        <color indexed="8"/>
      </bottom>
      <diagonal/>
    </border>
    <border>
      <left style="hair">
        <color indexed="8"/>
      </left>
      <right style="medium">
        <color indexed="8"/>
      </right>
      <top/>
      <bottom style="hair">
        <color indexed="8"/>
      </bottom>
      <diagonal/>
    </border>
    <border>
      <left style="medium">
        <color indexed="64"/>
      </left>
      <right style="dotted">
        <color theme="0" tint="-0.34998626667073579"/>
      </right>
      <top/>
      <bottom style="dotted">
        <color theme="0" tint="-0.34998626667073579"/>
      </bottom>
      <diagonal/>
    </border>
    <border>
      <left style="dotted">
        <color theme="0" tint="-0.34998626667073579"/>
      </left>
      <right style="medium">
        <color indexed="64"/>
      </right>
      <top/>
      <bottom style="dotted">
        <color theme="0" tint="-0.34998626667073579"/>
      </bottom>
      <diagonal/>
    </border>
    <border>
      <left style="dotted">
        <color theme="0" tint="-0.34998626667073579"/>
      </left>
      <right/>
      <top/>
      <bottom style="dotted">
        <color theme="0" tint="-0.34998626667073579"/>
      </bottom>
      <diagonal/>
    </border>
    <border>
      <left style="medium">
        <color indexed="64"/>
      </left>
      <right/>
      <top style="medium">
        <color indexed="64"/>
      </top>
      <bottom style="dotted">
        <color theme="0" tint="-0.34998626667073579"/>
      </bottom>
      <diagonal/>
    </border>
    <border>
      <left style="medium">
        <color indexed="64"/>
      </left>
      <right/>
      <top/>
      <bottom style="dotted">
        <color theme="0" tint="-0.34998626667073579"/>
      </bottom>
      <diagonal/>
    </border>
    <border>
      <left style="medium">
        <color indexed="64"/>
      </left>
      <right/>
      <top style="dotted">
        <color theme="0" tint="-0.34998626667073579"/>
      </top>
      <bottom style="dotted">
        <color theme="0" tint="-0.34998626667073579"/>
      </bottom>
      <diagonal/>
    </border>
    <border>
      <left style="medium">
        <color indexed="64"/>
      </left>
      <right/>
      <top style="dotted">
        <color theme="0" tint="-0.34998626667073579"/>
      </top>
      <bottom style="medium">
        <color indexed="64"/>
      </bottom>
      <diagonal/>
    </border>
    <border>
      <left style="hair">
        <color indexed="64"/>
      </left>
      <right style="dotted">
        <color theme="0" tint="-0.34998626667073579"/>
      </right>
      <top style="medium">
        <color indexed="64"/>
      </top>
      <bottom style="dotted">
        <color theme="0" tint="-0.34998626667073579"/>
      </bottom>
      <diagonal/>
    </border>
    <border>
      <left style="hair">
        <color indexed="64"/>
      </left>
      <right style="dotted">
        <color theme="0" tint="-0.34998626667073579"/>
      </right>
      <top/>
      <bottom style="dotted">
        <color theme="0" tint="-0.34998626667073579"/>
      </bottom>
      <diagonal/>
    </border>
    <border>
      <left style="hair">
        <color indexed="64"/>
      </left>
      <right style="dotted">
        <color theme="0" tint="-0.34998626667073579"/>
      </right>
      <top style="dotted">
        <color theme="0" tint="-0.34998626667073579"/>
      </top>
      <bottom style="dotted">
        <color theme="0" tint="-0.34998626667073579"/>
      </bottom>
      <diagonal/>
    </border>
    <border>
      <left style="hair">
        <color indexed="64"/>
      </left>
      <right style="dotted">
        <color theme="0" tint="-0.34998626667073579"/>
      </right>
      <top style="dotted">
        <color theme="0" tint="-0.34998626667073579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3" fillId="0" borderId="0"/>
    <xf numFmtId="0" fontId="8" fillId="0" borderId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4" fillId="2" borderId="1" xfId="5" applyFont="1" applyFill="1" applyBorder="1" applyAlignment="1">
      <alignment horizontal="center" vertical="center" wrapText="1"/>
    </xf>
    <xf numFmtId="0" fontId="4" fillId="2" borderId="2" xfId="5" applyFont="1" applyFill="1" applyBorder="1" applyAlignment="1">
      <alignment horizontal="center" vertical="center" wrapText="1"/>
    </xf>
    <xf numFmtId="0" fontId="4" fillId="2" borderId="3" xfId="5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right" vertical="center"/>
    </xf>
    <xf numFmtId="14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/>
    </xf>
    <xf numFmtId="165" fontId="6" fillId="0" borderId="5" xfId="0" applyNumberFormat="1" applyFont="1" applyBorder="1" applyAlignment="1">
      <alignment horizontal="center"/>
    </xf>
    <xf numFmtId="4" fontId="6" fillId="0" borderId="5" xfId="0" applyNumberFormat="1" applyFont="1" applyBorder="1" applyAlignment="1">
      <alignment horizontal="center"/>
    </xf>
    <xf numFmtId="44" fontId="6" fillId="0" borderId="5" xfId="2" applyFont="1" applyBorder="1" applyAlignment="1">
      <alignment horizontal="center"/>
    </xf>
    <xf numFmtId="10" fontId="6" fillId="0" borderId="6" xfId="3" applyNumberFormat="1" applyFont="1" applyBorder="1" applyAlignment="1">
      <alignment horizontal="center"/>
    </xf>
    <xf numFmtId="0" fontId="6" fillId="0" borderId="7" xfId="0" applyFont="1" applyBorder="1" applyAlignment="1">
      <alignment horizontal="right"/>
    </xf>
    <xf numFmtId="14" fontId="5" fillId="0" borderId="8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/>
    </xf>
    <xf numFmtId="4" fontId="6" fillId="0" borderId="8" xfId="0" applyNumberFormat="1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165" fontId="6" fillId="0" borderId="8" xfId="0" applyNumberFormat="1" applyFont="1" applyBorder="1" applyAlignment="1">
      <alignment horizontal="center"/>
    </xf>
    <xf numFmtId="44" fontId="6" fillId="0" borderId="8" xfId="2" applyFont="1" applyBorder="1" applyAlignment="1">
      <alignment horizontal="center"/>
    </xf>
    <xf numFmtId="10" fontId="6" fillId="0" borderId="9" xfId="3" applyNumberFormat="1" applyFont="1" applyBorder="1" applyAlignment="1">
      <alignment horizontal="center"/>
    </xf>
    <xf numFmtId="0" fontId="6" fillId="0" borderId="10" xfId="0" applyFont="1" applyBorder="1" applyAlignment="1">
      <alignment horizontal="right"/>
    </xf>
    <xf numFmtId="14" fontId="5" fillId="0" borderId="11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165" fontId="6" fillId="0" borderId="11" xfId="0" applyNumberFormat="1" applyFont="1" applyBorder="1" applyAlignment="1">
      <alignment horizontal="center"/>
    </xf>
    <xf numFmtId="4" fontId="6" fillId="0" borderId="11" xfId="0" applyNumberFormat="1" applyFont="1" applyBorder="1" applyAlignment="1">
      <alignment horizontal="center"/>
    </xf>
    <xf numFmtId="44" fontId="6" fillId="0" borderId="11" xfId="2" applyFont="1" applyBorder="1" applyAlignment="1">
      <alignment horizontal="center"/>
    </xf>
    <xf numFmtId="10" fontId="6" fillId="0" borderId="12" xfId="3" applyNumberFormat="1" applyFont="1" applyBorder="1" applyAlignment="1">
      <alignment horizontal="center"/>
    </xf>
    <xf numFmtId="0" fontId="6" fillId="0" borderId="8" xfId="0" applyFont="1" applyBorder="1" applyAlignment="1">
      <alignment horizontal="left" wrapText="1"/>
    </xf>
    <xf numFmtId="0" fontId="6" fillId="0" borderId="5" xfId="0" applyFont="1" applyBorder="1" applyAlignment="1">
      <alignment horizontal="left" wrapText="1"/>
    </xf>
    <xf numFmtId="0" fontId="6" fillId="0" borderId="13" xfId="0" applyFont="1" applyBorder="1" applyAlignment="1">
      <alignment horizontal="left" wrapText="1"/>
    </xf>
    <xf numFmtId="0" fontId="6" fillId="0" borderId="14" xfId="0" applyFont="1" applyBorder="1" applyAlignment="1">
      <alignment horizontal="left"/>
    </xf>
    <xf numFmtId="0" fontId="6" fillId="0" borderId="14" xfId="0" applyFont="1" applyBorder="1" applyAlignment="1">
      <alignment horizontal="left" wrapText="1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9" fontId="6" fillId="0" borderId="14" xfId="0" applyNumberFormat="1" applyFont="1" applyBorder="1" applyAlignment="1">
      <alignment horizontal="left"/>
    </xf>
    <xf numFmtId="44" fontId="0" fillId="0" borderId="0" xfId="0" applyNumberFormat="1"/>
    <xf numFmtId="10" fontId="0" fillId="0" borderId="0" xfId="3" applyNumberFormat="1" applyFont="1"/>
    <xf numFmtId="166" fontId="0" fillId="0" borderId="0" xfId="0" applyNumberFormat="1"/>
    <xf numFmtId="9" fontId="0" fillId="0" borderId="0" xfId="0" applyNumberFormat="1"/>
    <xf numFmtId="8" fontId="0" fillId="0" borderId="0" xfId="0" applyNumberFormat="1"/>
    <xf numFmtId="165" fontId="0" fillId="0" borderId="0" xfId="3" applyNumberFormat="1" applyFont="1"/>
    <xf numFmtId="2" fontId="5" fillId="0" borderId="8" xfId="0" applyNumberFormat="1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14" fontId="5" fillId="0" borderId="16" xfId="0" applyNumberFormat="1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5" fillId="3" borderId="8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4" fontId="6" fillId="3" borderId="5" xfId="0" applyNumberFormat="1" applyFont="1" applyFill="1" applyBorder="1" applyAlignment="1">
      <alignment horizontal="center"/>
    </xf>
    <xf numFmtId="4" fontId="6" fillId="3" borderId="8" xfId="0" applyNumberFormat="1" applyFont="1" applyFill="1" applyBorder="1" applyAlignment="1">
      <alignment horizontal="center"/>
    </xf>
    <xf numFmtId="4" fontId="6" fillId="3" borderId="11" xfId="0" applyNumberFormat="1" applyFont="1" applyFill="1" applyBorder="1" applyAlignment="1">
      <alignment horizontal="center"/>
    </xf>
    <xf numFmtId="0" fontId="4" fillId="2" borderId="17" xfId="5" applyFont="1" applyFill="1" applyBorder="1" applyAlignment="1">
      <alignment horizontal="center" vertical="center" wrapText="1"/>
    </xf>
    <xf numFmtId="0" fontId="7" fillId="4" borderId="18" xfId="0" applyFont="1" applyFill="1" applyBorder="1" applyAlignment="1">
      <alignment horizontal="center" vertical="center" wrapText="1"/>
    </xf>
    <xf numFmtId="0" fontId="7" fillId="4" borderId="19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0" fontId="7" fillId="4" borderId="22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 applyAlignment="1">
      <alignment horizontal="center"/>
    </xf>
    <xf numFmtId="0" fontId="0" fillId="0" borderId="29" xfId="0" applyBorder="1"/>
    <xf numFmtId="0" fontId="0" fillId="0" borderId="30" xfId="0" applyBorder="1"/>
    <xf numFmtId="0" fontId="0" fillId="0" borderId="26" xfId="0" applyBorder="1" applyAlignment="1">
      <alignment horizontal="right"/>
    </xf>
    <xf numFmtId="0" fontId="0" fillId="0" borderId="31" xfId="0" applyBorder="1" applyAlignment="1">
      <alignment horizontal="center"/>
    </xf>
    <xf numFmtId="16" fontId="0" fillId="0" borderId="26" xfId="0" quotePrefix="1" applyNumberFormat="1" applyBorder="1"/>
    <xf numFmtId="0" fontId="7" fillId="4" borderId="0" xfId="0" applyFont="1" applyFill="1" applyAlignment="1">
      <alignment horizontal="center" vertical="center" wrapText="1"/>
    </xf>
    <xf numFmtId="0" fontId="0" fillId="0" borderId="32" xfId="0" applyBorder="1" applyAlignment="1">
      <alignment horizontal="center"/>
    </xf>
    <xf numFmtId="0" fontId="0" fillId="0" borderId="33" xfId="0" applyBorder="1" applyAlignment="1">
      <alignment horizontal="center"/>
    </xf>
    <xf numFmtId="0" fontId="0" fillId="0" borderId="33" xfId="0" applyBorder="1"/>
    <xf numFmtId="16" fontId="0" fillId="0" borderId="29" xfId="0" quotePrefix="1" applyNumberFormat="1" applyBorder="1"/>
    <xf numFmtId="0" fontId="0" fillId="0" borderId="34" xfId="0" applyBorder="1"/>
    <xf numFmtId="0" fontId="0" fillId="0" borderId="24" xfId="0" applyBorder="1" applyAlignment="1">
      <alignment horizontal="left"/>
    </xf>
    <xf numFmtId="0" fontId="0" fillId="0" borderId="31" xfId="0" applyBorder="1" applyAlignment="1">
      <alignment horizontal="left"/>
    </xf>
    <xf numFmtId="43" fontId="0" fillId="0" borderId="31" xfId="1" applyFont="1" applyBorder="1" applyAlignment="1">
      <alignment horizontal="center" vertical="center"/>
    </xf>
    <xf numFmtId="0" fontId="0" fillId="0" borderId="31" xfId="0" applyBorder="1"/>
    <xf numFmtId="0" fontId="0" fillId="0" borderId="35" xfId="0" applyBorder="1"/>
    <xf numFmtId="0" fontId="0" fillId="0" borderId="26" xfId="0" applyBorder="1" applyAlignment="1">
      <alignment horizontal="left"/>
    </xf>
    <xf numFmtId="43" fontId="0" fillId="0" borderId="26" xfId="1" applyFont="1" applyBorder="1" applyAlignment="1">
      <alignment horizontal="center" vertical="center"/>
    </xf>
    <xf numFmtId="43" fontId="0" fillId="0" borderId="29" xfId="1" applyFont="1" applyBorder="1" applyAlignment="1">
      <alignment horizontal="center" vertical="center"/>
    </xf>
    <xf numFmtId="0" fontId="5" fillId="0" borderId="36" xfId="0" applyFont="1" applyBorder="1" applyAlignment="1">
      <alignment horizontal="right" vertical="center"/>
    </xf>
    <xf numFmtId="0" fontId="5" fillId="3" borderId="16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left"/>
    </xf>
    <xf numFmtId="165" fontId="6" fillId="0" borderId="16" xfId="0" applyNumberFormat="1" applyFont="1" applyBorder="1" applyAlignment="1">
      <alignment horizontal="center"/>
    </xf>
    <xf numFmtId="4" fontId="6" fillId="0" borderId="16" xfId="0" applyNumberFormat="1" applyFont="1" applyBorder="1" applyAlignment="1">
      <alignment horizontal="center"/>
    </xf>
    <xf numFmtId="44" fontId="6" fillId="0" borderId="16" xfId="2" applyFont="1" applyBorder="1" applyAlignment="1">
      <alignment horizontal="center"/>
    </xf>
    <xf numFmtId="10" fontId="6" fillId="0" borderId="37" xfId="3" applyNumberFormat="1" applyFont="1" applyBorder="1" applyAlignment="1">
      <alignment horizontal="center"/>
    </xf>
    <xf numFmtId="4" fontId="6" fillId="3" borderId="16" xfId="0" applyNumberFormat="1" applyFont="1" applyFill="1" applyBorder="1" applyAlignment="1">
      <alignment horizontal="center"/>
    </xf>
    <xf numFmtId="0" fontId="6" fillId="0" borderId="38" xfId="0" applyFont="1" applyBorder="1" applyAlignment="1">
      <alignment horizontal="left" wrapText="1"/>
    </xf>
    <xf numFmtId="0" fontId="6" fillId="0" borderId="16" xfId="0" applyFont="1" applyBorder="1" applyAlignment="1">
      <alignment horizontal="left" wrapText="1"/>
    </xf>
    <xf numFmtId="0" fontId="5" fillId="0" borderId="39" xfId="0" applyFont="1" applyBorder="1" applyAlignment="1">
      <alignment horizontal="right" vertical="center"/>
    </xf>
    <xf numFmtId="0" fontId="5" fillId="0" borderId="40" xfId="0" applyFont="1" applyBorder="1" applyAlignment="1">
      <alignment horizontal="right" vertical="center"/>
    </xf>
    <xf numFmtId="0" fontId="6" fillId="0" borderId="41" xfId="0" applyFont="1" applyBorder="1" applyAlignment="1">
      <alignment horizontal="right"/>
    </xf>
    <xf numFmtId="0" fontId="6" fillId="0" borderId="42" xfId="0" applyFont="1" applyBorder="1" applyAlignment="1">
      <alignment horizontal="right"/>
    </xf>
    <xf numFmtId="0" fontId="5" fillId="0" borderId="43" xfId="0" applyFont="1" applyBorder="1" applyAlignment="1">
      <alignment horizontal="right" vertical="center"/>
    </xf>
    <xf numFmtId="0" fontId="5" fillId="0" borderId="44" xfId="0" applyFont="1" applyBorder="1" applyAlignment="1">
      <alignment horizontal="right" vertical="center"/>
    </xf>
    <xf numFmtId="0" fontId="6" fillId="0" borderId="45" xfId="0" applyFont="1" applyBorder="1" applyAlignment="1">
      <alignment horizontal="right"/>
    </xf>
    <xf numFmtId="0" fontId="6" fillId="0" borderId="46" xfId="0" applyFont="1" applyBorder="1" applyAlignment="1">
      <alignment horizontal="right"/>
    </xf>
  </cellXfs>
  <cellStyles count="8">
    <cellStyle name="Moeda" xfId="2" builtinId="4"/>
    <cellStyle name="Moeda 2" xfId="4" xr:uid="{C0FF9126-00DE-4190-9C3C-F6D7468CCAAC}"/>
    <cellStyle name="Normal" xfId="0" builtinId="0"/>
    <cellStyle name="Normal 2" xfId="6" xr:uid="{656CAE0D-1432-40E1-81CE-6AA4FCD47D9B}"/>
    <cellStyle name="Normal 3" xfId="5" xr:uid="{EBE32B57-3A64-47D9-86CD-CFBCAE7F9C6A}"/>
    <cellStyle name="Porcentagem" xfId="3" builtinId="5"/>
    <cellStyle name="Vírgula" xfId="1" builtinId="3"/>
    <cellStyle name="Vírgula 2" xfId="7" xr:uid="{89465CD8-BC01-4B98-945C-EFB7C7259A58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plenaventura-my.sharepoint.com/personal/pedro_furman_piemonte_com_br/Documents/PLANEJAMENTO%20E%20CONTROLE%20DE%20OBRAS%20PIEMONTE/1.NOTA%20&#205;NDICE%20ENGENHARIA/Micrometas%20setor/Micrometa%20Valida&#231;&#227;o%20DRE%20obras/Previs&#227;o%20Receitas%20e%20despesas%20HALL.xlsx" TargetMode="External"/><Relationship Id="rId2" Type="http://schemas.microsoft.com/office/2019/04/relationships/externalLinkLongPath" Target="https://piemonteconstrutora-my.sharepoint.com/personal/pedro_furman_piemonte_com_br/Documents/PLANEJAMENTO%20PIEMONTE/3.METAS%20SETOR/2024/Micrometas%20setor/Micrometa%20Valida&#231;&#227;o%20DRE%20obras/Previs&#227;o%20Receitas%20e%20despesas%20HALL.xlsx?417C6EB8" TargetMode="External"/><Relationship Id="rId1" Type="http://schemas.openxmlformats.org/officeDocument/2006/relationships/externalLinkPath" Target="file:///\\417C6EB8\Previs&#227;o%20Receitas%20e%20despesas%20HA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3"/>
    </xxl21:alternateUrls>
    <sheetNames>
      <sheetName val="Riscos-CANTU"/>
      <sheetName val="Ações-Riscos-CANTU"/>
      <sheetName val="Oportunidades-CANTU"/>
      <sheetName val="Ações - Oportunidades-CANTU"/>
      <sheetName val="SWOT"/>
      <sheetName val="Riscos-PIEMONTE"/>
      <sheetName val="Viabilidade"/>
      <sheetName val="Planilha1"/>
      <sheetName val="Ações-Riscos-PIEMONTE"/>
      <sheetName val="Probabilidade (legenda)"/>
      <sheetName val="Condiç Exequibilidade (legenda)"/>
      <sheetName val="Impacto (legenda)"/>
      <sheetName val="Estratégias (legenda)"/>
      <sheetName val="Oportunidades-PIEMONTE"/>
      <sheetName val="Ações-Oportunidades-PIEMONTE"/>
      <sheetName val="Classificação"/>
      <sheetName val="Gráf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Prevenir</v>
          </cell>
          <cell r="D2" t="str">
            <v>Explorar</v>
          </cell>
        </row>
        <row r="3">
          <cell r="A3" t="str">
            <v>Transferir</v>
          </cell>
          <cell r="D3" t="str">
            <v>Melhorar</v>
          </cell>
        </row>
        <row r="4">
          <cell r="A4" t="str">
            <v>Mitigar</v>
          </cell>
          <cell r="D4" t="str">
            <v>Compartilhar</v>
          </cell>
        </row>
        <row r="5">
          <cell r="A5" t="str">
            <v>Aceitar</v>
          </cell>
          <cell r="D5" t="str">
            <v>Aceitar</v>
          </cell>
        </row>
      </sheetData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CC6A2B-3058-4004-816D-7182CED8014F}">
  <dimension ref="A1:I134"/>
  <sheetViews>
    <sheetView topLeftCell="A59" workbookViewId="0">
      <selection activeCell="D12" sqref="D12"/>
    </sheetView>
  </sheetViews>
  <sheetFormatPr defaultRowHeight="14.4" x14ac:dyDescent="0.3"/>
  <cols>
    <col min="1" max="1" width="22.109375" customWidth="1"/>
    <col min="2" max="2" width="23" customWidth="1"/>
    <col min="3" max="3" width="10.6640625" bestFit="1" customWidth="1"/>
    <col min="6" max="6" width="37" customWidth="1"/>
    <col min="7" max="7" width="14.109375" customWidth="1"/>
    <col min="8" max="8" width="11.5546875" customWidth="1"/>
  </cols>
  <sheetData>
    <row r="1" spans="1:6" x14ac:dyDescent="0.3">
      <c r="A1" t="s">
        <v>5</v>
      </c>
      <c r="B1" t="s">
        <v>6</v>
      </c>
      <c r="C1" t="s">
        <v>0</v>
      </c>
      <c r="D1" s="37" t="s">
        <v>54</v>
      </c>
      <c r="E1" t="s">
        <v>7</v>
      </c>
      <c r="F1" t="s">
        <v>55</v>
      </c>
    </row>
    <row r="2" spans="1:6" x14ac:dyDescent="0.3">
      <c r="A2" t="s">
        <v>4</v>
      </c>
      <c r="B2" t="s">
        <v>58</v>
      </c>
      <c r="C2" s="39">
        <v>45170</v>
      </c>
      <c r="D2">
        <v>-0.22481731401530997</v>
      </c>
      <c r="E2" t="s">
        <v>8</v>
      </c>
      <c r="F2" t="str">
        <f>A2&amp;" "&amp;B2</f>
        <v>HALL DESIGN Margem</v>
      </c>
    </row>
    <row r="3" spans="1:6" x14ac:dyDescent="0.3">
      <c r="A3" t="s">
        <v>4</v>
      </c>
      <c r="B3" t="s">
        <v>58</v>
      </c>
      <c r="C3" s="39">
        <v>45200</v>
      </c>
      <c r="D3">
        <v>3.7785497535249832E-2</v>
      </c>
      <c r="E3" t="s">
        <v>8</v>
      </c>
      <c r="F3" t="str">
        <f t="shared" ref="F3:F33" si="0">A3&amp;" "&amp;B3</f>
        <v>HALL DESIGN Margem</v>
      </c>
    </row>
    <row r="4" spans="1:6" x14ac:dyDescent="0.3">
      <c r="A4" t="s">
        <v>4</v>
      </c>
      <c r="B4" t="s">
        <v>58</v>
      </c>
      <c r="C4" s="39">
        <v>45231</v>
      </c>
      <c r="D4">
        <v>5.4254156346650404E-3</v>
      </c>
      <c r="E4" t="s">
        <v>8</v>
      </c>
      <c r="F4" t="str">
        <f t="shared" si="0"/>
        <v>HALL DESIGN Margem</v>
      </c>
    </row>
    <row r="5" spans="1:6" x14ac:dyDescent="0.3">
      <c r="A5" t="s">
        <v>4</v>
      </c>
      <c r="B5" t="s">
        <v>58</v>
      </c>
      <c r="C5" s="39">
        <v>45261</v>
      </c>
      <c r="D5">
        <v>5.4254156346650404E-3</v>
      </c>
      <c r="E5" t="s">
        <v>8</v>
      </c>
      <c r="F5" t="str">
        <f t="shared" si="0"/>
        <v>HALL DESIGN Margem</v>
      </c>
    </row>
    <row r="6" spans="1:6" x14ac:dyDescent="0.3">
      <c r="A6" t="s">
        <v>4</v>
      </c>
      <c r="B6" t="s">
        <v>58</v>
      </c>
      <c r="C6" s="39">
        <v>45292</v>
      </c>
      <c r="D6">
        <v>0.135805296949287</v>
      </c>
      <c r="E6" t="s">
        <v>8</v>
      </c>
      <c r="F6" t="str">
        <f t="shared" si="0"/>
        <v>HALL DESIGN Margem</v>
      </c>
    </row>
    <row r="7" spans="1:6" x14ac:dyDescent="0.3">
      <c r="A7" t="s">
        <v>4</v>
      </c>
      <c r="B7" t="s">
        <v>58</v>
      </c>
      <c r="C7" s="39">
        <v>45323</v>
      </c>
      <c r="D7">
        <v>0.135805296949287</v>
      </c>
      <c r="E7" t="s">
        <v>8</v>
      </c>
      <c r="F7" t="str">
        <f t="shared" si="0"/>
        <v>HALL DESIGN Margem</v>
      </c>
    </row>
    <row r="8" spans="1:6" x14ac:dyDescent="0.3">
      <c r="A8" t="s">
        <v>4</v>
      </c>
      <c r="B8" t="s">
        <v>58</v>
      </c>
      <c r="C8" s="39">
        <v>45352</v>
      </c>
      <c r="D8">
        <v>0.135805296949287</v>
      </c>
      <c r="E8" t="s">
        <v>8</v>
      </c>
      <c r="F8" t="str">
        <f t="shared" si="0"/>
        <v>HALL DESIGN Margem</v>
      </c>
    </row>
    <row r="9" spans="1:6" x14ac:dyDescent="0.3">
      <c r="A9" t="s">
        <v>4</v>
      </c>
      <c r="B9" t="s">
        <v>58</v>
      </c>
      <c r="C9" s="39">
        <v>45383</v>
      </c>
      <c r="D9">
        <v>0.21993514829927593</v>
      </c>
      <c r="E9" t="s">
        <v>8</v>
      </c>
      <c r="F9" t="str">
        <f t="shared" si="0"/>
        <v>HALL DESIGN Margem</v>
      </c>
    </row>
    <row r="10" spans="1:6" x14ac:dyDescent="0.3">
      <c r="A10" t="s">
        <v>4</v>
      </c>
      <c r="B10" t="s">
        <v>58</v>
      </c>
      <c r="C10" s="39">
        <v>45413</v>
      </c>
      <c r="D10">
        <v>0.25481275245198715</v>
      </c>
      <c r="E10" t="s">
        <v>8</v>
      </c>
      <c r="F10" t="str">
        <f t="shared" si="0"/>
        <v>HALL DESIGN Margem</v>
      </c>
    </row>
    <row r="11" spans="1:6" x14ac:dyDescent="0.3">
      <c r="A11" t="s">
        <v>4</v>
      </c>
      <c r="B11" t="s">
        <v>58</v>
      </c>
      <c r="C11" s="39">
        <v>45444</v>
      </c>
      <c r="D11">
        <v>0.28315506959296205</v>
      </c>
      <c r="E11" t="s">
        <v>8</v>
      </c>
      <c r="F11" t="str">
        <f t="shared" si="0"/>
        <v>HALL DESIGN Margem</v>
      </c>
    </row>
    <row r="12" spans="1:6" x14ac:dyDescent="0.3">
      <c r="A12" t="s">
        <v>4</v>
      </c>
      <c r="B12" t="s">
        <v>58</v>
      </c>
      <c r="C12" s="39">
        <v>45474</v>
      </c>
      <c r="D12">
        <v>0.2947018189121115</v>
      </c>
      <c r="E12" t="s">
        <v>8</v>
      </c>
      <c r="F12" t="str">
        <f t="shared" si="0"/>
        <v>HALL DESIGN Margem</v>
      </c>
    </row>
    <row r="13" spans="1:6" x14ac:dyDescent="0.3">
      <c r="A13" t="s">
        <v>4</v>
      </c>
      <c r="B13" t="s">
        <v>58</v>
      </c>
      <c r="C13" s="39">
        <v>45505</v>
      </c>
      <c r="D13">
        <v>0.2947018189121115</v>
      </c>
      <c r="E13" t="s">
        <v>8</v>
      </c>
      <c r="F13" t="str">
        <f t="shared" si="0"/>
        <v>HALL DESIGN Margem</v>
      </c>
    </row>
    <row r="14" spans="1:6" x14ac:dyDescent="0.3">
      <c r="A14" t="s">
        <v>4</v>
      </c>
      <c r="B14" t="s">
        <v>58</v>
      </c>
      <c r="C14" s="39">
        <v>45536</v>
      </c>
      <c r="D14">
        <v>0.1733404841269521</v>
      </c>
      <c r="E14" t="s">
        <v>8</v>
      </c>
      <c r="F14" t="str">
        <f t="shared" si="0"/>
        <v>HALL DESIGN Margem</v>
      </c>
    </row>
    <row r="15" spans="1:6" x14ac:dyDescent="0.3">
      <c r="A15" t="s">
        <v>4</v>
      </c>
      <c r="B15" t="s">
        <v>58</v>
      </c>
      <c r="C15" s="39">
        <v>45566</v>
      </c>
      <c r="D15">
        <v>0.17917719854188047</v>
      </c>
      <c r="E15" t="s">
        <v>8</v>
      </c>
      <c r="F15" t="str">
        <f t="shared" si="0"/>
        <v>HALL DESIGN Margem</v>
      </c>
    </row>
    <row r="16" spans="1:6" x14ac:dyDescent="0.3">
      <c r="A16" t="s">
        <v>4</v>
      </c>
      <c r="B16" t="s">
        <v>58</v>
      </c>
      <c r="C16" s="39">
        <v>45597</v>
      </c>
      <c r="D16">
        <v>0.21004883297904653</v>
      </c>
      <c r="E16" t="s">
        <v>8</v>
      </c>
      <c r="F16" t="str">
        <f t="shared" si="0"/>
        <v>HALL DESIGN Margem</v>
      </c>
    </row>
    <row r="17" spans="1:6" x14ac:dyDescent="0.3">
      <c r="A17" t="s">
        <v>4</v>
      </c>
      <c r="B17" t="s">
        <v>58</v>
      </c>
      <c r="C17" s="39">
        <v>45627</v>
      </c>
      <c r="D17">
        <v>0.18552469987755402</v>
      </c>
      <c r="E17" t="s">
        <v>8</v>
      </c>
      <c r="F17" t="str">
        <f t="shared" si="0"/>
        <v>HALL DESIGN Margem</v>
      </c>
    </row>
    <row r="18" spans="1:6" x14ac:dyDescent="0.3">
      <c r="A18" t="s">
        <v>4</v>
      </c>
      <c r="B18" t="s">
        <v>58</v>
      </c>
      <c r="C18" s="39">
        <v>45658</v>
      </c>
      <c r="D18">
        <v>0.26552469987755406</v>
      </c>
      <c r="E18" t="s">
        <v>8</v>
      </c>
      <c r="F18" t="str">
        <f t="shared" si="0"/>
        <v>HALL DESIGN Margem</v>
      </c>
    </row>
    <row r="19" spans="1:6" x14ac:dyDescent="0.3">
      <c r="A19" t="s">
        <v>4</v>
      </c>
      <c r="B19" t="s">
        <v>58</v>
      </c>
      <c r="C19" s="39">
        <v>45689</v>
      </c>
      <c r="D19">
        <v>0.34887765103870494</v>
      </c>
      <c r="E19" t="s">
        <v>8</v>
      </c>
      <c r="F19" t="str">
        <f t="shared" si="0"/>
        <v>HALL DESIGN Margem</v>
      </c>
    </row>
    <row r="20" spans="1:6" x14ac:dyDescent="0.3">
      <c r="A20" t="s">
        <v>4</v>
      </c>
      <c r="B20" t="s">
        <v>58</v>
      </c>
      <c r="C20" s="39">
        <v>45717</v>
      </c>
      <c r="D20">
        <v>0.35511644141115467</v>
      </c>
      <c r="E20" t="s">
        <v>8</v>
      </c>
      <c r="F20" t="str">
        <f t="shared" si="0"/>
        <v>HALL DESIGN Margem</v>
      </c>
    </row>
    <row r="21" spans="1:6" x14ac:dyDescent="0.3">
      <c r="A21" t="s">
        <v>4</v>
      </c>
      <c r="B21" t="s">
        <v>58</v>
      </c>
      <c r="C21" s="39">
        <v>45748</v>
      </c>
      <c r="D21">
        <v>0.34898538313162908</v>
      </c>
      <c r="E21" t="s">
        <v>8</v>
      </c>
      <c r="F21" t="str">
        <f t="shared" si="0"/>
        <v>HALL DESIGN Margem</v>
      </c>
    </row>
    <row r="22" spans="1:6" x14ac:dyDescent="0.3">
      <c r="A22" t="s">
        <v>4</v>
      </c>
      <c r="B22" t="s">
        <v>58</v>
      </c>
      <c r="C22" s="39">
        <v>45778</v>
      </c>
      <c r="D22">
        <v>0.34898538313162908</v>
      </c>
      <c r="E22" t="s">
        <v>8</v>
      </c>
      <c r="F22" t="str">
        <f t="shared" si="0"/>
        <v>HALL DESIGN Margem</v>
      </c>
    </row>
    <row r="23" spans="1:6" x14ac:dyDescent="0.3">
      <c r="A23" t="s">
        <v>4</v>
      </c>
      <c r="B23" t="s">
        <v>58</v>
      </c>
      <c r="C23" s="39">
        <v>45809</v>
      </c>
      <c r="D23">
        <v>0.32562061834539763</v>
      </c>
      <c r="E23" t="s">
        <v>8</v>
      </c>
      <c r="F23" t="str">
        <f t="shared" si="0"/>
        <v>HALL DESIGN Margem</v>
      </c>
    </row>
    <row r="24" spans="1:6" x14ac:dyDescent="0.3">
      <c r="A24" t="s">
        <v>4</v>
      </c>
      <c r="B24" t="s">
        <v>58</v>
      </c>
      <c r="C24" s="39">
        <v>45839</v>
      </c>
      <c r="D24">
        <v>0.24950380456236032</v>
      </c>
      <c r="E24" t="s">
        <v>8</v>
      </c>
      <c r="F24" t="str">
        <f t="shared" si="0"/>
        <v>HALL DESIGN Margem</v>
      </c>
    </row>
    <row r="25" spans="1:6" x14ac:dyDescent="0.3">
      <c r="A25" t="s">
        <v>4</v>
      </c>
      <c r="B25" t="s">
        <v>58</v>
      </c>
      <c r="C25" s="39">
        <v>45870</v>
      </c>
      <c r="D25">
        <v>0.30317798316334532</v>
      </c>
      <c r="E25" t="s">
        <v>8</v>
      </c>
      <c r="F25" t="str">
        <f t="shared" si="0"/>
        <v>HALL DESIGN Margem</v>
      </c>
    </row>
    <row r="26" spans="1:6" x14ac:dyDescent="0.3">
      <c r="A26" t="s">
        <v>4</v>
      </c>
      <c r="B26" t="s">
        <v>58</v>
      </c>
      <c r="C26" s="39">
        <f>EDATE(C25,1)</f>
        <v>45901</v>
      </c>
      <c r="E26" t="s">
        <v>8</v>
      </c>
      <c r="F26" t="str">
        <f t="shared" si="0"/>
        <v>HALL DESIGN Margem</v>
      </c>
    </row>
    <row r="27" spans="1:6" x14ac:dyDescent="0.3">
      <c r="A27" t="s">
        <v>4</v>
      </c>
      <c r="B27" t="s">
        <v>58</v>
      </c>
      <c r="C27" s="39">
        <f t="shared" ref="C27:C29" si="1">EDATE(C26,1)</f>
        <v>45931</v>
      </c>
      <c r="E27" t="s">
        <v>8</v>
      </c>
      <c r="F27" t="str">
        <f t="shared" si="0"/>
        <v>HALL DESIGN Margem</v>
      </c>
    </row>
    <row r="28" spans="1:6" x14ac:dyDescent="0.3">
      <c r="A28" t="s">
        <v>4</v>
      </c>
      <c r="B28" t="s">
        <v>58</v>
      </c>
      <c r="C28" s="39">
        <f t="shared" si="1"/>
        <v>45962</v>
      </c>
      <c r="E28" t="s">
        <v>8</v>
      </c>
      <c r="F28" t="str">
        <f t="shared" si="0"/>
        <v>HALL DESIGN Margem</v>
      </c>
    </row>
    <row r="29" spans="1:6" x14ac:dyDescent="0.3">
      <c r="A29" t="s">
        <v>4</v>
      </c>
      <c r="B29" t="s">
        <v>58</v>
      </c>
      <c r="C29" s="39">
        <f t="shared" si="1"/>
        <v>45992</v>
      </c>
      <c r="E29" t="s">
        <v>8</v>
      </c>
      <c r="F29" t="str">
        <f t="shared" si="0"/>
        <v>HALL DESIGN Margem</v>
      </c>
    </row>
    <row r="30" spans="1:6" x14ac:dyDescent="0.3">
      <c r="A30" t="s">
        <v>4</v>
      </c>
      <c r="B30" t="s">
        <v>58</v>
      </c>
      <c r="C30" s="39">
        <f t="shared" ref="C30:C33" si="2">EDATE(C29,1)</f>
        <v>46023</v>
      </c>
      <c r="E30" t="s">
        <v>8</v>
      </c>
      <c r="F30" t="str">
        <f t="shared" si="0"/>
        <v>HALL DESIGN Margem</v>
      </c>
    </row>
    <row r="31" spans="1:6" x14ac:dyDescent="0.3">
      <c r="A31" t="s">
        <v>4</v>
      </c>
      <c r="B31" t="s">
        <v>58</v>
      </c>
      <c r="C31" s="39">
        <f t="shared" si="2"/>
        <v>46054</v>
      </c>
      <c r="E31" t="s">
        <v>8</v>
      </c>
      <c r="F31" t="str">
        <f t="shared" si="0"/>
        <v>HALL DESIGN Margem</v>
      </c>
    </row>
    <row r="32" spans="1:6" x14ac:dyDescent="0.3">
      <c r="A32" t="s">
        <v>4</v>
      </c>
      <c r="B32" t="s">
        <v>58</v>
      </c>
      <c r="C32" s="39">
        <f t="shared" si="2"/>
        <v>46082</v>
      </c>
      <c r="E32" t="s">
        <v>8</v>
      </c>
      <c r="F32" t="str">
        <f t="shared" si="0"/>
        <v>HALL DESIGN Margem</v>
      </c>
    </row>
    <row r="33" spans="1:6" x14ac:dyDescent="0.3">
      <c r="A33" t="s">
        <v>4</v>
      </c>
      <c r="B33" t="s">
        <v>58</v>
      </c>
      <c r="C33" s="39">
        <f t="shared" si="2"/>
        <v>46113</v>
      </c>
      <c r="E33" t="s">
        <v>8</v>
      </c>
      <c r="F33" t="str">
        <f t="shared" si="0"/>
        <v>HALL DESIGN Margem</v>
      </c>
    </row>
    <row r="35" spans="1:6" x14ac:dyDescent="0.3">
      <c r="A35" t="s">
        <v>4</v>
      </c>
      <c r="B35" t="s">
        <v>59</v>
      </c>
      <c r="C35" s="39">
        <v>45170</v>
      </c>
      <c r="D35">
        <v>-11140.860836588401</v>
      </c>
      <c r="E35" t="s">
        <v>8</v>
      </c>
      <c r="F35" t="str">
        <f>A35&amp;" "&amp;B35</f>
        <v>HALL DESIGN Resultado</v>
      </c>
    </row>
    <row r="36" spans="1:6" x14ac:dyDescent="0.3">
      <c r="A36" t="s">
        <v>4</v>
      </c>
      <c r="B36" t="s">
        <v>59</v>
      </c>
      <c r="C36" s="39">
        <v>45200</v>
      </c>
      <c r="D36">
        <v>2961.3338664514995</v>
      </c>
      <c r="E36" t="s">
        <v>8</v>
      </c>
      <c r="F36" t="str">
        <f t="shared" ref="F36:F66" si="3">A36&amp;" "&amp;B36</f>
        <v>HALL DESIGN Resultado</v>
      </c>
    </row>
    <row r="37" spans="1:6" x14ac:dyDescent="0.3">
      <c r="A37" t="s">
        <v>4</v>
      </c>
      <c r="B37" t="s">
        <v>59</v>
      </c>
      <c r="C37" s="39">
        <v>45231</v>
      </c>
      <c r="D37">
        <v>396.76980502269362</v>
      </c>
      <c r="E37" t="s">
        <v>8</v>
      </c>
      <c r="F37" t="str">
        <f t="shared" si="3"/>
        <v>HALL DESIGN Resultado</v>
      </c>
    </row>
    <row r="38" spans="1:6" x14ac:dyDescent="0.3">
      <c r="A38" t="s">
        <v>4</v>
      </c>
      <c r="B38" t="s">
        <v>59</v>
      </c>
      <c r="C38" s="39">
        <v>45261</v>
      </c>
      <c r="D38">
        <v>396.76980502269362</v>
      </c>
      <c r="E38" t="s">
        <v>8</v>
      </c>
      <c r="F38" t="str">
        <f t="shared" si="3"/>
        <v>HALL DESIGN Resultado</v>
      </c>
    </row>
    <row r="39" spans="1:6" x14ac:dyDescent="0.3">
      <c r="A39" t="s">
        <v>4</v>
      </c>
      <c r="B39" t="s">
        <v>59</v>
      </c>
      <c r="C39" s="39">
        <v>45292</v>
      </c>
      <c r="D39">
        <v>10835.800334967234</v>
      </c>
      <c r="E39" t="s">
        <v>8</v>
      </c>
      <c r="F39" t="str">
        <f t="shared" si="3"/>
        <v>HALL DESIGN Resultado</v>
      </c>
    </row>
    <row r="40" spans="1:6" x14ac:dyDescent="0.3">
      <c r="A40" t="s">
        <v>4</v>
      </c>
      <c r="B40" t="s">
        <v>59</v>
      </c>
      <c r="C40" s="39">
        <v>45323</v>
      </c>
      <c r="D40">
        <v>10835.800334967234</v>
      </c>
      <c r="E40" t="s">
        <v>8</v>
      </c>
      <c r="F40" t="str">
        <f t="shared" si="3"/>
        <v>HALL DESIGN Resultado</v>
      </c>
    </row>
    <row r="41" spans="1:6" x14ac:dyDescent="0.3">
      <c r="A41" t="s">
        <v>4</v>
      </c>
      <c r="B41" t="s">
        <v>59</v>
      </c>
      <c r="C41" s="39">
        <v>45352</v>
      </c>
      <c r="D41">
        <v>10835.800334967234</v>
      </c>
      <c r="E41" t="s">
        <v>8</v>
      </c>
      <c r="F41" t="str">
        <f t="shared" si="3"/>
        <v>HALL DESIGN Resultado</v>
      </c>
    </row>
    <row r="42" spans="1:6" x14ac:dyDescent="0.3">
      <c r="A42" t="s">
        <v>4</v>
      </c>
      <c r="B42" t="s">
        <v>59</v>
      </c>
      <c r="C42" s="39">
        <v>45383</v>
      </c>
      <c r="D42">
        <v>21655.878417335858</v>
      </c>
      <c r="E42" t="s">
        <v>8</v>
      </c>
      <c r="F42" t="str">
        <f t="shared" si="3"/>
        <v>HALL DESIGN Resultado</v>
      </c>
    </row>
    <row r="43" spans="1:6" x14ac:dyDescent="0.3">
      <c r="A43" t="s">
        <v>4</v>
      </c>
      <c r="B43" t="s">
        <v>59</v>
      </c>
      <c r="C43" s="39">
        <v>45413</v>
      </c>
      <c r="D43">
        <v>27786.333559164814</v>
      </c>
      <c r="E43" t="s">
        <v>8</v>
      </c>
      <c r="F43" t="str">
        <f t="shared" si="3"/>
        <v>HALL DESIGN Resultado</v>
      </c>
    </row>
    <row r="44" spans="1:6" x14ac:dyDescent="0.3">
      <c r="A44" t="s">
        <v>4</v>
      </c>
      <c r="B44" t="s">
        <v>59</v>
      </c>
      <c r="C44" s="39">
        <v>45444</v>
      </c>
      <c r="D44">
        <v>33831.312106719924</v>
      </c>
      <c r="E44" t="s">
        <v>8</v>
      </c>
      <c r="F44" t="str">
        <f t="shared" si="3"/>
        <v>HALL DESIGN Resultado</v>
      </c>
    </row>
    <row r="45" spans="1:6" x14ac:dyDescent="0.3">
      <c r="A45" t="s">
        <v>4</v>
      </c>
      <c r="B45" t="s">
        <v>59</v>
      </c>
      <c r="C45" s="39">
        <v>45474</v>
      </c>
      <c r="D45">
        <v>36639.147233438613</v>
      </c>
      <c r="E45" t="s">
        <v>8</v>
      </c>
      <c r="F45" t="str">
        <f t="shared" si="3"/>
        <v>HALL DESIGN Resultado</v>
      </c>
    </row>
    <row r="46" spans="1:6" x14ac:dyDescent="0.3">
      <c r="A46" t="s">
        <v>4</v>
      </c>
      <c r="B46" t="s">
        <v>59</v>
      </c>
      <c r="C46" s="39">
        <v>45505</v>
      </c>
      <c r="D46">
        <v>36639.147233438613</v>
      </c>
      <c r="E46" t="s">
        <v>8</v>
      </c>
      <c r="F46" t="str">
        <f t="shared" si="3"/>
        <v>HALL DESIGN Resultado</v>
      </c>
    </row>
    <row r="47" spans="1:6" x14ac:dyDescent="0.3">
      <c r="A47" t="s">
        <v>4</v>
      </c>
      <c r="B47" t="s">
        <v>59</v>
      </c>
      <c r="C47" s="39">
        <v>45536</v>
      </c>
      <c r="D47">
        <v>15109.277498030155</v>
      </c>
      <c r="E47" t="s">
        <v>8</v>
      </c>
      <c r="F47" t="str">
        <f t="shared" si="3"/>
        <v>HALL DESIGN Resultado</v>
      </c>
    </row>
    <row r="48" spans="1:6" x14ac:dyDescent="0.3">
      <c r="A48" t="s">
        <v>4</v>
      </c>
      <c r="B48" t="s">
        <v>59</v>
      </c>
      <c r="C48" s="39">
        <v>45566</v>
      </c>
      <c r="D48">
        <v>15845.822000589893</v>
      </c>
      <c r="E48" t="s">
        <v>8</v>
      </c>
      <c r="F48" t="str">
        <f t="shared" si="3"/>
        <v>HALL DESIGN Resultado</v>
      </c>
    </row>
    <row r="49" spans="1:6" x14ac:dyDescent="0.3">
      <c r="A49" t="s">
        <v>4</v>
      </c>
      <c r="B49" t="s">
        <v>59</v>
      </c>
      <c r="C49" s="39">
        <v>45597</v>
      </c>
      <c r="D49">
        <v>20128.778038898017</v>
      </c>
      <c r="E49" t="s">
        <v>8</v>
      </c>
      <c r="F49" t="str">
        <f t="shared" si="3"/>
        <v>HALL DESIGN Resultado</v>
      </c>
    </row>
    <row r="50" spans="1:6" x14ac:dyDescent="0.3">
      <c r="A50" t="s">
        <v>4</v>
      </c>
      <c r="B50" t="s">
        <v>59</v>
      </c>
      <c r="C50" s="39">
        <v>45627</v>
      </c>
      <c r="D50">
        <v>16671.603786322456</v>
      </c>
      <c r="E50" t="s">
        <v>8</v>
      </c>
      <c r="F50" t="str">
        <f t="shared" si="3"/>
        <v>HALL DESIGN Resultado</v>
      </c>
    </row>
    <row r="51" spans="1:6" x14ac:dyDescent="0.3">
      <c r="A51" t="s">
        <v>4</v>
      </c>
      <c r="B51" t="s">
        <v>59</v>
      </c>
      <c r="C51" s="39">
        <v>45658</v>
      </c>
      <c r="D51">
        <v>23860.556544559258</v>
      </c>
      <c r="E51" t="s">
        <v>8</v>
      </c>
      <c r="F51" t="str">
        <f t="shared" si="3"/>
        <v>HALL DESIGN Resultado</v>
      </c>
    </row>
    <row r="52" spans="1:6" x14ac:dyDescent="0.3">
      <c r="A52" t="s">
        <v>4</v>
      </c>
      <c r="B52" t="s">
        <v>59</v>
      </c>
      <c r="C52" s="39">
        <v>45689</v>
      </c>
      <c r="D52">
        <v>39767.076672600037</v>
      </c>
      <c r="E52" t="s">
        <v>8</v>
      </c>
      <c r="F52" t="str">
        <f t="shared" si="3"/>
        <v>HALL DESIGN Resultado</v>
      </c>
    </row>
    <row r="53" spans="1:6" x14ac:dyDescent="0.3">
      <c r="A53" t="s">
        <v>4</v>
      </c>
      <c r="B53" t="s">
        <v>59</v>
      </c>
      <c r="C53" s="39">
        <v>45717</v>
      </c>
      <c r="D53">
        <v>41308.225971922198</v>
      </c>
      <c r="E53" t="s">
        <v>8</v>
      </c>
      <c r="F53" t="str">
        <f t="shared" si="3"/>
        <v>HALL DESIGN Resultado</v>
      </c>
    </row>
    <row r="54" spans="1:6" x14ac:dyDescent="0.3">
      <c r="A54" t="s">
        <v>4</v>
      </c>
      <c r="B54" t="s">
        <v>59</v>
      </c>
      <c r="C54" s="39">
        <v>45748</v>
      </c>
      <c r="D54">
        <v>39793.163717404648</v>
      </c>
      <c r="E54" t="s">
        <v>8</v>
      </c>
      <c r="F54" t="str">
        <f t="shared" si="3"/>
        <v>HALL DESIGN Resultado</v>
      </c>
    </row>
    <row r="55" spans="1:6" x14ac:dyDescent="0.3">
      <c r="A55" t="s">
        <v>4</v>
      </c>
      <c r="B55" t="s">
        <v>59</v>
      </c>
      <c r="C55" s="39">
        <v>45778</v>
      </c>
      <c r="D55">
        <v>39793.163717404648</v>
      </c>
      <c r="E55" t="s">
        <v>8</v>
      </c>
      <c r="F55" t="str">
        <f t="shared" si="3"/>
        <v>HALL DESIGN Resultado</v>
      </c>
    </row>
    <row r="56" spans="1:6" x14ac:dyDescent="0.3">
      <c r="A56" t="s">
        <v>4</v>
      </c>
      <c r="B56" t="s">
        <v>59</v>
      </c>
      <c r="C56" s="39">
        <v>45809</v>
      </c>
      <c r="D56">
        <v>34529.700438735221</v>
      </c>
      <c r="E56" t="s">
        <v>8</v>
      </c>
      <c r="F56" t="str">
        <f t="shared" si="3"/>
        <v>HALL DESIGN Resultado</v>
      </c>
    </row>
    <row r="57" spans="1:6" x14ac:dyDescent="0.3">
      <c r="A57" t="s">
        <v>4</v>
      </c>
      <c r="B57" t="s">
        <v>59</v>
      </c>
      <c r="C57" s="39">
        <v>45839</v>
      </c>
      <c r="D57">
        <v>21544.497336461638</v>
      </c>
      <c r="E57" t="s">
        <v>8</v>
      </c>
      <c r="F57" t="str">
        <f t="shared" si="3"/>
        <v>HALL DESIGN Resultado</v>
      </c>
    </row>
    <row r="58" spans="1:6" x14ac:dyDescent="0.3">
      <c r="A58" t="s">
        <v>4</v>
      </c>
      <c r="B58" t="s">
        <v>59</v>
      </c>
      <c r="C58" s="39">
        <v>45870</v>
      </c>
      <c r="D58">
        <v>324841.4803460727</v>
      </c>
      <c r="E58" t="s">
        <v>8</v>
      </c>
      <c r="F58" t="str">
        <f t="shared" si="3"/>
        <v>HALL DESIGN Resultado</v>
      </c>
    </row>
    <row r="59" spans="1:6" x14ac:dyDescent="0.3">
      <c r="A59" t="s">
        <v>4</v>
      </c>
      <c r="B59" t="s">
        <v>59</v>
      </c>
      <c r="C59" s="39">
        <f>EDATE(C58,1)</f>
        <v>45901</v>
      </c>
      <c r="E59" t="s">
        <v>8</v>
      </c>
      <c r="F59" t="str">
        <f t="shared" si="3"/>
        <v>HALL DESIGN Resultado</v>
      </c>
    </row>
    <row r="60" spans="1:6" x14ac:dyDescent="0.3">
      <c r="A60" t="s">
        <v>4</v>
      </c>
      <c r="B60" t="s">
        <v>59</v>
      </c>
      <c r="C60" s="39">
        <f t="shared" ref="C60:C66" si="4">EDATE(C59,1)</f>
        <v>45931</v>
      </c>
      <c r="E60" t="s">
        <v>8</v>
      </c>
      <c r="F60" t="str">
        <f t="shared" si="3"/>
        <v>HALL DESIGN Resultado</v>
      </c>
    </row>
    <row r="61" spans="1:6" x14ac:dyDescent="0.3">
      <c r="A61" t="s">
        <v>4</v>
      </c>
      <c r="B61" t="s">
        <v>59</v>
      </c>
      <c r="C61" s="39">
        <f t="shared" si="4"/>
        <v>45962</v>
      </c>
      <c r="E61" t="s">
        <v>8</v>
      </c>
      <c r="F61" t="str">
        <f t="shared" si="3"/>
        <v>HALL DESIGN Resultado</v>
      </c>
    </row>
    <row r="62" spans="1:6" x14ac:dyDescent="0.3">
      <c r="A62" t="s">
        <v>4</v>
      </c>
      <c r="B62" t="s">
        <v>59</v>
      </c>
      <c r="C62" s="39">
        <f t="shared" si="4"/>
        <v>45992</v>
      </c>
      <c r="E62" t="s">
        <v>8</v>
      </c>
      <c r="F62" t="str">
        <f t="shared" si="3"/>
        <v>HALL DESIGN Resultado</v>
      </c>
    </row>
    <row r="63" spans="1:6" x14ac:dyDescent="0.3">
      <c r="A63" t="s">
        <v>4</v>
      </c>
      <c r="B63" t="s">
        <v>59</v>
      </c>
      <c r="C63" s="39">
        <f t="shared" si="4"/>
        <v>46023</v>
      </c>
      <c r="E63" t="s">
        <v>8</v>
      </c>
      <c r="F63" t="str">
        <f t="shared" si="3"/>
        <v>HALL DESIGN Resultado</v>
      </c>
    </row>
    <row r="64" spans="1:6" x14ac:dyDescent="0.3">
      <c r="A64" t="s">
        <v>4</v>
      </c>
      <c r="B64" t="s">
        <v>59</v>
      </c>
      <c r="C64" s="39">
        <f t="shared" si="4"/>
        <v>46054</v>
      </c>
      <c r="E64" t="s">
        <v>8</v>
      </c>
      <c r="F64" t="str">
        <f t="shared" si="3"/>
        <v>HALL DESIGN Resultado</v>
      </c>
    </row>
    <row r="65" spans="1:9" x14ac:dyDescent="0.3">
      <c r="A65" t="s">
        <v>4</v>
      </c>
      <c r="B65" t="s">
        <v>59</v>
      </c>
      <c r="C65" s="39">
        <f t="shared" si="4"/>
        <v>46082</v>
      </c>
      <c r="E65" t="s">
        <v>8</v>
      </c>
      <c r="F65" t="str">
        <f t="shared" si="3"/>
        <v>HALL DESIGN Resultado</v>
      </c>
    </row>
    <row r="66" spans="1:9" x14ac:dyDescent="0.3">
      <c r="A66" t="s">
        <v>4</v>
      </c>
      <c r="B66" t="s">
        <v>59</v>
      </c>
      <c r="C66" s="39">
        <f t="shared" si="4"/>
        <v>46113</v>
      </c>
      <c r="E66" t="s">
        <v>8</v>
      </c>
      <c r="F66" t="str">
        <f t="shared" si="3"/>
        <v>HALL DESIGN Resultado</v>
      </c>
    </row>
    <row r="69" spans="1:9" x14ac:dyDescent="0.3">
      <c r="A69" t="s">
        <v>4</v>
      </c>
      <c r="B69" t="s">
        <v>60</v>
      </c>
      <c r="C69" s="39">
        <v>45170</v>
      </c>
      <c r="E69" t="s">
        <v>2</v>
      </c>
      <c r="F69" t="str">
        <f>A69&amp;" "&amp;B69</f>
        <v>HALL DESIGN Despesas ADM</v>
      </c>
      <c r="G69" s="41">
        <v>58347.72</v>
      </c>
      <c r="H69">
        <v>2246195.4800000004</v>
      </c>
      <c r="I69" s="42">
        <f>G69/H69</f>
        <v>2.5976243171854298E-2</v>
      </c>
    </row>
    <row r="70" spans="1:9" x14ac:dyDescent="0.3">
      <c r="A70" t="s">
        <v>4</v>
      </c>
      <c r="B70" t="s">
        <v>60</v>
      </c>
      <c r="C70" s="39">
        <v>45200</v>
      </c>
      <c r="E70" t="s">
        <v>2</v>
      </c>
      <c r="F70" t="str">
        <f t="shared" ref="F70:F100" si="5">A70&amp;" "&amp;B70</f>
        <v>HALL DESIGN Despesas ADM</v>
      </c>
      <c r="G70" s="41">
        <v>96382.45</v>
      </c>
      <c r="H70">
        <v>2166431.41</v>
      </c>
      <c r="I70" s="42">
        <f t="shared" ref="I70:I73" si="6">G70/H70</f>
        <v>4.4489038312087614E-2</v>
      </c>
    </row>
    <row r="71" spans="1:9" x14ac:dyDescent="0.3">
      <c r="A71" t="s">
        <v>4</v>
      </c>
      <c r="B71" t="s">
        <v>60</v>
      </c>
      <c r="C71" s="39">
        <v>45231</v>
      </c>
      <c r="E71" t="s">
        <v>2</v>
      </c>
      <c r="F71" t="str">
        <f t="shared" si="5"/>
        <v>HALL DESIGN Despesas ADM</v>
      </c>
      <c r="G71" s="41">
        <v>96730.39</v>
      </c>
      <c r="H71">
        <v>1954414.9099999997</v>
      </c>
      <c r="I71" s="42">
        <f t="shared" si="6"/>
        <v>4.9493272643934147E-2</v>
      </c>
    </row>
    <row r="72" spans="1:9" x14ac:dyDescent="0.3">
      <c r="A72" t="s">
        <v>4</v>
      </c>
      <c r="B72" t="s">
        <v>60</v>
      </c>
      <c r="C72" s="39">
        <v>45261</v>
      </c>
      <c r="E72" t="s">
        <v>2</v>
      </c>
      <c r="F72" t="str">
        <f t="shared" si="5"/>
        <v>HALL DESIGN Despesas ADM</v>
      </c>
      <c r="G72" s="41">
        <v>97200.11</v>
      </c>
      <c r="H72">
        <v>1979082.44</v>
      </c>
      <c r="I72" s="42">
        <f t="shared" si="6"/>
        <v>4.9113724641000805E-2</v>
      </c>
    </row>
    <row r="73" spans="1:9" x14ac:dyDescent="0.3">
      <c r="A73" t="s">
        <v>4</v>
      </c>
      <c r="B73" t="s">
        <v>60</v>
      </c>
      <c r="C73" s="39">
        <v>45292</v>
      </c>
      <c r="D73" s="38">
        <v>2.5976243171854298E-2</v>
      </c>
      <c r="E73" t="s">
        <v>2</v>
      </c>
      <c r="F73" t="str">
        <f t="shared" si="5"/>
        <v>HALL DESIGN Despesas ADM</v>
      </c>
      <c r="G73" s="41">
        <v>138632.12</v>
      </c>
      <c r="H73">
        <v>2179211.41</v>
      </c>
      <c r="I73" s="42">
        <f t="shared" si="6"/>
        <v>6.3615727856344131E-2</v>
      </c>
    </row>
    <row r="74" spans="1:9" x14ac:dyDescent="0.3">
      <c r="A74" t="s">
        <v>4</v>
      </c>
      <c r="B74" t="s">
        <v>60</v>
      </c>
      <c r="C74" s="39">
        <v>45323</v>
      </c>
      <c r="D74" s="38">
        <v>4.4489038312087614E-2</v>
      </c>
      <c r="E74" t="s">
        <v>1</v>
      </c>
      <c r="F74" t="str">
        <f t="shared" si="5"/>
        <v>HALL DESIGN Despesas ADM</v>
      </c>
    </row>
    <row r="75" spans="1:9" x14ac:dyDescent="0.3">
      <c r="A75" t="s">
        <v>4</v>
      </c>
      <c r="B75" t="s">
        <v>60</v>
      </c>
      <c r="C75" s="39">
        <v>45352</v>
      </c>
      <c r="D75" s="38">
        <v>4.9493272643934147E-2</v>
      </c>
      <c r="E75" t="s">
        <v>1</v>
      </c>
      <c r="F75" t="str">
        <f t="shared" si="5"/>
        <v>HALL DESIGN Despesas ADM</v>
      </c>
    </row>
    <row r="76" spans="1:9" x14ac:dyDescent="0.3">
      <c r="A76" t="s">
        <v>4</v>
      </c>
      <c r="B76" t="s">
        <v>60</v>
      </c>
      <c r="C76" s="39">
        <v>45383</v>
      </c>
      <c r="D76" s="38">
        <v>4.9113724641000805E-2</v>
      </c>
      <c r="E76" t="s">
        <v>1</v>
      </c>
      <c r="F76" t="str">
        <f t="shared" si="5"/>
        <v>HALL DESIGN Despesas ADM</v>
      </c>
    </row>
    <row r="77" spans="1:9" x14ac:dyDescent="0.3">
      <c r="A77" t="s">
        <v>4</v>
      </c>
      <c r="B77" t="s">
        <v>60</v>
      </c>
      <c r="C77" s="39">
        <v>45413</v>
      </c>
      <c r="D77" s="38">
        <v>6.3615727856344131E-2</v>
      </c>
      <c r="E77" t="s">
        <v>1</v>
      </c>
      <c r="F77" t="str">
        <f t="shared" si="5"/>
        <v>HALL DESIGN Despesas ADM</v>
      </c>
    </row>
    <row r="78" spans="1:9" x14ac:dyDescent="0.3">
      <c r="A78" t="s">
        <v>4</v>
      </c>
      <c r="B78" t="s">
        <v>60</v>
      </c>
      <c r="C78" s="39">
        <v>45444</v>
      </c>
      <c r="D78" s="40"/>
      <c r="E78" t="s">
        <v>1</v>
      </c>
      <c r="F78" t="str">
        <f t="shared" si="5"/>
        <v>HALL DESIGN Despesas ADM</v>
      </c>
    </row>
    <row r="79" spans="1:9" x14ac:dyDescent="0.3">
      <c r="A79" t="s">
        <v>4</v>
      </c>
      <c r="B79" t="s">
        <v>60</v>
      </c>
      <c r="C79" s="39">
        <v>45474</v>
      </c>
      <c r="D79" s="40"/>
      <c r="E79" t="s">
        <v>1</v>
      </c>
      <c r="F79" t="str">
        <f t="shared" si="5"/>
        <v>HALL DESIGN Despesas ADM</v>
      </c>
    </row>
    <row r="80" spans="1:9" x14ac:dyDescent="0.3">
      <c r="A80" t="s">
        <v>4</v>
      </c>
      <c r="B80" t="s">
        <v>60</v>
      </c>
      <c r="C80" s="39">
        <v>45505</v>
      </c>
      <c r="D80" s="40"/>
      <c r="E80" t="s">
        <v>1</v>
      </c>
      <c r="F80" t="str">
        <f t="shared" si="5"/>
        <v>HALL DESIGN Despesas ADM</v>
      </c>
    </row>
    <row r="81" spans="1:6" x14ac:dyDescent="0.3">
      <c r="A81" t="s">
        <v>4</v>
      </c>
      <c r="B81" t="s">
        <v>60</v>
      </c>
      <c r="C81" s="39">
        <v>45536</v>
      </c>
      <c r="D81" s="40"/>
      <c r="E81" t="s">
        <v>1</v>
      </c>
      <c r="F81" t="str">
        <f t="shared" si="5"/>
        <v>HALL DESIGN Despesas ADM</v>
      </c>
    </row>
    <row r="82" spans="1:6" x14ac:dyDescent="0.3">
      <c r="A82" t="s">
        <v>4</v>
      </c>
      <c r="B82" t="s">
        <v>60</v>
      </c>
      <c r="C82" s="39">
        <v>45566</v>
      </c>
      <c r="D82" s="40"/>
      <c r="E82" t="s">
        <v>1</v>
      </c>
      <c r="F82" t="str">
        <f t="shared" si="5"/>
        <v>HALL DESIGN Despesas ADM</v>
      </c>
    </row>
    <row r="83" spans="1:6" x14ac:dyDescent="0.3">
      <c r="A83" t="s">
        <v>4</v>
      </c>
      <c r="B83" t="s">
        <v>60</v>
      </c>
      <c r="C83" s="39">
        <v>45597</v>
      </c>
      <c r="D83" s="40"/>
      <c r="E83" t="s">
        <v>1</v>
      </c>
      <c r="F83" t="str">
        <f t="shared" si="5"/>
        <v>HALL DESIGN Despesas ADM</v>
      </c>
    </row>
    <row r="84" spans="1:6" x14ac:dyDescent="0.3">
      <c r="A84" t="s">
        <v>4</v>
      </c>
      <c r="B84" t="s">
        <v>60</v>
      </c>
      <c r="C84" s="39">
        <v>45627</v>
      </c>
      <c r="D84" s="40"/>
      <c r="E84" t="s">
        <v>1</v>
      </c>
      <c r="F84" t="str">
        <f t="shared" si="5"/>
        <v>HALL DESIGN Despesas ADM</v>
      </c>
    </row>
    <row r="85" spans="1:6" x14ac:dyDescent="0.3">
      <c r="A85" t="s">
        <v>4</v>
      </c>
      <c r="B85" t="s">
        <v>60</v>
      </c>
      <c r="C85" s="39">
        <v>45658</v>
      </c>
      <c r="D85" s="40"/>
      <c r="E85" t="s">
        <v>1</v>
      </c>
      <c r="F85" t="str">
        <f t="shared" si="5"/>
        <v>HALL DESIGN Despesas ADM</v>
      </c>
    </row>
    <row r="86" spans="1:6" x14ac:dyDescent="0.3">
      <c r="A86" t="s">
        <v>4</v>
      </c>
      <c r="B86" t="s">
        <v>60</v>
      </c>
      <c r="C86" s="39">
        <v>45689</v>
      </c>
      <c r="D86" s="40"/>
      <c r="E86" t="s">
        <v>1</v>
      </c>
      <c r="F86" t="str">
        <f t="shared" si="5"/>
        <v>HALL DESIGN Despesas ADM</v>
      </c>
    </row>
    <row r="87" spans="1:6" x14ac:dyDescent="0.3">
      <c r="A87" t="s">
        <v>4</v>
      </c>
      <c r="B87" t="s">
        <v>60</v>
      </c>
      <c r="C87" s="39">
        <v>45717</v>
      </c>
      <c r="D87" s="40"/>
      <c r="E87" t="s">
        <v>1</v>
      </c>
      <c r="F87" t="str">
        <f t="shared" si="5"/>
        <v>HALL DESIGN Despesas ADM</v>
      </c>
    </row>
    <row r="88" spans="1:6" x14ac:dyDescent="0.3">
      <c r="A88" t="s">
        <v>4</v>
      </c>
      <c r="B88" t="s">
        <v>60</v>
      </c>
      <c r="C88" s="39">
        <v>45748</v>
      </c>
      <c r="D88" s="40"/>
      <c r="E88" t="s">
        <v>1</v>
      </c>
      <c r="F88" t="str">
        <f t="shared" si="5"/>
        <v>HALL DESIGN Despesas ADM</v>
      </c>
    </row>
    <row r="89" spans="1:6" x14ac:dyDescent="0.3">
      <c r="A89" t="s">
        <v>4</v>
      </c>
      <c r="B89" t="s">
        <v>60</v>
      </c>
      <c r="C89" s="39">
        <v>45778</v>
      </c>
      <c r="D89" s="40"/>
      <c r="E89" t="s">
        <v>1</v>
      </c>
      <c r="F89" t="str">
        <f t="shared" si="5"/>
        <v>HALL DESIGN Despesas ADM</v>
      </c>
    </row>
    <row r="90" spans="1:6" x14ac:dyDescent="0.3">
      <c r="A90" t="s">
        <v>4</v>
      </c>
      <c r="B90" t="s">
        <v>60</v>
      </c>
      <c r="C90" s="39">
        <v>45809</v>
      </c>
      <c r="D90" s="40"/>
      <c r="E90" t="s">
        <v>1</v>
      </c>
      <c r="F90" t="str">
        <f t="shared" si="5"/>
        <v>HALL DESIGN Despesas ADM</v>
      </c>
    </row>
    <row r="91" spans="1:6" x14ac:dyDescent="0.3">
      <c r="A91" t="s">
        <v>4</v>
      </c>
      <c r="B91" t="s">
        <v>60</v>
      </c>
      <c r="C91" s="39">
        <v>45839</v>
      </c>
      <c r="D91" s="40"/>
      <c r="E91" t="s">
        <v>1</v>
      </c>
      <c r="F91" t="str">
        <f t="shared" si="5"/>
        <v>HALL DESIGN Despesas ADM</v>
      </c>
    </row>
    <row r="92" spans="1:6" x14ac:dyDescent="0.3">
      <c r="A92" t="s">
        <v>4</v>
      </c>
      <c r="B92" t="s">
        <v>60</v>
      </c>
      <c r="C92" s="39">
        <v>45870</v>
      </c>
      <c r="D92" s="40"/>
      <c r="E92" t="s">
        <v>1</v>
      </c>
      <c r="F92" t="str">
        <f t="shared" si="5"/>
        <v>HALL DESIGN Despesas ADM</v>
      </c>
    </row>
    <row r="93" spans="1:6" x14ac:dyDescent="0.3">
      <c r="A93" t="s">
        <v>4</v>
      </c>
      <c r="B93" t="s">
        <v>60</v>
      </c>
      <c r="C93" s="39">
        <f>EDATE(C92,1)</f>
        <v>45901</v>
      </c>
      <c r="D93" s="40"/>
      <c r="E93" t="s">
        <v>1</v>
      </c>
      <c r="F93" t="str">
        <f t="shared" si="5"/>
        <v>HALL DESIGN Despesas ADM</v>
      </c>
    </row>
    <row r="94" spans="1:6" x14ac:dyDescent="0.3">
      <c r="A94" t="s">
        <v>4</v>
      </c>
      <c r="B94" t="s">
        <v>60</v>
      </c>
      <c r="C94" s="39">
        <f t="shared" ref="C94:C100" si="7">EDATE(C93,1)</f>
        <v>45931</v>
      </c>
      <c r="D94" s="40"/>
      <c r="E94" t="s">
        <v>1</v>
      </c>
      <c r="F94" t="str">
        <f t="shared" si="5"/>
        <v>HALL DESIGN Despesas ADM</v>
      </c>
    </row>
    <row r="95" spans="1:6" x14ac:dyDescent="0.3">
      <c r="A95" t="s">
        <v>4</v>
      </c>
      <c r="B95" t="s">
        <v>60</v>
      </c>
      <c r="C95" s="39">
        <f t="shared" si="7"/>
        <v>45962</v>
      </c>
      <c r="D95" s="40"/>
      <c r="E95" t="s">
        <v>1</v>
      </c>
      <c r="F95" t="str">
        <f t="shared" si="5"/>
        <v>HALL DESIGN Despesas ADM</v>
      </c>
    </row>
    <row r="96" spans="1:6" x14ac:dyDescent="0.3">
      <c r="A96" t="s">
        <v>4</v>
      </c>
      <c r="B96" t="s">
        <v>60</v>
      </c>
      <c r="C96" s="39">
        <f t="shared" si="7"/>
        <v>45992</v>
      </c>
      <c r="D96" s="40"/>
      <c r="E96" t="s">
        <v>1</v>
      </c>
      <c r="F96" t="str">
        <f t="shared" si="5"/>
        <v>HALL DESIGN Despesas ADM</v>
      </c>
    </row>
    <row r="97" spans="1:6" x14ac:dyDescent="0.3">
      <c r="A97" t="s">
        <v>4</v>
      </c>
      <c r="B97" t="s">
        <v>60</v>
      </c>
      <c r="C97" s="39">
        <f t="shared" si="7"/>
        <v>46023</v>
      </c>
      <c r="D97" s="40"/>
      <c r="E97" t="s">
        <v>1</v>
      </c>
      <c r="F97" t="str">
        <f t="shared" si="5"/>
        <v>HALL DESIGN Despesas ADM</v>
      </c>
    </row>
    <row r="98" spans="1:6" x14ac:dyDescent="0.3">
      <c r="A98" t="s">
        <v>4</v>
      </c>
      <c r="B98" t="s">
        <v>60</v>
      </c>
      <c r="C98" s="39">
        <f t="shared" si="7"/>
        <v>46054</v>
      </c>
      <c r="D98" s="40"/>
      <c r="E98" t="s">
        <v>1</v>
      </c>
      <c r="F98" t="str">
        <f t="shared" si="5"/>
        <v>HALL DESIGN Despesas ADM</v>
      </c>
    </row>
    <row r="99" spans="1:6" x14ac:dyDescent="0.3">
      <c r="A99" t="s">
        <v>4</v>
      </c>
      <c r="B99" t="s">
        <v>60</v>
      </c>
      <c r="C99" s="39">
        <f t="shared" si="7"/>
        <v>46082</v>
      </c>
      <c r="D99" s="40"/>
      <c r="E99" t="s">
        <v>1</v>
      </c>
      <c r="F99" t="str">
        <f t="shared" si="5"/>
        <v>HALL DESIGN Despesas ADM</v>
      </c>
    </row>
    <row r="100" spans="1:6" x14ac:dyDescent="0.3">
      <c r="A100" t="s">
        <v>4</v>
      </c>
      <c r="B100" t="s">
        <v>60</v>
      </c>
      <c r="C100" s="39">
        <f t="shared" si="7"/>
        <v>46113</v>
      </c>
      <c r="D100" s="40"/>
      <c r="E100" t="s">
        <v>1</v>
      </c>
      <c r="F100" t="str">
        <f t="shared" si="5"/>
        <v>HALL DESIGN Despesas ADM</v>
      </c>
    </row>
    <row r="101" spans="1:6" ht="15.75" customHeight="1" x14ac:dyDescent="0.3"/>
    <row r="103" spans="1:6" x14ac:dyDescent="0.3">
      <c r="A103" t="s">
        <v>4</v>
      </c>
      <c r="B103" t="s">
        <v>63</v>
      </c>
      <c r="C103" s="39">
        <v>45170</v>
      </c>
      <c r="D103" s="40"/>
      <c r="E103" t="s">
        <v>8</v>
      </c>
      <c r="F103" t="str">
        <f>A103&amp;" "&amp;B103</f>
        <v>HALL DESIGN % Receita liquida geral</v>
      </c>
    </row>
    <row r="104" spans="1:6" x14ac:dyDescent="0.3">
      <c r="A104" t="s">
        <v>4</v>
      </c>
      <c r="B104" t="s">
        <v>63</v>
      </c>
      <c r="C104" s="39">
        <v>45200</v>
      </c>
      <c r="D104" s="40"/>
      <c r="E104" t="s">
        <v>8</v>
      </c>
      <c r="F104" t="str">
        <f t="shared" ref="F104:F134" si="8">A104&amp;" "&amp;B104</f>
        <v>HALL DESIGN % Receita liquida geral</v>
      </c>
    </row>
    <row r="105" spans="1:6" x14ac:dyDescent="0.3">
      <c r="A105" t="s">
        <v>4</v>
      </c>
      <c r="B105" t="s">
        <v>63</v>
      </c>
      <c r="C105" s="39">
        <v>45231</v>
      </c>
      <c r="D105" s="40"/>
      <c r="E105" t="s">
        <v>8</v>
      </c>
      <c r="F105" t="str">
        <f t="shared" si="8"/>
        <v>HALL DESIGN % Receita liquida geral</v>
      </c>
    </row>
    <row r="106" spans="1:6" x14ac:dyDescent="0.3">
      <c r="A106" t="s">
        <v>4</v>
      </c>
      <c r="B106" t="s">
        <v>63</v>
      </c>
      <c r="C106" s="39">
        <v>45261</v>
      </c>
      <c r="D106" s="40"/>
      <c r="E106" t="s">
        <v>8</v>
      </c>
      <c r="F106" t="str">
        <f t="shared" si="8"/>
        <v>HALL DESIGN % Receita liquida geral</v>
      </c>
    </row>
    <row r="107" spans="1:6" x14ac:dyDescent="0.3">
      <c r="A107" t="s">
        <v>4</v>
      </c>
      <c r="B107" t="s">
        <v>63</v>
      </c>
      <c r="C107" s="39">
        <v>45292</v>
      </c>
      <c r="D107" s="40"/>
      <c r="E107" t="s">
        <v>8</v>
      </c>
      <c r="F107" t="str">
        <f t="shared" si="8"/>
        <v>HALL DESIGN % Receita liquida geral</v>
      </c>
    </row>
    <row r="108" spans="1:6" x14ac:dyDescent="0.3">
      <c r="A108" t="s">
        <v>4</v>
      </c>
      <c r="B108" t="s">
        <v>63</v>
      </c>
      <c r="C108" s="39">
        <v>45323</v>
      </c>
      <c r="D108" s="40"/>
      <c r="E108" t="s">
        <v>8</v>
      </c>
      <c r="F108" t="str">
        <f t="shared" si="8"/>
        <v>HALL DESIGN % Receita liquida geral</v>
      </c>
    </row>
    <row r="109" spans="1:6" x14ac:dyDescent="0.3">
      <c r="A109" t="s">
        <v>4</v>
      </c>
      <c r="B109" t="s">
        <v>63</v>
      </c>
      <c r="C109" s="39">
        <v>45352</v>
      </c>
      <c r="D109" s="40"/>
      <c r="E109" t="s">
        <v>8</v>
      </c>
      <c r="F109" t="str">
        <f t="shared" si="8"/>
        <v>HALL DESIGN % Receita liquida geral</v>
      </c>
    </row>
    <row r="110" spans="1:6" x14ac:dyDescent="0.3">
      <c r="A110" t="s">
        <v>4</v>
      </c>
      <c r="B110" t="s">
        <v>63</v>
      </c>
      <c r="C110" s="39">
        <v>45383</v>
      </c>
      <c r="D110" s="40"/>
      <c r="E110" t="s">
        <v>8</v>
      </c>
      <c r="F110" t="str">
        <f t="shared" si="8"/>
        <v>HALL DESIGN % Receita liquida geral</v>
      </c>
    </row>
    <row r="111" spans="1:6" x14ac:dyDescent="0.3">
      <c r="A111" t="s">
        <v>4</v>
      </c>
      <c r="B111" t="s">
        <v>63</v>
      </c>
      <c r="C111" s="39">
        <v>45413</v>
      </c>
      <c r="D111" s="40"/>
      <c r="E111" t="s">
        <v>8</v>
      </c>
      <c r="F111" t="str">
        <f t="shared" si="8"/>
        <v>HALL DESIGN % Receita liquida geral</v>
      </c>
    </row>
    <row r="112" spans="1:6" x14ac:dyDescent="0.3">
      <c r="A112" t="s">
        <v>4</v>
      </c>
      <c r="B112" t="s">
        <v>63</v>
      </c>
      <c r="C112" s="39">
        <v>45444</v>
      </c>
      <c r="D112" s="40"/>
      <c r="E112" t="s">
        <v>8</v>
      </c>
      <c r="F112" t="str">
        <f t="shared" si="8"/>
        <v>HALL DESIGN % Receita liquida geral</v>
      </c>
    </row>
    <row r="113" spans="1:6" x14ac:dyDescent="0.3">
      <c r="A113" t="s">
        <v>4</v>
      </c>
      <c r="B113" t="s">
        <v>63</v>
      </c>
      <c r="C113" s="39">
        <v>45474</v>
      </c>
      <c r="D113" s="40"/>
      <c r="E113" t="s">
        <v>8</v>
      </c>
      <c r="F113" t="str">
        <f t="shared" si="8"/>
        <v>HALL DESIGN % Receita liquida geral</v>
      </c>
    </row>
    <row r="114" spans="1:6" x14ac:dyDescent="0.3">
      <c r="A114" t="s">
        <v>4</v>
      </c>
      <c r="B114" t="s">
        <v>63</v>
      </c>
      <c r="C114" s="39">
        <v>45505</v>
      </c>
      <c r="D114" s="40"/>
      <c r="E114" t="s">
        <v>8</v>
      </c>
      <c r="F114" t="str">
        <f t="shared" si="8"/>
        <v>HALL DESIGN % Receita liquida geral</v>
      </c>
    </row>
    <row r="115" spans="1:6" x14ac:dyDescent="0.3">
      <c r="A115" t="s">
        <v>4</v>
      </c>
      <c r="B115" t="s">
        <v>63</v>
      </c>
      <c r="C115" s="39">
        <v>45536</v>
      </c>
      <c r="D115" s="40"/>
      <c r="E115" t="s">
        <v>8</v>
      </c>
      <c r="F115" t="str">
        <f t="shared" si="8"/>
        <v>HALL DESIGN % Receita liquida geral</v>
      </c>
    </row>
    <row r="116" spans="1:6" x14ac:dyDescent="0.3">
      <c r="A116" t="s">
        <v>4</v>
      </c>
      <c r="B116" t="s">
        <v>63</v>
      </c>
      <c r="C116" s="39">
        <v>45566</v>
      </c>
      <c r="D116" s="40"/>
      <c r="E116" t="s">
        <v>8</v>
      </c>
      <c r="F116" t="str">
        <f t="shared" si="8"/>
        <v>HALL DESIGN % Receita liquida geral</v>
      </c>
    </row>
    <row r="117" spans="1:6" x14ac:dyDescent="0.3">
      <c r="A117" t="s">
        <v>4</v>
      </c>
      <c r="B117" t="s">
        <v>63</v>
      </c>
      <c r="C117" s="39">
        <v>45597</v>
      </c>
      <c r="D117" s="40"/>
      <c r="E117" t="s">
        <v>8</v>
      </c>
      <c r="F117" t="str">
        <f t="shared" si="8"/>
        <v>HALL DESIGN % Receita liquida geral</v>
      </c>
    </row>
    <row r="118" spans="1:6" x14ac:dyDescent="0.3">
      <c r="A118" t="s">
        <v>4</v>
      </c>
      <c r="B118" t="s">
        <v>63</v>
      </c>
      <c r="C118" s="39">
        <v>45627</v>
      </c>
      <c r="D118" s="40"/>
      <c r="E118" t="s">
        <v>8</v>
      </c>
      <c r="F118" t="str">
        <f t="shared" si="8"/>
        <v>HALL DESIGN % Receita liquida geral</v>
      </c>
    </row>
    <row r="119" spans="1:6" x14ac:dyDescent="0.3">
      <c r="A119" t="s">
        <v>4</v>
      </c>
      <c r="B119" t="s">
        <v>63</v>
      </c>
      <c r="C119" s="39">
        <v>45658</v>
      </c>
      <c r="D119" s="40"/>
      <c r="E119" t="s">
        <v>8</v>
      </c>
      <c r="F119" t="str">
        <f t="shared" si="8"/>
        <v>HALL DESIGN % Receita liquida geral</v>
      </c>
    </row>
    <row r="120" spans="1:6" x14ac:dyDescent="0.3">
      <c r="A120" t="s">
        <v>4</v>
      </c>
      <c r="B120" t="s">
        <v>63</v>
      </c>
      <c r="C120" s="39">
        <v>45689</v>
      </c>
      <c r="D120" s="40"/>
      <c r="E120" t="s">
        <v>8</v>
      </c>
      <c r="F120" t="str">
        <f t="shared" si="8"/>
        <v>HALL DESIGN % Receita liquida geral</v>
      </c>
    </row>
    <row r="121" spans="1:6" x14ac:dyDescent="0.3">
      <c r="A121" t="s">
        <v>4</v>
      </c>
      <c r="B121" t="s">
        <v>63</v>
      </c>
      <c r="C121" s="39">
        <v>45717</v>
      </c>
      <c r="D121" s="40"/>
      <c r="E121" t="s">
        <v>8</v>
      </c>
      <c r="F121" t="str">
        <f t="shared" si="8"/>
        <v>HALL DESIGN % Receita liquida geral</v>
      </c>
    </row>
    <row r="122" spans="1:6" x14ac:dyDescent="0.3">
      <c r="A122" t="s">
        <v>4</v>
      </c>
      <c r="B122" t="s">
        <v>63</v>
      </c>
      <c r="C122" s="39">
        <v>45748</v>
      </c>
      <c r="D122" s="40"/>
      <c r="E122" t="s">
        <v>8</v>
      </c>
      <c r="F122" t="str">
        <f t="shared" si="8"/>
        <v>HALL DESIGN % Receita liquida geral</v>
      </c>
    </row>
    <row r="123" spans="1:6" x14ac:dyDescent="0.3">
      <c r="A123" t="s">
        <v>4</v>
      </c>
      <c r="B123" t="s">
        <v>63</v>
      </c>
      <c r="C123" s="39">
        <v>45778</v>
      </c>
      <c r="D123" s="40"/>
      <c r="E123" t="s">
        <v>8</v>
      </c>
      <c r="F123" t="str">
        <f t="shared" si="8"/>
        <v>HALL DESIGN % Receita liquida geral</v>
      </c>
    </row>
    <row r="124" spans="1:6" x14ac:dyDescent="0.3">
      <c r="A124" t="s">
        <v>4</v>
      </c>
      <c r="B124" t="s">
        <v>63</v>
      </c>
      <c r="C124" s="39">
        <v>45809</v>
      </c>
      <c r="D124" s="40"/>
      <c r="E124" t="s">
        <v>8</v>
      </c>
      <c r="F124" t="str">
        <f t="shared" si="8"/>
        <v>HALL DESIGN % Receita liquida geral</v>
      </c>
    </row>
    <row r="125" spans="1:6" x14ac:dyDescent="0.3">
      <c r="A125" t="s">
        <v>4</v>
      </c>
      <c r="B125" t="s">
        <v>63</v>
      </c>
      <c r="C125" s="39">
        <v>45839</v>
      </c>
      <c r="D125" s="40"/>
      <c r="E125" t="s">
        <v>8</v>
      </c>
      <c r="F125" t="str">
        <f t="shared" si="8"/>
        <v>HALL DESIGN % Receita liquida geral</v>
      </c>
    </row>
    <row r="126" spans="1:6" x14ac:dyDescent="0.3">
      <c r="A126" t="s">
        <v>4</v>
      </c>
      <c r="B126" t="s">
        <v>63</v>
      </c>
      <c r="C126" s="39">
        <v>45870</v>
      </c>
      <c r="D126" s="40"/>
      <c r="E126" t="s">
        <v>8</v>
      </c>
      <c r="F126" t="str">
        <f t="shared" si="8"/>
        <v>HALL DESIGN % Receita liquida geral</v>
      </c>
    </row>
    <row r="127" spans="1:6" x14ac:dyDescent="0.3">
      <c r="A127" t="s">
        <v>4</v>
      </c>
      <c r="B127" t="s">
        <v>63</v>
      </c>
      <c r="C127" s="39">
        <f>EDATE(C126,1)</f>
        <v>45901</v>
      </c>
      <c r="D127" s="40"/>
      <c r="E127" t="s">
        <v>1</v>
      </c>
      <c r="F127" t="str">
        <f t="shared" si="8"/>
        <v>HALL DESIGN % Receita liquida geral</v>
      </c>
    </row>
    <row r="128" spans="1:6" x14ac:dyDescent="0.3">
      <c r="A128" t="s">
        <v>4</v>
      </c>
      <c r="B128" t="s">
        <v>63</v>
      </c>
      <c r="C128" s="39">
        <f t="shared" ref="C128:C134" si="9">EDATE(C127,1)</f>
        <v>45931</v>
      </c>
      <c r="D128" s="40"/>
      <c r="E128" t="s">
        <v>1</v>
      </c>
      <c r="F128" t="str">
        <f t="shared" si="8"/>
        <v>HALL DESIGN % Receita liquida geral</v>
      </c>
    </row>
    <row r="129" spans="1:6" x14ac:dyDescent="0.3">
      <c r="A129" t="s">
        <v>4</v>
      </c>
      <c r="B129" t="s">
        <v>63</v>
      </c>
      <c r="C129" s="39">
        <f t="shared" si="9"/>
        <v>45962</v>
      </c>
      <c r="D129" s="40"/>
      <c r="E129" t="s">
        <v>1</v>
      </c>
      <c r="F129" t="str">
        <f t="shared" si="8"/>
        <v>HALL DESIGN % Receita liquida geral</v>
      </c>
    </row>
    <row r="130" spans="1:6" x14ac:dyDescent="0.3">
      <c r="A130" t="s">
        <v>4</v>
      </c>
      <c r="B130" t="s">
        <v>63</v>
      </c>
      <c r="C130" s="39">
        <f t="shared" si="9"/>
        <v>45992</v>
      </c>
      <c r="D130" s="40"/>
      <c r="E130" t="s">
        <v>1</v>
      </c>
      <c r="F130" t="str">
        <f t="shared" si="8"/>
        <v>HALL DESIGN % Receita liquida geral</v>
      </c>
    </row>
    <row r="131" spans="1:6" x14ac:dyDescent="0.3">
      <c r="A131" t="s">
        <v>4</v>
      </c>
      <c r="B131" t="s">
        <v>63</v>
      </c>
      <c r="C131" s="39">
        <f t="shared" si="9"/>
        <v>46023</v>
      </c>
      <c r="D131" s="40"/>
      <c r="E131" t="s">
        <v>1</v>
      </c>
      <c r="F131" t="str">
        <f t="shared" si="8"/>
        <v>HALL DESIGN % Receita liquida geral</v>
      </c>
    </row>
    <row r="132" spans="1:6" x14ac:dyDescent="0.3">
      <c r="A132" t="s">
        <v>4</v>
      </c>
      <c r="B132" t="s">
        <v>63</v>
      </c>
      <c r="C132" s="39">
        <f t="shared" si="9"/>
        <v>46054</v>
      </c>
      <c r="D132" s="40"/>
      <c r="E132" t="s">
        <v>1</v>
      </c>
      <c r="F132" t="str">
        <f t="shared" si="8"/>
        <v>HALL DESIGN % Receita liquida geral</v>
      </c>
    </row>
    <row r="133" spans="1:6" x14ac:dyDescent="0.3">
      <c r="A133" t="s">
        <v>4</v>
      </c>
      <c r="B133" t="s">
        <v>63</v>
      </c>
      <c r="C133" s="39">
        <f t="shared" si="9"/>
        <v>46082</v>
      </c>
      <c r="D133" s="40"/>
      <c r="E133" t="s">
        <v>1</v>
      </c>
      <c r="F133" t="str">
        <f t="shared" si="8"/>
        <v>HALL DESIGN % Receita liquida geral</v>
      </c>
    </row>
    <row r="134" spans="1:6" x14ac:dyDescent="0.3">
      <c r="A134" t="s">
        <v>4</v>
      </c>
      <c r="B134" t="s">
        <v>63</v>
      </c>
      <c r="C134" s="39">
        <f t="shared" si="9"/>
        <v>46113</v>
      </c>
      <c r="D134" s="40"/>
      <c r="E134" t="s">
        <v>1</v>
      </c>
      <c r="F134" t="str">
        <f t="shared" si="8"/>
        <v>HALL DESIGN % Receita liquida geral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648EA-C9CF-4199-AC21-3B599FE2C0B5}">
  <sheetPr codeName="Planilha4"/>
  <dimension ref="A1:V21"/>
  <sheetViews>
    <sheetView topLeftCell="K1" zoomScaleNormal="100" workbookViewId="0">
      <selection activeCell="U5" sqref="U5"/>
    </sheetView>
  </sheetViews>
  <sheetFormatPr defaultRowHeight="14.4" x14ac:dyDescent="0.3"/>
  <cols>
    <col min="1" max="1" width="32" customWidth="1"/>
    <col min="2" max="3" width="15" customWidth="1"/>
    <col min="4" max="4" width="15.5546875" customWidth="1"/>
    <col min="5" max="5" width="16.109375" customWidth="1"/>
    <col min="6" max="6" width="15" customWidth="1"/>
    <col min="7" max="7" width="15" bestFit="1" customWidth="1"/>
    <col min="8" max="8" width="15" customWidth="1"/>
    <col min="9" max="9" width="14.88671875" customWidth="1"/>
    <col min="10" max="10" width="15.5546875" customWidth="1"/>
    <col min="11" max="11" width="20.109375" customWidth="1"/>
    <col min="12" max="13" width="15.5546875" customWidth="1"/>
    <col min="14" max="14" width="25.88671875" customWidth="1"/>
    <col min="15" max="15" width="21.33203125" customWidth="1"/>
    <col min="16" max="16" width="15" customWidth="1"/>
    <col min="17" max="17" width="42.88671875" customWidth="1"/>
    <col min="18" max="18" width="15.88671875" customWidth="1"/>
    <col min="19" max="19" width="17.88671875" customWidth="1"/>
    <col min="20" max="20" width="15.44140625" customWidth="1"/>
    <col min="21" max="21" width="18.109375" customWidth="1"/>
    <col min="22" max="22" width="9" customWidth="1"/>
  </cols>
  <sheetData>
    <row r="1" spans="1:22" ht="27" customHeight="1" thickBot="1" x14ac:dyDescent="0.35">
      <c r="A1" s="1" t="s">
        <v>9</v>
      </c>
      <c r="B1" s="2" t="s">
        <v>169</v>
      </c>
      <c r="C1" s="2" t="s">
        <v>10</v>
      </c>
      <c r="D1" s="2" t="s">
        <v>61</v>
      </c>
      <c r="E1" s="2" t="s">
        <v>11</v>
      </c>
      <c r="F1" s="2" t="s">
        <v>56</v>
      </c>
      <c r="G1" s="2" t="s">
        <v>168</v>
      </c>
      <c r="H1" s="2" t="s">
        <v>66</v>
      </c>
      <c r="I1" s="2" t="s">
        <v>12</v>
      </c>
      <c r="J1" s="2" t="s">
        <v>62</v>
      </c>
      <c r="K1" s="2" t="s">
        <v>68</v>
      </c>
      <c r="L1" s="2" t="s">
        <v>13</v>
      </c>
      <c r="M1" s="2" t="s">
        <v>52</v>
      </c>
      <c r="N1" s="2" t="s">
        <v>69</v>
      </c>
      <c r="O1" s="2" t="s">
        <v>64</v>
      </c>
      <c r="P1" s="2" t="s">
        <v>65</v>
      </c>
      <c r="Q1" s="2" t="s">
        <v>14</v>
      </c>
      <c r="R1" s="2" t="s">
        <v>15</v>
      </c>
      <c r="S1" s="2" t="s">
        <v>16</v>
      </c>
      <c r="T1" s="2" t="s">
        <v>57</v>
      </c>
      <c r="U1" s="2" t="s">
        <v>17</v>
      </c>
      <c r="V1" s="3" t="s">
        <v>18</v>
      </c>
    </row>
    <row r="2" spans="1:22" x14ac:dyDescent="0.3">
      <c r="A2" s="4" t="s">
        <v>19</v>
      </c>
      <c r="B2" s="5">
        <v>44805</v>
      </c>
      <c r="C2" s="5">
        <f t="shared" ref="C2:C21" si="0">EDATE(B2,D2)-1</f>
        <v>45777</v>
      </c>
      <c r="D2" s="6">
        <v>32</v>
      </c>
      <c r="E2" s="5">
        <v>45777</v>
      </c>
      <c r="F2" s="13">
        <f>EDATE(B2,K2)-1</f>
        <v>45777</v>
      </c>
      <c r="G2" s="5">
        <v>45716</v>
      </c>
      <c r="H2" s="14"/>
      <c r="I2" s="5">
        <v>45807</v>
      </c>
      <c r="J2" s="6">
        <v>32</v>
      </c>
      <c r="K2" s="47">
        <v>32</v>
      </c>
      <c r="L2" s="6">
        <f>K2-J2</f>
        <v>0</v>
      </c>
      <c r="M2" s="6">
        <f>L2*30</f>
        <v>0</v>
      </c>
      <c r="N2" s="48"/>
      <c r="O2" s="5"/>
      <c r="P2" s="5"/>
      <c r="Q2" s="7" t="s">
        <v>20</v>
      </c>
      <c r="R2" s="8">
        <v>3.3E-4</v>
      </c>
      <c r="S2" s="9">
        <v>40300000</v>
      </c>
      <c r="T2" s="9"/>
      <c r="U2" s="10">
        <f>L2*30*R2*S2</f>
        <v>0</v>
      </c>
      <c r="V2" s="11">
        <f>U2/S2</f>
        <v>0</v>
      </c>
    </row>
    <row r="3" spans="1:22" x14ac:dyDescent="0.3">
      <c r="A3" s="87" t="s">
        <v>170</v>
      </c>
      <c r="B3" s="45">
        <v>44166</v>
      </c>
      <c r="C3" s="45">
        <f t="shared" si="0"/>
        <v>45230</v>
      </c>
      <c r="D3" s="44">
        <v>35</v>
      </c>
      <c r="E3" s="45" t="s">
        <v>171</v>
      </c>
      <c r="F3" s="13">
        <v>45535</v>
      </c>
      <c r="G3" s="45">
        <v>45473</v>
      </c>
      <c r="H3" s="14">
        <v>3</v>
      </c>
      <c r="I3" s="45">
        <v>45322</v>
      </c>
      <c r="J3" s="44">
        <v>35</v>
      </c>
      <c r="K3" s="88">
        <v>38</v>
      </c>
      <c r="L3" s="44">
        <f>K3-J3</f>
        <v>3</v>
      </c>
      <c r="M3" s="14">
        <f t="shared" ref="M3:M15" si="1">L3*30</f>
        <v>90</v>
      </c>
      <c r="N3" s="48"/>
      <c r="O3" s="45"/>
      <c r="P3" s="45"/>
      <c r="Q3" s="89"/>
      <c r="R3" s="90"/>
      <c r="S3" s="91"/>
      <c r="T3" s="91"/>
      <c r="U3" s="92"/>
      <c r="V3" s="93"/>
    </row>
    <row r="4" spans="1:22" x14ac:dyDescent="0.3">
      <c r="A4" s="12" t="s">
        <v>21</v>
      </c>
      <c r="B4" s="13">
        <v>45187</v>
      </c>
      <c r="C4" s="13">
        <f t="shared" si="0"/>
        <v>45794</v>
      </c>
      <c r="D4" s="14">
        <v>20</v>
      </c>
      <c r="E4" s="13">
        <v>45838</v>
      </c>
      <c r="F4" s="13">
        <f t="shared" ref="F4:F21" si="2">EDATE(B4,K4)-1</f>
        <v>45855</v>
      </c>
      <c r="G4" s="13">
        <v>45869</v>
      </c>
      <c r="H4" s="14"/>
      <c r="I4" s="13">
        <v>45856</v>
      </c>
      <c r="J4" s="14">
        <v>20</v>
      </c>
      <c r="K4" s="48">
        <v>22</v>
      </c>
      <c r="L4" s="14">
        <v>2</v>
      </c>
      <c r="M4" s="14">
        <f t="shared" si="1"/>
        <v>60</v>
      </c>
      <c r="N4" s="48"/>
      <c r="O4" s="13"/>
      <c r="P4" s="13"/>
      <c r="Q4" s="15" t="s">
        <v>22</v>
      </c>
      <c r="R4" s="16" t="s">
        <v>22</v>
      </c>
      <c r="S4" s="17">
        <v>18661553.530000001</v>
      </c>
      <c r="T4" s="17"/>
      <c r="U4" s="16" t="s">
        <v>22</v>
      </c>
      <c r="V4" s="18" t="s">
        <v>22</v>
      </c>
    </row>
    <row r="5" spans="1:22" x14ac:dyDescent="0.3">
      <c r="A5" s="12" t="s">
        <v>90</v>
      </c>
      <c r="B5" s="13">
        <v>45170</v>
      </c>
      <c r="C5" s="13">
        <f t="shared" si="0"/>
        <v>45900</v>
      </c>
      <c r="D5" s="14">
        <v>24</v>
      </c>
      <c r="E5" s="13">
        <v>45960</v>
      </c>
      <c r="F5" s="13">
        <f t="shared" si="2"/>
        <v>45991</v>
      </c>
      <c r="G5" s="13">
        <v>46053</v>
      </c>
      <c r="H5" s="14"/>
      <c r="I5" s="13">
        <v>46022</v>
      </c>
      <c r="J5" s="14">
        <v>25.5</v>
      </c>
      <c r="K5" s="48">
        <v>27</v>
      </c>
      <c r="L5" s="14">
        <f>K5-J5</f>
        <v>1.5</v>
      </c>
      <c r="M5" s="14">
        <f t="shared" si="1"/>
        <v>45</v>
      </c>
      <c r="N5" s="48"/>
      <c r="O5" s="13"/>
      <c r="P5" s="13"/>
      <c r="Q5" s="15" t="s">
        <v>23</v>
      </c>
      <c r="R5" s="19">
        <v>3.3E-4</v>
      </c>
      <c r="S5" s="17">
        <v>27799452.190000001</v>
      </c>
      <c r="T5" s="17"/>
      <c r="U5" s="20">
        <f>-L5*30*R5*S5</f>
        <v>-412821.86502150004</v>
      </c>
      <c r="V5" s="21">
        <f>U5/S5</f>
        <v>-1.485E-2</v>
      </c>
    </row>
    <row r="6" spans="1:22" x14ac:dyDescent="0.3">
      <c r="A6" s="12" t="s">
        <v>3</v>
      </c>
      <c r="B6" s="13">
        <v>45301</v>
      </c>
      <c r="C6" s="13">
        <f t="shared" si="0"/>
        <v>46577</v>
      </c>
      <c r="D6" s="14">
        <v>42</v>
      </c>
      <c r="E6" s="13">
        <v>46566</v>
      </c>
      <c r="F6" s="13">
        <f t="shared" si="2"/>
        <v>46577</v>
      </c>
      <c r="G6" s="13">
        <v>46691</v>
      </c>
      <c r="H6" s="14">
        <v>3</v>
      </c>
      <c r="I6" s="13">
        <v>46566</v>
      </c>
      <c r="J6" s="14">
        <v>45</v>
      </c>
      <c r="K6" s="48">
        <v>42</v>
      </c>
      <c r="L6" s="14">
        <v>0</v>
      </c>
      <c r="M6" s="14">
        <f t="shared" si="1"/>
        <v>0</v>
      </c>
      <c r="N6" s="48"/>
      <c r="O6" s="13"/>
      <c r="P6" s="13"/>
      <c r="Q6" s="15" t="s">
        <v>24</v>
      </c>
      <c r="R6" s="19">
        <v>3.3E-4</v>
      </c>
      <c r="S6" s="17">
        <v>12000000</v>
      </c>
      <c r="T6" s="17"/>
      <c r="U6" s="20">
        <f>L6*30*R6*S6</f>
        <v>0</v>
      </c>
      <c r="V6" s="21">
        <f t="shared" ref="V6:V14" si="3">U6/S6</f>
        <v>0</v>
      </c>
    </row>
    <row r="7" spans="1:22" x14ac:dyDescent="0.3">
      <c r="A7" s="12" t="s">
        <v>25</v>
      </c>
      <c r="B7" s="13">
        <v>44470</v>
      </c>
      <c r="C7" s="13">
        <f t="shared" si="0"/>
        <v>45322</v>
      </c>
      <c r="D7" s="14">
        <v>28</v>
      </c>
      <c r="E7" s="13">
        <v>45381</v>
      </c>
      <c r="F7" s="13">
        <f t="shared" si="2"/>
        <v>45504</v>
      </c>
      <c r="G7" s="13">
        <v>45504</v>
      </c>
      <c r="H7" s="14"/>
      <c r="I7" s="13">
        <v>45504</v>
      </c>
      <c r="J7" s="14">
        <v>28</v>
      </c>
      <c r="K7" s="48">
        <v>34</v>
      </c>
      <c r="L7" s="14">
        <f t="shared" ref="L7:L15" si="4">K7-J7</f>
        <v>6</v>
      </c>
      <c r="M7" s="14">
        <f t="shared" si="1"/>
        <v>180</v>
      </c>
      <c r="N7" s="48"/>
      <c r="O7" s="13"/>
      <c r="P7" s="13"/>
      <c r="Q7" s="15" t="s">
        <v>26</v>
      </c>
      <c r="R7" s="19">
        <v>3.3E-4</v>
      </c>
      <c r="S7" s="17">
        <f>35586462.12-(35586462.12*(8%+1.5%))</f>
        <v>32205748.218599997</v>
      </c>
      <c r="T7" s="17"/>
      <c r="U7" s="20">
        <f>IF(L7*30&gt;181,(L7*30-181)*R7*S7,0)</f>
        <v>0</v>
      </c>
      <c r="V7" s="21">
        <f t="shared" si="3"/>
        <v>0</v>
      </c>
    </row>
    <row r="8" spans="1:22" x14ac:dyDescent="0.3">
      <c r="A8" s="12" t="s">
        <v>27</v>
      </c>
      <c r="B8" s="13">
        <v>44682</v>
      </c>
      <c r="C8" s="13">
        <f t="shared" si="0"/>
        <v>45504</v>
      </c>
      <c r="D8" s="14">
        <v>27</v>
      </c>
      <c r="E8" s="13">
        <v>45595</v>
      </c>
      <c r="F8" s="13">
        <f t="shared" si="2"/>
        <v>45596</v>
      </c>
      <c r="G8" s="13">
        <v>45687</v>
      </c>
      <c r="H8" s="14"/>
      <c r="I8" s="13">
        <v>45595</v>
      </c>
      <c r="J8" s="14">
        <v>27</v>
      </c>
      <c r="K8" s="48">
        <v>30</v>
      </c>
      <c r="L8" s="14">
        <f t="shared" si="4"/>
        <v>3</v>
      </c>
      <c r="M8" s="14">
        <f t="shared" si="1"/>
        <v>90</v>
      </c>
      <c r="N8" s="48"/>
      <c r="O8" s="13"/>
      <c r="P8" s="13"/>
      <c r="Q8" s="15" t="s">
        <v>26</v>
      </c>
      <c r="R8" s="19">
        <v>3.3E-4</v>
      </c>
      <c r="S8" s="17">
        <f>56805766.41-(56805766.41*(8%+1.5%))</f>
        <v>51409218.601049997</v>
      </c>
      <c r="T8" s="17"/>
      <c r="U8" s="20">
        <f>IF(L8*30&gt;181,(L8*30-181)*R8*S8,0)</f>
        <v>0</v>
      </c>
      <c r="V8" s="21">
        <f t="shared" si="3"/>
        <v>0</v>
      </c>
    </row>
    <row r="9" spans="1:22" x14ac:dyDescent="0.3">
      <c r="A9" s="12" t="s">
        <v>28</v>
      </c>
      <c r="B9" s="13">
        <v>44621</v>
      </c>
      <c r="C9" s="13">
        <f t="shared" si="0"/>
        <v>45412</v>
      </c>
      <c r="D9" s="14">
        <v>26</v>
      </c>
      <c r="E9" s="13">
        <v>45504</v>
      </c>
      <c r="F9" s="13">
        <f t="shared" si="2"/>
        <v>45657</v>
      </c>
      <c r="G9" s="13">
        <v>45687</v>
      </c>
      <c r="H9" s="14">
        <v>2</v>
      </c>
      <c r="I9" s="13">
        <f t="shared" ref="I9:I21" si="5">EDATE(E9,H9)</f>
        <v>45565</v>
      </c>
      <c r="J9" s="14">
        <v>26</v>
      </c>
      <c r="K9" s="48">
        <v>34</v>
      </c>
      <c r="L9" s="14">
        <f t="shared" si="4"/>
        <v>8</v>
      </c>
      <c r="M9" s="14">
        <f t="shared" si="1"/>
        <v>240</v>
      </c>
      <c r="N9" s="48"/>
      <c r="O9" s="13"/>
      <c r="P9" s="13"/>
      <c r="Q9" s="15" t="s">
        <v>26</v>
      </c>
      <c r="R9" s="19">
        <v>3.3E-4</v>
      </c>
      <c r="S9" s="17">
        <f>38866880.92-(38866880.92*(8%+1.5%))</f>
        <v>35174527.232600003</v>
      </c>
      <c r="T9" s="17"/>
      <c r="U9" s="20">
        <f>-IF(L9*30&gt;181,(L9*30-181)*R9*S9,0)</f>
        <v>-684848.04521872208</v>
      </c>
      <c r="V9" s="21">
        <f t="shared" si="3"/>
        <v>-1.9470000000000001E-2</v>
      </c>
    </row>
    <row r="10" spans="1:22" x14ac:dyDescent="0.3">
      <c r="A10" s="12" t="s">
        <v>29</v>
      </c>
      <c r="B10" s="13">
        <v>45139</v>
      </c>
      <c r="C10" s="13">
        <f t="shared" si="0"/>
        <v>45504</v>
      </c>
      <c r="D10" s="14">
        <v>12</v>
      </c>
      <c r="E10" s="13">
        <v>45504</v>
      </c>
      <c r="F10" s="13">
        <f t="shared" si="2"/>
        <v>45657</v>
      </c>
      <c r="G10" s="13">
        <v>45687</v>
      </c>
      <c r="H10" s="14">
        <v>3</v>
      </c>
      <c r="I10" s="13">
        <f t="shared" si="5"/>
        <v>45596</v>
      </c>
      <c r="J10" s="14">
        <v>12</v>
      </c>
      <c r="K10" s="48">
        <f>J10+5</f>
        <v>17</v>
      </c>
      <c r="L10" s="14">
        <f t="shared" si="4"/>
        <v>5</v>
      </c>
      <c r="M10" s="14">
        <f t="shared" si="1"/>
        <v>150</v>
      </c>
      <c r="N10" s="48"/>
      <c r="O10" s="13"/>
      <c r="P10" s="13"/>
      <c r="Q10" s="15" t="s">
        <v>26</v>
      </c>
      <c r="R10" s="19">
        <v>3.3E-4</v>
      </c>
      <c r="S10" s="17">
        <f>7702516.71-(7702516.71*(8.21307082165992%+1.5%))</f>
        <v>6954365.8069075104</v>
      </c>
      <c r="T10" s="17"/>
      <c r="U10" s="20">
        <f>IF(L10*30&gt;181,(L10*30-181)*R10*S10,0)</f>
        <v>0</v>
      </c>
      <c r="V10" s="21">
        <f t="shared" si="3"/>
        <v>0</v>
      </c>
    </row>
    <row r="11" spans="1:22" x14ac:dyDescent="0.3">
      <c r="A11" s="12" t="s">
        <v>30</v>
      </c>
      <c r="B11" s="13">
        <v>44805</v>
      </c>
      <c r="C11" s="13">
        <f t="shared" si="0"/>
        <v>45747</v>
      </c>
      <c r="D11" s="14">
        <v>31</v>
      </c>
      <c r="E11" s="13">
        <v>45808</v>
      </c>
      <c r="F11" s="13">
        <f t="shared" si="2"/>
        <v>45930</v>
      </c>
      <c r="G11" s="13">
        <v>45991</v>
      </c>
      <c r="H11" s="14">
        <v>2</v>
      </c>
      <c r="I11" s="13">
        <f t="shared" si="5"/>
        <v>45869</v>
      </c>
      <c r="J11" s="14">
        <v>31</v>
      </c>
      <c r="K11" s="48">
        <v>37</v>
      </c>
      <c r="L11" s="14">
        <f t="shared" si="4"/>
        <v>6</v>
      </c>
      <c r="M11" s="14">
        <f t="shared" si="1"/>
        <v>180</v>
      </c>
      <c r="N11" s="48"/>
      <c r="O11" s="13"/>
      <c r="P11" s="13"/>
      <c r="Q11" s="15" t="s">
        <v>26</v>
      </c>
      <c r="R11" s="19">
        <v>3.3E-4</v>
      </c>
      <c r="S11" s="17">
        <f>92100480.78-(92100480.78*(9%+1.5%))</f>
        <v>82429930.298099995</v>
      </c>
      <c r="T11" s="17"/>
      <c r="U11" s="20">
        <f>IF(L11*30&gt;181,(L11*30-181)*R11*S11,0)</f>
        <v>0</v>
      </c>
      <c r="V11" s="21">
        <f t="shared" si="3"/>
        <v>0</v>
      </c>
    </row>
    <row r="12" spans="1:22" x14ac:dyDescent="0.3">
      <c r="A12" s="12" t="s">
        <v>31</v>
      </c>
      <c r="B12" s="13">
        <v>45047</v>
      </c>
      <c r="C12" s="13">
        <f t="shared" si="0"/>
        <v>46081</v>
      </c>
      <c r="D12" s="14">
        <v>34</v>
      </c>
      <c r="E12" s="13">
        <f>C12</f>
        <v>46081</v>
      </c>
      <c r="F12" s="13">
        <f t="shared" si="2"/>
        <v>46081</v>
      </c>
      <c r="G12" s="13">
        <v>46387</v>
      </c>
      <c r="H12" s="14">
        <v>3</v>
      </c>
      <c r="I12" s="13">
        <f t="shared" si="5"/>
        <v>46170</v>
      </c>
      <c r="J12" s="14">
        <v>34</v>
      </c>
      <c r="K12" s="48">
        <v>34</v>
      </c>
      <c r="L12" s="14">
        <f t="shared" si="4"/>
        <v>0</v>
      </c>
      <c r="M12" s="14">
        <f t="shared" si="1"/>
        <v>0</v>
      </c>
      <c r="N12" s="48"/>
      <c r="O12" s="13"/>
      <c r="P12" s="13"/>
      <c r="Q12" s="15" t="s">
        <v>26</v>
      </c>
      <c r="R12" s="19">
        <v>3.3E-4</v>
      </c>
      <c r="S12" s="17">
        <f>124592079.07-(124592079.07*(8%+1.5%))</f>
        <v>112755831.55835</v>
      </c>
      <c r="T12" s="17"/>
      <c r="U12" s="20">
        <f>IF(L12*30&gt;181,(L12*30-181)*R12*S12,0)</f>
        <v>0</v>
      </c>
      <c r="V12" s="21">
        <f t="shared" si="3"/>
        <v>0</v>
      </c>
    </row>
    <row r="13" spans="1:22" x14ac:dyDescent="0.3">
      <c r="A13" s="12" t="s">
        <v>32</v>
      </c>
      <c r="B13" s="13">
        <v>45413</v>
      </c>
      <c r="C13" s="13">
        <f t="shared" si="0"/>
        <v>46507</v>
      </c>
      <c r="D13" s="14">
        <v>36</v>
      </c>
      <c r="E13" s="13">
        <f>C13</f>
        <v>46507</v>
      </c>
      <c r="F13" s="13">
        <f t="shared" si="2"/>
        <v>46507</v>
      </c>
      <c r="G13" s="13">
        <v>46660</v>
      </c>
      <c r="H13" s="14">
        <v>3</v>
      </c>
      <c r="I13" s="13">
        <f t="shared" si="5"/>
        <v>46598</v>
      </c>
      <c r="J13" s="14">
        <v>36</v>
      </c>
      <c r="K13" s="48">
        <v>36</v>
      </c>
      <c r="L13" s="14">
        <f t="shared" si="4"/>
        <v>0</v>
      </c>
      <c r="M13" s="14">
        <f t="shared" si="1"/>
        <v>0</v>
      </c>
      <c r="N13" s="48"/>
      <c r="O13" s="43"/>
      <c r="P13" s="13"/>
      <c r="Q13" s="15" t="s">
        <v>26</v>
      </c>
      <c r="R13" s="19">
        <v>3.3E-4</v>
      </c>
      <c r="S13" s="17">
        <v>65573854.114900015</v>
      </c>
      <c r="T13" s="17"/>
      <c r="U13" s="20">
        <f>IF(L13*30&gt;181,(L13*30-181)*R13*S13,0)</f>
        <v>0</v>
      </c>
      <c r="V13" s="21">
        <f t="shared" si="3"/>
        <v>0</v>
      </c>
    </row>
    <row r="14" spans="1:22" x14ac:dyDescent="0.3">
      <c r="A14" s="12" t="s">
        <v>33</v>
      </c>
      <c r="B14" s="13">
        <v>45444</v>
      </c>
      <c r="C14" s="13">
        <f t="shared" si="0"/>
        <v>46173</v>
      </c>
      <c r="D14" s="14">
        <v>24</v>
      </c>
      <c r="E14" s="13">
        <f>C14</f>
        <v>46173</v>
      </c>
      <c r="F14" s="13">
        <f t="shared" si="2"/>
        <v>46173</v>
      </c>
      <c r="G14" s="13">
        <v>46325</v>
      </c>
      <c r="H14" s="14">
        <v>3</v>
      </c>
      <c r="I14" s="13">
        <f t="shared" si="5"/>
        <v>46265</v>
      </c>
      <c r="J14" s="14">
        <v>24</v>
      </c>
      <c r="K14" s="48">
        <v>24</v>
      </c>
      <c r="L14" s="14">
        <f t="shared" si="4"/>
        <v>0</v>
      </c>
      <c r="M14" s="14">
        <f t="shared" si="1"/>
        <v>0</v>
      </c>
      <c r="N14" s="48"/>
      <c r="O14" s="13"/>
      <c r="P14" s="13"/>
      <c r="Q14" s="15" t="s">
        <v>26</v>
      </c>
      <c r="R14" s="19">
        <v>3.3E-4</v>
      </c>
      <c r="S14" s="17">
        <v>21768595.187699985</v>
      </c>
      <c r="T14" s="17"/>
      <c r="U14" s="20">
        <f>IF(L14*30&gt;181,(L14*30-181)*R14*S14,0)</f>
        <v>0</v>
      </c>
      <c r="V14" s="21">
        <f t="shared" si="3"/>
        <v>0</v>
      </c>
    </row>
    <row r="15" spans="1:22" x14ac:dyDescent="0.3">
      <c r="A15" s="12" t="s">
        <v>34</v>
      </c>
      <c r="B15" s="13">
        <v>45413</v>
      </c>
      <c r="C15" s="13">
        <f t="shared" si="0"/>
        <v>45535</v>
      </c>
      <c r="D15" s="14">
        <v>4</v>
      </c>
      <c r="E15" s="13">
        <v>45534</v>
      </c>
      <c r="F15" s="13">
        <f t="shared" si="2"/>
        <v>45900</v>
      </c>
      <c r="G15" s="13">
        <v>45534</v>
      </c>
      <c r="H15" s="14"/>
      <c r="I15" s="13">
        <f t="shared" si="5"/>
        <v>45534</v>
      </c>
      <c r="J15" s="14">
        <v>16</v>
      </c>
      <c r="K15" s="48">
        <v>16</v>
      </c>
      <c r="L15" s="14">
        <f t="shared" si="4"/>
        <v>0</v>
      </c>
      <c r="M15" s="14">
        <f t="shared" si="1"/>
        <v>0</v>
      </c>
      <c r="N15" s="48"/>
      <c r="O15" s="13"/>
      <c r="P15" s="13"/>
      <c r="Q15" s="15" t="s">
        <v>22</v>
      </c>
      <c r="R15" s="16" t="s">
        <v>22</v>
      </c>
      <c r="S15" s="17">
        <f>33039908.6100987</f>
        <v>33039908.610098701</v>
      </c>
      <c r="T15" s="17"/>
      <c r="U15" s="16" t="s">
        <v>22</v>
      </c>
      <c r="V15" s="18" t="s">
        <v>22</v>
      </c>
    </row>
    <row r="16" spans="1:22" x14ac:dyDescent="0.3">
      <c r="A16" s="12" t="s">
        <v>35</v>
      </c>
      <c r="B16" s="13">
        <v>45444</v>
      </c>
      <c r="C16" s="13">
        <f t="shared" si="0"/>
        <v>45688</v>
      </c>
      <c r="D16" s="14">
        <v>8</v>
      </c>
      <c r="E16" s="13">
        <f t="shared" ref="E16:E21" si="6">C16</f>
        <v>45688</v>
      </c>
      <c r="F16" s="13">
        <f t="shared" si="2"/>
        <v>45688</v>
      </c>
      <c r="G16" s="13"/>
      <c r="H16" s="14"/>
      <c r="I16" s="13">
        <f t="shared" si="5"/>
        <v>45688</v>
      </c>
      <c r="J16" s="14"/>
      <c r="K16" s="48">
        <v>8</v>
      </c>
      <c r="L16" s="14">
        <f t="shared" ref="L16" si="7">K16-J16</f>
        <v>8</v>
      </c>
      <c r="M16" s="14">
        <f t="shared" ref="M16:M21" si="8">L16*30</f>
        <v>240</v>
      </c>
      <c r="N16" s="48"/>
      <c r="O16" s="13"/>
      <c r="P16" s="13"/>
      <c r="Q16" s="16"/>
      <c r="R16" s="19"/>
      <c r="S16" s="17"/>
      <c r="T16" s="17"/>
      <c r="U16" s="20"/>
      <c r="V16" s="21"/>
    </row>
    <row r="17" spans="1:22" x14ac:dyDescent="0.3">
      <c r="A17" s="12" t="s">
        <v>36</v>
      </c>
      <c r="B17" s="13">
        <v>45444</v>
      </c>
      <c r="C17" s="13">
        <f t="shared" si="0"/>
        <v>46477</v>
      </c>
      <c r="D17" s="14">
        <v>34</v>
      </c>
      <c r="E17" s="13">
        <f t="shared" si="6"/>
        <v>46477</v>
      </c>
      <c r="F17" s="13">
        <f t="shared" si="2"/>
        <v>46446</v>
      </c>
      <c r="G17" s="13"/>
      <c r="H17" s="14">
        <v>3</v>
      </c>
      <c r="I17" s="13">
        <f t="shared" si="5"/>
        <v>46568</v>
      </c>
      <c r="J17" s="14"/>
      <c r="K17" s="48">
        <v>33</v>
      </c>
      <c r="L17" s="14">
        <v>34</v>
      </c>
      <c r="M17" s="14">
        <f t="shared" si="8"/>
        <v>1020</v>
      </c>
      <c r="N17" s="48"/>
      <c r="O17" s="13"/>
      <c r="P17" s="13"/>
      <c r="Q17" s="16"/>
      <c r="R17" s="19"/>
      <c r="S17" s="17"/>
      <c r="T17" s="17"/>
      <c r="U17" s="20"/>
      <c r="V17" s="21"/>
    </row>
    <row r="18" spans="1:22" x14ac:dyDescent="0.3">
      <c r="A18" s="12" t="s">
        <v>37</v>
      </c>
      <c r="B18" s="13">
        <v>45536</v>
      </c>
      <c r="C18" s="13">
        <f t="shared" si="0"/>
        <v>46477</v>
      </c>
      <c r="D18" s="14">
        <v>31</v>
      </c>
      <c r="E18" s="13">
        <f t="shared" si="6"/>
        <v>46477</v>
      </c>
      <c r="F18" s="13">
        <f t="shared" si="2"/>
        <v>46418</v>
      </c>
      <c r="G18" s="13"/>
      <c r="H18" s="14"/>
      <c r="I18" s="13">
        <f t="shared" si="5"/>
        <v>46477</v>
      </c>
      <c r="J18" s="14"/>
      <c r="K18" s="48">
        <v>29</v>
      </c>
      <c r="L18" s="14">
        <v>32</v>
      </c>
      <c r="M18" s="14">
        <f t="shared" si="8"/>
        <v>960</v>
      </c>
      <c r="N18" s="48"/>
      <c r="O18" s="13"/>
      <c r="P18" s="13"/>
      <c r="Q18" s="16"/>
      <c r="R18" s="19"/>
      <c r="S18" s="17"/>
      <c r="T18" s="17"/>
      <c r="U18" s="20"/>
      <c r="V18" s="21"/>
    </row>
    <row r="19" spans="1:22" x14ac:dyDescent="0.3">
      <c r="A19" s="12" t="s">
        <v>38</v>
      </c>
      <c r="B19" s="13">
        <v>45536</v>
      </c>
      <c r="C19" s="13">
        <f t="shared" si="0"/>
        <v>46265</v>
      </c>
      <c r="D19" s="14">
        <v>24</v>
      </c>
      <c r="E19" s="13">
        <f t="shared" si="6"/>
        <v>46265</v>
      </c>
      <c r="F19" s="13">
        <f t="shared" si="2"/>
        <v>46265</v>
      </c>
      <c r="G19" s="13"/>
      <c r="H19" s="14">
        <v>3</v>
      </c>
      <c r="I19" s="13">
        <f t="shared" si="5"/>
        <v>46356</v>
      </c>
      <c r="J19" s="14"/>
      <c r="K19" s="48">
        <v>24</v>
      </c>
      <c r="L19" s="14">
        <v>24</v>
      </c>
      <c r="M19" s="14">
        <f t="shared" si="8"/>
        <v>720</v>
      </c>
      <c r="N19" s="48"/>
      <c r="O19" s="13"/>
      <c r="P19" s="13"/>
      <c r="Q19" s="16"/>
      <c r="R19" s="19"/>
      <c r="S19" s="17"/>
      <c r="T19" s="17"/>
      <c r="U19" s="20"/>
      <c r="V19" s="21"/>
    </row>
    <row r="20" spans="1:22" x14ac:dyDescent="0.3">
      <c r="A20" s="12" t="s">
        <v>39</v>
      </c>
      <c r="B20" s="13">
        <v>45627</v>
      </c>
      <c r="C20" s="13">
        <f t="shared" si="0"/>
        <v>45991</v>
      </c>
      <c r="D20" s="14">
        <v>12</v>
      </c>
      <c r="E20" s="13">
        <f t="shared" si="6"/>
        <v>45991</v>
      </c>
      <c r="F20" s="13">
        <f t="shared" si="2"/>
        <v>45991</v>
      </c>
      <c r="G20" s="13"/>
      <c r="H20" s="14"/>
      <c r="I20" s="13">
        <f t="shared" si="5"/>
        <v>45991</v>
      </c>
      <c r="J20" s="14"/>
      <c r="K20" s="48">
        <v>12</v>
      </c>
      <c r="L20" s="14">
        <v>12</v>
      </c>
      <c r="M20" s="14">
        <f t="shared" si="8"/>
        <v>360</v>
      </c>
      <c r="N20" s="48"/>
      <c r="O20" s="13"/>
      <c r="P20" s="13"/>
      <c r="Q20" s="16"/>
      <c r="R20" s="19"/>
      <c r="S20" s="17"/>
      <c r="T20" s="17"/>
      <c r="U20" s="20"/>
      <c r="V20" s="21"/>
    </row>
    <row r="21" spans="1:22" ht="15" thickBot="1" x14ac:dyDescent="0.35">
      <c r="A21" s="22" t="s">
        <v>40</v>
      </c>
      <c r="B21" s="23">
        <v>45627</v>
      </c>
      <c r="C21" s="23">
        <f t="shared" si="0"/>
        <v>46053</v>
      </c>
      <c r="D21" s="46">
        <v>14</v>
      </c>
      <c r="E21" s="23">
        <f t="shared" si="6"/>
        <v>46053</v>
      </c>
      <c r="F21" s="23">
        <f t="shared" si="2"/>
        <v>46356</v>
      </c>
      <c r="G21" s="23"/>
      <c r="H21" s="23"/>
      <c r="I21" s="23">
        <f t="shared" si="5"/>
        <v>46053</v>
      </c>
      <c r="J21" s="23"/>
      <c r="K21" s="49">
        <v>24</v>
      </c>
      <c r="L21" s="46">
        <v>14</v>
      </c>
      <c r="M21" s="46">
        <f t="shared" si="8"/>
        <v>420</v>
      </c>
      <c r="N21" s="49"/>
      <c r="O21" s="23"/>
      <c r="P21" s="23"/>
      <c r="Q21" s="24"/>
      <c r="R21" s="25"/>
      <c r="S21" s="26"/>
      <c r="T21" s="26"/>
      <c r="U21" s="27"/>
      <c r="V21" s="28"/>
    </row>
  </sheetData>
  <autoFilter ref="A1:V21" xr:uid="{33CAF822-3328-4366-8D56-AAC829B41FCE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7408C-B23C-4D48-83D1-CB6301E525D5}">
  <sheetPr codeName="Planilha5"/>
  <dimension ref="A1:K21"/>
  <sheetViews>
    <sheetView zoomScale="85" zoomScaleNormal="85" workbookViewId="0">
      <selection activeCell="G2" sqref="G2"/>
    </sheetView>
  </sheetViews>
  <sheetFormatPr defaultRowHeight="18.75" customHeight="1" x14ac:dyDescent="0.3"/>
  <cols>
    <col min="1" max="2" width="36.44140625" customWidth="1"/>
    <col min="3" max="6" width="27.88671875" customWidth="1"/>
    <col min="7" max="8" width="36.44140625" customWidth="1"/>
    <col min="9" max="9" width="24.5546875" customWidth="1"/>
    <col min="10" max="10" width="26" customWidth="1"/>
    <col min="11" max="11" width="255.6640625" bestFit="1" customWidth="1"/>
  </cols>
  <sheetData>
    <row r="1" spans="1:11" ht="18.75" customHeight="1" thickBot="1" x14ac:dyDescent="0.35">
      <c r="A1" s="1" t="s">
        <v>9</v>
      </c>
      <c r="B1" s="53" t="s">
        <v>71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67</v>
      </c>
      <c r="H1" s="2" t="s">
        <v>50</v>
      </c>
      <c r="I1" s="2" t="s">
        <v>51</v>
      </c>
      <c r="J1" s="3" t="s">
        <v>53</v>
      </c>
      <c r="K1" s="2" t="s">
        <v>14</v>
      </c>
    </row>
    <row r="2" spans="1:11" ht="18.75" customHeight="1" x14ac:dyDescent="0.3">
      <c r="A2" s="97" t="s">
        <v>19</v>
      </c>
      <c r="B2" s="101" t="s">
        <v>70</v>
      </c>
      <c r="C2" s="9">
        <v>40300000</v>
      </c>
      <c r="D2" s="50">
        <v>45552139.210544705</v>
      </c>
      <c r="E2" s="50">
        <v>44719929.197524764</v>
      </c>
      <c r="F2" s="9">
        <v>832210.01301993174</v>
      </c>
      <c r="G2" s="31">
        <f>IF(F2*0.4&gt;500000,500000,F2*0.4)</f>
        <v>332884.00520797272</v>
      </c>
      <c r="H2" s="31"/>
      <c r="I2" s="31"/>
      <c r="J2" s="36">
        <v>0</v>
      </c>
      <c r="K2" s="30" t="s">
        <v>45</v>
      </c>
    </row>
    <row r="3" spans="1:11" ht="18.75" customHeight="1" x14ac:dyDescent="0.3">
      <c r="A3" s="98" t="s">
        <v>170</v>
      </c>
      <c r="B3" s="102" t="s">
        <v>72</v>
      </c>
      <c r="C3" s="91"/>
      <c r="D3" s="94"/>
      <c r="E3" s="94"/>
      <c r="F3" s="91"/>
      <c r="G3" s="95"/>
      <c r="H3" s="95"/>
      <c r="I3" s="95"/>
      <c r="J3" s="36"/>
      <c r="K3" s="96"/>
    </row>
    <row r="4" spans="1:11" ht="18.75" customHeight="1" x14ac:dyDescent="0.3">
      <c r="A4" s="99" t="s">
        <v>21</v>
      </c>
      <c r="B4" s="103" t="s">
        <v>70</v>
      </c>
      <c r="C4" s="17">
        <v>18661553.530000001</v>
      </c>
      <c r="D4" s="51">
        <v>17508748.946733862</v>
      </c>
      <c r="E4" s="51">
        <v>17137420.299135223</v>
      </c>
      <c r="F4" s="17">
        <v>371328.64759863995</v>
      </c>
      <c r="G4" s="32"/>
      <c r="H4" s="32"/>
      <c r="I4" s="32"/>
      <c r="J4" s="36">
        <v>0.05</v>
      </c>
      <c r="K4" s="15" t="s">
        <v>46</v>
      </c>
    </row>
    <row r="5" spans="1:11" ht="18.75" customHeight="1" x14ac:dyDescent="0.3">
      <c r="A5" s="99" t="s">
        <v>4</v>
      </c>
      <c r="B5" s="103" t="s">
        <v>70</v>
      </c>
      <c r="C5" s="17">
        <v>27799452.190000001</v>
      </c>
      <c r="D5" s="51">
        <v>28286136.142788332</v>
      </c>
      <c r="E5" s="51">
        <v>28075351.173314802</v>
      </c>
      <c r="F5" s="17">
        <v>210784.9694735404</v>
      </c>
      <c r="G5" s="33">
        <f>F5/2</f>
        <v>105392.4847367702</v>
      </c>
      <c r="H5" s="33"/>
      <c r="I5" s="33"/>
      <c r="J5" s="36">
        <v>0.02</v>
      </c>
      <c r="K5" s="29" t="s">
        <v>47</v>
      </c>
    </row>
    <row r="6" spans="1:11" ht="18.75" customHeight="1" x14ac:dyDescent="0.3">
      <c r="A6" s="99" t="s">
        <v>3</v>
      </c>
      <c r="B6" s="103" t="s">
        <v>70</v>
      </c>
      <c r="C6" s="17">
        <v>12000000</v>
      </c>
      <c r="D6" s="51">
        <v>121761984.26350285</v>
      </c>
      <c r="E6" s="51">
        <v>123396505.78723055</v>
      </c>
      <c r="F6" s="17">
        <v>-1634521.5237276999</v>
      </c>
      <c r="G6" s="32"/>
      <c r="H6" s="32"/>
      <c r="I6" s="32"/>
      <c r="J6" s="36">
        <v>0</v>
      </c>
      <c r="K6" s="15" t="s">
        <v>48</v>
      </c>
    </row>
    <row r="7" spans="1:11" ht="18.75" customHeight="1" x14ac:dyDescent="0.3">
      <c r="A7" s="99" t="s">
        <v>25</v>
      </c>
      <c r="B7" s="103" t="s">
        <v>72</v>
      </c>
      <c r="C7" s="17">
        <f>35586462.12-(35586462.12*(8%+1.5%))</f>
        <v>32205748.218599997</v>
      </c>
      <c r="D7" s="51">
        <v>38293207.93385037</v>
      </c>
      <c r="E7" s="51">
        <v>38957294.289104462</v>
      </c>
      <c r="F7" s="17">
        <v>-664086.35525409121</v>
      </c>
      <c r="G7" s="32"/>
      <c r="H7" s="32"/>
      <c r="I7" s="32"/>
      <c r="J7" s="36">
        <v>0.05</v>
      </c>
      <c r="K7" s="15" t="s">
        <v>49</v>
      </c>
    </row>
    <row r="8" spans="1:11" ht="18.75" customHeight="1" x14ac:dyDescent="0.3">
      <c r="A8" s="99" t="s">
        <v>27</v>
      </c>
      <c r="B8" s="103" t="s">
        <v>72</v>
      </c>
      <c r="C8" s="17">
        <f>56805766.41-(56805766.41*(8%+1.5%))</f>
        <v>51409218.601049997</v>
      </c>
      <c r="D8" s="51">
        <v>58159742.636314288</v>
      </c>
      <c r="E8" s="51">
        <v>60326111.212640814</v>
      </c>
      <c r="F8" s="17">
        <v>-2166368.5763265351</v>
      </c>
      <c r="G8" s="32"/>
      <c r="H8" s="32"/>
      <c r="I8" s="32"/>
      <c r="J8" s="36">
        <v>0.05</v>
      </c>
      <c r="K8" s="15" t="s">
        <v>49</v>
      </c>
    </row>
    <row r="9" spans="1:11" ht="18.75" customHeight="1" x14ac:dyDescent="0.3">
      <c r="A9" s="99" t="s">
        <v>28</v>
      </c>
      <c r="B9" s="103" t="s">
        <v>72</v>
      </c>
      <c r="C9" s="17">
        <f>56805766.41-(56805766.41*(8%+1.5%))</f>
        <v>51409218.601049997</v>
      </c>
      <c r="D9" s="51">
        <v>41012312.939253978</v>
      </c>
      <c r="E9" s="51">
        <v>44124202.168405034</v>
      </c>
      <c r="F9" s="17">
        <v>-3111889.2291510585</v>
      </c>
      <c r="G9" s="32"/>
      <c r="H9" s="32"/>
      <c r="I9" s="32"/>
      <c r="J9" s="36">
        <v>0.05</v>
      </c>
      <c r="K9" s="15" t="s">
        <v>49</v>
      </c>
    </row>
    <row r="10" spans="1:11" ht="18.75" customHeight="1" x14ac:dyDescent="0.3">
      <c r="A10" s="99" t="s">
        <v>29</v>
      </c>
      <c r="B10" s="103" t="s">
        <v>72</v>
      </c>
      <c r="C10" s="17">
        <f>7702516.71-(7702516.71*(8.21307082165992%+1.5%))</f>
        <v>6954365.8069075104</v>
      </c>
      <c r="D10" s="51">
        <v>6897053.1011122558</v>
      </c>
      <c r="E10" s="51">
        <v>6317028.2877261154</v>
      </c>
      <c r="F10" s="17">
        <v>580024.81338614086</v>
      </c>
      <c r="G10" s="33">
        <f>F10/2</f>
        <v>290012.40669307043</v>
      </c>
      <c r="H10" s="32"/>
      <c r="I10" s="32"/>
      <c r="J10" s="36">
        <v>0.05</v>
      </c>
      <c r="K10" s="15" t="s">
        <v>49</v>
      </c>
    </row>
    <row r="11" spans="1:11" ht="18.75" customHeight="1" x14ac:dyDescent="0.3">
      <c r="A11" s="99" t="s">
        <v>30</v>
      </c>
      <c r="B11" s="103" t="s">
        <v>72</v>
      </c>
      <c r="C11" s="17">
        <f>92100480.78-(92100480.78*(9%+1.5%))</f>
        <v>82429930.298099995</v>
      </c>
      <c r="D11" s="51">
        <v>92176812.143348768</v>
      </c>
      <c r="E11" s="51">
        <v>94161714.376896679</v>
      </c>
      <c r="F11" s="17">
        <v>-1984902.2335479253</v>
      </c>
      <c r="G11" s="32"/>
      <c r="H11" s="32"/>
      <c r="I11" s="32"/>
      <c r="J11" s="36">
        <v>0.05</v>
      </c>
      <c r="K11" s="15" t="s">
        <v>49</v>
      </c>
    </row>
    <row r="12" spans="1:11" ht="18.75" customHeight="1" x14ac:dyDescent="0.3">
      <c r="A12" s="99" t="s">
        <v>31</v>
      </c>
      <c r="B12" s="103" t="s">
        <v>72</v>
      </c>
      <c r="C12" s="17">
        <f>124592079.07-(124592079.07*(8%+1.5%))</f>
        <v>112755831.55835</v>
      </c>
      <c r="D12" s="51">
        <v>117782073.10886817</v>
      </c>
      <c r="E12" s="51">
        <v>117006211.85069188</v>
      </c>
      <c r="F12" s="17">
        <v>775861.25817627541</v>
      </c>
      <c r="G12" s="33">
        <f>F12/2</f>
        <v>387930.62908813771</v>
      </c>
      <c r="H12" s="32"/>
      <c r="I12" s="32"/>
      <c r="J12" s="36">
        <v>0.05</v>
      </c>
      <c r="K12" s="15" t="s">
        <v>49</v>
      </c>
    </row>
    <row r="13" spans="1:11" ht="18.75" customHeight="1" x14ac:dyDescent="0.3">
      <c r="A13" s="99" t="s">
        <v>32</v>
      </c>
      <c r="B13" s="103" t="s">
        <v>72</v>
      </c>
      <c r="C13" s="17">
        <v>65573854.114900015</v>
      </c>
      <c r="D13" s="51">
        <v>66798289.025596105</v>
      </c>
      <c r="E13" s="51">
        <v>66970926.970281228</v>
      </c>
      <c r="F13" s="17">
        <v>172637.94468513248</v>
      </c>
      <c r="G13" s="33">
        <f>F13/2</f>
        <v>86318.972342566238</v>
      </c>
      <c r="H13" s="32"/>
      <c r="I13" s="32"/>
      <c r="J13" s="36">
        <v>0.05</v>
      </c>
      <c r="K13" s="15" t="s">
        <v>49</v>
      </c>
    </row>
    <row r="14" spans="1:11" ht="18.75" customHeight="1" x14ac:dyDescent="0.3">
      <c r="A14" s="99" t="s">
        <v>33</v>
      </c>
      <c r="B14" s="103" t="s">
        <v>72</v>
      </c>
      <c r="C14" s="17">
        <v>21768595.187699985</v>
      </c>
      <c r="D14" s="51"/>
      <c r="E14" s="51"/>
      <c r="F14" s="17"/>
      <c r="G14" s="33">
        <f>F14/2</f>
        <v>0</v>
      </c>
      <c r="H14" s="32"/>
      <c r="I14" s="32"/>
      <c r="J14" s="36">
        <v>0.05</v>
      </c>
      <c r="K14" s="15" t="s">
        <v>49</v>
      </c>
    </row>
    <row r="15" spans="1:11" ht="18.75" customHeight="1" x14ac:dyDescent="0.3">
      <c r="A15" s="99" t="s">
        <v>34</v>
      </c>
      <c r="B15" s="103" t="s">
        <v>70</v>
      </c>
      <c r="C15" s="17">
        <f>33039908.6100987</f>
        <v>33039908.610098701</v>
      </c>
      <c r="D15" s="51"/>
      <c r="E15" s="51"/>
      <c r="F15" s="17"/>
      <c r="G15" s="33">
        <f>F15/2</f>
        <v>0</v>
      </c>
      <c r="H15" s="32"/>
      <c r="I15" s="32"/>
      <c r="J15" s="36">
        <v>0.05</v>
      </c>
      <c r="K15" s="15" t="s">
        <v>49</v>
      </c>
    </row>
    <row r="16" spans="1:11" ht="18.75" customHeight="1" x14ac:dyDescent="0.3">
      <c r="A16" s="99" t="s">
        <v>35</v>
      </c>
      <c r="B16" s="103" t="s">
        <v>72</v>
      </c>
      <c r="C16" s="17"/>
      <c r="D16" s="51"/>
      <c r="E16" s="51"/>
      <c r="F16" s="17"/>
      <c r="G16" s="34"/>
      <c r="H16" s="34"/>
      <c r="I16" s="34"/>
      <c r="J16" s="36">
        <v>0.05</v>
      </c>
      <c r="K16" s="15" t="s">
        <v>49</v>
      </c>
    </row>
    <row r="17" spans="1:11" ht="18.75" customHeight="1" x14ac:dyDescent="0.3">
      <c r="A17" s="99" t="s">
        <v>36</v>
      </c>
      <c r="B17" s="103" t="s">
        <v>72</v>
      </c>
      <c r="C17" s="17"/>
      <c r="D17" s="51"/>
      <c r="E17" s="51"/>
      <c r="F17" s="17"/>
      <c r="G17" s="34"/>
      <c r="H17" s="34"/>
      <c r="I17" s="34"/>
      <c r="J17" s="36">
        <v>0.05</v>
      </c>
      <c r="K17" s="15" t="s">
        <v>49</v>
      </c>
    </row>
    <row r="18" spans="1:11" ht="18.75" customHeight="1" x14ac:dyDescent="0.3">
      <c r="A18" s="99" t="s">
        <v>37</v>
      </c>
      <c r="B18" s="103" t="s">
        <v>72</v>
      </c>
      <c r="C18" s="17"/>
      <c r="D18" s="51"/>
      <c r="E18" s="51"/>
      <c r="F18" s="17"/>
      <c r="G18" s="34"/>
      <c r="H18" s="34"/>
      <c r="I18" s="34"/>
      <c r="J18" s="36">
        <v>0.05</v>
      </c>
      <c r="K18" s="15" t="s">
        <v>49</v>
      </c>
    </row>
    <row r="19" spans="1:11" ht="18.75" customHeight="1" x14ac:dyDescent="0.3">
      <c r="A19" s="99" t="s">
        <v>38</v>
      </c>
      <c r="B19" s="103" t="s">
        <v>72</v>
      </c>
      <c r="C19" s="17"/>
      <c r="D19" s="51"/>
      <c r="E19" s="51"/>
      <c r="F19" s="17"/>
      <c r="G19" s="34"/>
      <c r="H19" s="34"/>
      <c r="I19" s="34"/>
      <c r="J19" s="36">
        <v>0.05</v>
      </c>
      <c r="K19" s="15" t="s">
        <v>49</v>
      </c>
    </row>
    <row r="20" spans="1:11" ht="18.75" customHeight="1" x14ac:dyDescent="0.3">
      <c r="A20" s="99" t="s">
        <v>39</v>
      </c>
      <c r="B20" s="103" t="s">
        <v>72</v>
      </c>
      <c r="C20" s="17"/>
      <c r="D20" s="51"/>
      <c r="E20" s="51"/>
      <c r="F20" s="17"/>
      <c r="G20" s="34"/>
      <c r="H20" s="34"/>
      <c r="I20" s="34"/>
      <c r="J20" s="36">
        <v>0.05</v>
      </c>
      <c r="K20" s="15" t="s">
        <v>49</v>
      </c>
    </row>
    <row r="21" spans="1:11" ht="18.75" customHeight="1" thickBot="1" x14ac:dyDescent="0.35">
      <c r="A21" s="100" t="s">
        <v>40</v>
      </c>
      <c r="B21" s="104" t="s">
        <v>72</v>
      </c>
      <c r="C21" s="26"/>
      <c r="D21" s="52"/>
      <c r="E21" s="52"/>
      <c r="F21" s="26"/>
      <c r="G21" s="35"/>
      <c r="H21" s="35"/>
      <c r="I21" s="35"/>
      <c r="J21" s="36">
        <v>0.05</v>
      </c>
      <c r="K21" s="15" t="s">
        <v>49</v>
      </c>
    </row>
  </sheetData>
  <autoFilter ref="A1:J21" xr:uid="{F826C8AD-E55D-43EC-8E13-5835E0D42917}"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93E34-F17B-4727-80CC-21644B475262}">
  <dimension ref="A1:W16"/>
  <sheetViews>
    <sheetView tabSelected="1" zoomScale="85" zoomScaleNormal="85" workbookViewId="0">
      <selection activeCell="E6" sqref="E6"/>
    </sheetView>
  </sheetViews>
  <sheetFormatPr defaultRowHeight="14.4" x14ac:dyDescent="0.3"/>
  <cols>
    <col min="2" max="2" width="18.6640625" bestFit="1" customWidth="1"/>
    <col min="3" max="3" width="23.33203125" customWidth="1"/>
    <col min="4" max="4" width="15.6640625" customWidth="1"/>
    <col min="5" max="5" width="13.33203125" customWidth="1"/>
    <col min="6" max="6" width="15.6640625" customWidth="1"/>
    <col min="7" max="12" width="11" customWidth="1"/>
    <col min="13" max="13" width="70.33203125" customWidth="1"/>
    <col min="14" max="14" width="14.44140625" customWidth="1"/>
    <col min="15" max="16" width="16.6640625" customWidth="1"/>
    <col min="17" max="17" width="47.88671875" customWidth="1"/>
    <col min="18" max="23" width="33.5546875" customWidth="1"/>
  </cols>
  <sheetData>
    <row r="1" spans="1:23" ht="23.4" thickBot="1" x14ac:dyDescent="0.35">
      <c r="A1" s="55" t="s">
        <v>73</v>
      </c>
      <c r="B1" s="56" t="s">
        <v>9</v>
      </c>
      <c r="C1" s="56" t="s">
        <v>7</v>
      </c>
      <c r="D1" s="56" t="s">
        <v>74</v>
      </c>
      <c r="E1" s="56" t="s">
        <v>75</v>
      </c>
      <c r="F1" s="56" t="s">
        <v>112</v>
      </c>
      <c r="G1" s="56" t="s">
        <v>76</v>
      </c>
      <c r="H1" s="57" t="s">
        <v>114</v>
      </c>
      <c r="I1" s="57" t="s">
        <v>109</v>
      </c>
      <c r="J1" s="57" t="s">
        <v>110</v>
      </c>
      <c r="K1" s="58" t="s">
        <v>111</v>
      </c>
      <c r="L1" s="73" t="s">
        <v>157</v>
      </c>
      <c r="M1" s="54" t="s">
        <v>108</v>
      </c>
      <c r="N1" s="54" t="s">
        <v>159</v>
      </c>
      <c r="O1" s="54" t="s">
        <v>117</v>
      </c>
      <c r="P1" s="54" t="s">
        <v>158</v>
      </c>
      <c r="Q1" s="54" t="s">
        <v>118</v>
      </c>
      <c r="R1" s="54" t="s">
        <v>119</v>
      </c>
      <c r="S1" s="54" t="s">
        <v>120</v>
      </c>
      <c r="T1" s="54" t="s">
        <v>144</v>
      </c>
      <c r="U1" s="54" t="s">
        <v>121</v>
      </c>
      <c r="V1" s="54" t="s">
        <v>122</v>
      </c>
      <c r="W1" s="54" t="s">
        <v>123</v>
      </c>
    </row>
    <row r="2" spans="1:23" x14ac:dyDescent="0.3">
      <c r="A2" s="59">
        <v>23</v>
      </c>
      <c r="B2" s="60" t="s">
        <v>28</v>
      </c>
      <c r="C2" s="60" t="s">
        <v>115</v>
      </c>
      <c r="D2" s="60" t="s">
        <v>77</v>
      </c>
      <c r="E2" s="60" t="s">
        <v>78</v>
      </c>
      <c r="F2" s="60" t="s">
        <v>153</v>
      </c>
      <c r="G2" s="60">
        <v>2</v>
      </c>
      <c r="H2" s="60">
        <v>1</v>
      </c>
      <c r="I2" s="60">
        <v>4</v>
      </c>
      <c r="J2" s="60">
        <v>6</v>
      </c>
      <c r="K2" s="60">
        <v>72</v>
      </c>
      <c r="L2" s="74"/>
      <c r="M2" s="79" t="s">
        <v>96</v>
      </c>
      <c r="N2" s="80"/>
      <c r="O2" s="81">
        <v>13486.63</v>
      </c>
      <c r="P2" s="81"/>
      <c r="Q2" s="82" t="s">
        <v>125</v>
      </c>
      <c r="R2" s="82" t="s">
        <v>125</v>
      </c>
      <c r="S2" s="82" t="s">
        <v>126</v>
      </c>
      <c r="T2" s="82"/>
      <c r="U2" s="82" t="s">
        <v>127</v>
      </c>
      <c r="V2" s="82" t="s">
        <v>128</v>
      </c>
      <c r="W2" s="83" t="s">
        <v>134</v>
      </c>
    </row>
    <row r="3" spans="1:23" x14ac:dyDescent="0.3">
      <c r="A3" s="61">
        <v>20</v>
      </c>
      <c r="B3" s="62" t="s">
        <v>27</v>
      </c>
      <c r="C3" s="62" t="s">
        <v>115</v>
      </c>
      <c r="D3" s="62" t="s">
        <v>77</v>
      </c>
      <c r="E3" s="62" t="s">
        <v>79</v>
      </c>
      <c r="F3" s="71" t="s">
        <v>154</v>
      </c>
      <c r="G3" s="62">
        <v>4</v>
      </c>
      <c r="H3" s="62">
        <v>2</v>
      </c>
      <c r="I3" s="62">
        <v>32</v>
      </c>
      <c r="J3" s="62">
        <v>8</v>
      </c>
      <c r="K3" s="62">
        <v>220</v>
      </c>
      <c r="L3" s="75"/>
      <c r="M3" s="84" t="s">
        <v>97</v>
      </c>
      <c r="N3" s="84"/>
      <c r="O3" s="85">
        <v>23876.19</v>
      </c>
      <c r="P3" s="85"/>
      <c r="Q3" s="64" t="s">
        <v>22</v>
      </c>
      <c r="R3" s="64" t="s">
        <v>136</v>
      </c>
      <c r="S3" s="64" t="s">
        <v>126</v>
      </c>
      <c r="T3" s="64"/>
      <c r="U3" s="64" t="s">
        <v>137</v>
      </c>
      <c r="V3" s="64" t="s">
        <v>128</v>
      </c>
      <c r="W3" s="65" t="s">
        <v>135</v>
      </c>
    </row>
    <row r="4" spans="1:23" x14ac:dyDescent="0.3">
      <c r="A4" s="61">
        <v>32</v>
      </c>
      <c r="B4" s="62" t="s">
        <v>30</v>
      </c>
      <c r="C4" s="62" t="s">
        <v>115</v>
      </c>
      <c r="D4" s="62" t="s">
        <v>77</v>
      </c>
      <c r="E4" s="62" t="s">
        <v>80</v>
      </c>
      <c r="F4" s="62" t="s">
        <v>153</v>
      </c>
      <c r="G4" s="62">
        <v>2</v>
      </c>
      <c r="H4" s="62">
        <v>2</v>
      </c>
      <c r="I4" s="62">
        <v>26</v>
      </c>
      <c r="J4" s="62">
        <v>9</v>
      </c>
      <c r="K4" s="62">
        <v>227</v>
      </c>
      <c r="L4" s="75"/>
      <c r="M4" s="84" t="s">
        <v>98</v>
      </c>
      <c r="N4" s="84"/>
      <c r="O4" s="85">
        <v>32448.01</v>
      </c>
      <c r="P4" s="85"/>
      <c r="Q4" s="64" t="s">
        <v>124</v>
      </c>
      <c r="R4" s="64" t="s">
        <v>125</v>
      </c>
      <c r="S4" s="64" t="s">
        <v>126</v>
      </c>
      <c r="T4" s="64"/>
      <c r="U4" s="64" t="s">
        <v>127</v>
      </c>
      <c r="V4" s="64" t="s">
        <v>128</v>
      </c>
      <c r="W4" s="65" t="s">
        <v>134</v>
      </c>
    </row>
    <row r="5" spans="1:23" x14ac:dyDescent="0.3">
      <c r="A5" s="61">
        <v>30</v>
      </c>
      <c r="B5" s="62" t="s">
        <v>25</v>
      </c>
      <c r="C5" s="62" t="s">
        <v>115</v>
      </c>
      <c r="D5" s="62" t="s">
        <v>77</v>
      </c>
      <c r="E5" s="62" t="s">
        <v>81</v>
      </c>
      <c r="F5" s="62" t="s">
        <v>151</v>
      </c>
      <c r="G5" s="62">
        <v>1</v>
      </c>
      <c r="H5" s="62">
        <v>2</v>
      </c>
      <c r="I5" s="62">
        <v>6</v>
      </c>
      <c r="J5" s="62">
        <v>4</v>
      </c>
      <c r="K5" s="62">
        <v>58</v>
      </c>
      <c r="L5" s="75"/>
      <c r="M5" s="84" t="s">
        <v>99</v>
      </c>
      <c r="N5" s="84"/>
      <c r="O5" s="85">
        <v>13304.06</v>
      </c>
      <c r="P5" s="85"/>
      <c r="Q5" s="64" t="s">
        <v>125</v>
      </c>
      <c r="R5" s="64" t="s">
        <v>125</v>
      </c>
      <c r="S5" s="64" t="s">
        <v>126</v>
      </c>
      <c r="T5" s="64"/>
      <c r="U5" s="64" t="s">
        <v>127</v>
      </c>
      <c r="V5" s="64" t="s">
        <v>128</v>
      </c>
      <c r="W5" s="65" t="s">
        <v>135</v>
      </c>
    </row>
    <row r="6" spans="1:23" x14ac:dyDescent="0.3">
      <c r="A6" s="61">
        <v>17</v>
      </c>
      <c r="B6" s="62" t="s">
        <v>82</v>
      </c>
      <c r="C6" s="62" t="s">
        <v>115</v>
      </c>
      <c r="D6" s="62" t="s">
        <v>77</v>
      </c>
      <c r="E6" s="62" t="s">
        <v>83</v>
      </c>
      <c r="F6" s="62" t="s">
        <v>84</v>
      </c>
      <c r="G6" s="62">
        <v>5</v>
      </c>
      <c r="H6" s="62">
        <v>1</v>
      </c>
      <c r="I6" s="62">
        <v>15</v>
      </c>
      <c r="J6" s="62">
        <v>4</v>
      </c>
      <c r="K6" s="62">
        <v>60</v>
      </c>
      <c r="L6" s="75"/>
      <c r="M6" s="84" t="s">
        <v>100</v>
      </c>
      <c r="N6" s="84"/>
      <c r="O6" s="85">
        <v>16832.09</v>
      </c>
      <c r="P6" s="85"/>
      <c r="Q6" s="64" t="s">
        <v>125</v>
      </c>
      <c r="R6" s="64" t="s">
        <v>125</v>
      </c>
      <c r="S6" s="64" t="s">
        <v>126</v>
      </c>
      <c r="T6" s="64"/>
      <c r="U6" s="64" t="s">
        <v>127</v>
      </c>
      <c r="V6" s="64" t="s">
        <v>127</v>
      </c>
      <c r="W6" s="65" t="s">
        <v>134</v>
      </c>
    </row>
    <row r="7" spans="1:23" x14ac:dyDescent="0.3">
      <c r="A7" s="61">
        <v>35</v>
      </c>
      <c r="B7" s="62" t="s">
        <v>31</v>
      </c>
      <c r="C7" s="62" t="s">
        <v>115</v>
      </c>
      <c r="D7" s="62" t="s">
        <v>77</v>
      </c>
      <c r="E7" s="62" t="s">
        <v>83</v>
      </c>
      <c r="F7" s="62" t="s">
        <v>84</v>
      </c>
      <c r="G7" s="62">
        <v>4</v>
      </c>
      <c r="H7" s="62">
        <v>2</v>
      </c>
      <c r="I7" s="62">
        <v>20</v>
      </c>
      <c r="J7" s="62">
        <v>9</v>
      </c>
      <c r="K7" s="62">
        <v>221</v>
      </c>
      <c r="L7" s="75"/>
      <c r="M7" s="84" t="s">
        <v>101</v>
      </c>
      <c r="N7" s="84"/>
      <c r="O7" s="85">
        <v>32527.09</v>
      </c>
      <c r="P7" s="85"/>
      <c r="Q7" s="64" t="s">
        <v>130</v>
      </c>
      <c r="R7" s="64" t="s">
        <v>125</v>
      </c>
      <c r="S7" s="64" t="s">
        <v>126</v>
      </c>
      <c r="T7" s="64"/>
      <c r="U7" s="64" t="s">
        <v>127</v>
      </c>
      <c r="V7" s="64" t="s">
        <v>127</v>
      </c>
      <c r="W7" s="65" t="s">
        <v>134</v>
      </c>
    </row>
    <row r="8" spans="1:23" x14ac:dyDescent="0.3">
      <c r="A8" s="61">
        <v>18</v>
      </c>
      <c r="B8" s="62" t="s">
        <v>85</v>
      </c>
      <c r="C8" s="62" t="s">
        <v>116</v>
      </c>
      <c r="D8" s="62" t="s">
        <v>77</v>
      </c>
      <c r="E8" s="62" t="s">
        <v>86</v>
      </c>
      <c r="F8" s="62" t="s">
        <v>160</v>
      </c>
      <c r="G8" s="62" t="s">
        <v>87</v>
      </c>
      <c r="H8" s="62"/>
      <c r="I8" s="62" t="s">
        <v>87</v>
      </c>
      <c r="J8" s="62" t="s">
        <v>87</v>
      </c>
      <c r="K8" s="62" t="s">
        <v>87</v>
      </c>
      <c r="L8" s="75"/>
      <c r="M8" s="84" t="s">
        <v>102</v>
      </c>
      <c r="N8" s="84"/>
      <c r="O8" s="64"/>
      <c r="P8" s="64"/>
      <c r="Q8" s="64"/>
      <c r="R8" s="64"/>
      <c r="S8" s="64"/>
      <c r="T8" s="64"/>
      <c r="U8" s="64"/>
      <c r="V8" s="64"/>
      <c r="W8" s="65"/>
    </row>
    <row r="9" spans="1:23" x14ac:dyDescent="0.3">
      <c r="A9" s="61">
        <v>2</v>
      </c>
      <c r="B9" s="62" t="s">
        <v>19</v>
      </c>
      <c r="C9" s="62" t="s">
        <v>115</v>
      </c>
      <c r="D9" s="62" t="s">
        <v>88</v>
      </c>
      <c r="E9" s="62" t="s">
        <v>89</v>
      </c>
      <c r="F9" s="62" t="s">
        <v>153</v>
      </c>
      <c r="G9" s="62">
        <v>1</v>
      </c>
      <c r="H9" s="62">
        <v>2</v>
      </c>
      <c r="I9" s="62">
        <v>21</v>
      </c>
      <c r="J9" s="62">
        <v>2</v>
      </c>
      <c r="K9" s="62">
        <v>44</v>
      </c>
      <c r="L9" s="75"/>
      <c r="M9" s="84" t="s">
        <v>103</v>
      </c>
      <c r="N9" s="84"/>
      <c r="O9" s="85">
        <v>13751.27</v>
      </c>
      <c r="P9" s="85"/>
      <c r="Q9" s="64" t="s">
        <v>124</v>
      </c>
      <c r="R9" s="64" t="s">
        <v>136</v>
      </c>
      <c r="S9" s="64" t="s">
        <v>126</v>
      </c>
      <c r="T9" s="64"/>
      <c r="U9" s="64" t="s">
        <v>137</v>
      </c>
      <c r="V9" s="64" t="s">
        <v>128</v>
      </c>
      <c r="W9" s="65" t="s">
        <v>138</v>
      </c>
    </row>
    <row r="10" spans="1:23" x14ac:dyDescent="0.3">
      <c r="A10" s="61">
        <v>6</v>
      </c>
      <c r="B10" s="62" t="s">
        <v>90</v>
      </c>
      <c r="C10" s="62" t="s">
        <v>115</v>
      </c>
      <c r="D10" s="62" t="s">
        <v>91</v>
      </c>
      <c r="E10" s="62" t="s">
        <v>81</v>
      </c>
      <c r="F10" s="62" t="s">
        <v>154</v>
      </c>
      <c r="G10" s="62">
        <v>1</v>
      </c>
      <c r="H10" s="62">
        <v>2</v>
      </c>
      <c r="I10" s="62">
        <v>9</v>
      </c>
      <c r="J10" s="62">
        <v>12</v>
      </c>
      <c r="K10" s="62">
        <v>114</v>
      </c>
      <c r="L10" s="75"/>
      <c r="M10" s="84" t="s">
        <v>104</v>
      </c>
      <c r="N10" s="84"/>
      <c r="O10" s="85">
        <v>7934.6</v>
      </c>
      <c r="P10" s="85"/>
      <c r="Q10" s="64" t="s">
        <v>130</v>
      </c>
      <c r="R10" s="64" t="s">
        <v>166</v>
      </c>
      <c r="S10" s="64" t="s">
        <v>132</v>
      </c>
      <c r="T10" s="64" t="s">
        <v>145</v>
      </c>
      <c r="U10" s="64" t="s">
        <v>127</v>
      </c>
      <c r="V10" s="64" t="s">
        <v>128</v>
      </c>
      <c r="W10" s="65" t="s">
        <v>133</v>
      </c>
    </row>
    <row r="11" spans="1:23" x14ac:dyDescent="0.3">
      <c r="A11" s="61">
        <v>5</v>
      </c>
      <c r="B11" s="62" t="s">
        <v>21</v>
      </c>
      <c r="C11" s="62" t="s">
        <v>115</v>
      </c>
      <c r="D11" s="62" t="s">
        <v>93</v>
      </c>
      <c r="E11" s="62" t="s">
        <v>94</v>
      </c>
      <c r="F11" s="62" t="s">
        <v>160</v>
      </c>
      <c r="G11" s="62">
        <v>1</v>
      </c>
      <c r="H11" s="62">
        <v>1</v>
      </c>
      <c r="I11" s="62">
        <v>7</v>
      </c>
      <c r="J11" s="62">
        <v>14</v>
      </c>
      <c r="K11" s="62">
        <v>98</v>
      </c>
      <c r="L11" s="75"/>
      <c r="M11" s="84" t="s">
        <v>105</v>
      </c>
      <c r="N11" s="84"/>
      <c r="O11" s="85">
        <v>6377.96</v>
      </c>
      <c r="P11" s="85"/>
      <c r="Q11" s="64" t="s">
        <v>124</v>
      </c>
      <c r="R11" s="64" t="s">
        <v>125</v>
      </c>
      <c r="S11" s="64" t="s">
        <v>126</v>
      </c>
      <c r="T11" s="64"/>
      <c r="U11" s="64" t="s">
        <v>127</v>
      </c>
      <c r="V11" s="64" t="s">
        <v>128</v>
      </c>
      <c r="W11" s="65" t="s">
        <v>129</v>
      </c>
    </row>
    <row r="12" spans="1:23" x14ac:dyDescent="0.3">
      <c r="A12" s="61"/>
      <c r="B12" s="62" t="s">
        <v>161</v>
      </c>
      <c r="C12" s="62" t="s">
        <v>115</v>
      </c>
      <c r="D12" s="62" t="s">
        <v>162</v>
      </c>
      <c r="E12" s="62" t="s">
        <v>163</v>
      </c>
      <c r="F12" s="62" t="s">
        <v>164</v>
      </c>
      <c r="G12" s="62">
        <v>1</v>
      </c>
      <c r="H12" s="62">
        <v>3</v>
      </c>
      <c r="I12" s="62">
        <v>42</v>
      </c>
      <c r="J12" s="62" t="s">
        <v>165</v>
      </c>
      <c r="K12" s="62">
        <v>72</v>
      </c>
      <c r="L12" s="75">
        <v>211</v>
      </c>
      <c r="M12" s="84"/>
      <c r="N12" s="70">
        <v>5537.99</v>
      </c>
      <c r="O12" s="70">
        <v>24214.91</v>
      </c>
      <c r="P12" s="70">
        <v>15695</v>
      </c>
      <c r="Q12" s="64" t="s">
        <v>130</v>
      </c>
      <c r="R12" s="64" t="s">
        <v>131</v>
      </c>
      <c r="S12" s="64" t="s">
        <v>126</v>
      </c>
      <c r="T12" s="64" t="s">
        <v>167</v>
      </c>
      <c r="U12" s="64"/>
      <c r="V12" s="64"/>
      <c r="W12" s="65"/>
    </row>
    <row r="13" spans="1:23" x14ac:dyDescent="0.3">
      <c r="A13" s="61"/>
      <c r="B13" s="62" t="s">
        <v>95</v>
      </c>
      <c r="C13" s="62" t="s">
        <v>115</v>
      </c>
      <c r="D13" s="62" t="s">
        <v>77</v>
      </c>
      <c r="E13" s="62" t="s">
        <v>151</v>
      </c>
      <c r="F13" s="62" t="s">
        <v>151</v>
      </c>
      <c r="G13" s="62">
        <v>1</v>
      </c>
      <c r="H13" s="62">
        <v>3</v>
      </c>
      <c r="I13" s="62">
        <v>23</v>
      </c>
      <c r="J13" s="62">
        <v>6</v>
      </c>
      <c r="K13" s="62">
        <v>127</v>
      </c>
      <c r="L13" s="75"/>
      <c r="M13" s="84" t="s">
        <v>106</v>
      </c>
      <c r="N13" s="84"/>
      <c r="O13" s="85">
        <v>16777.330000000002</v>
      </c>
      <c r="P13" s="85"/>
      <c r="Q13" s="64" t="s">
        <v>142</v>
      </c>
      <c r="R13" s="64" t="s">
        <v>131</v>
      </c>
      <c r="S13" s="64" t="s">
        <v>126</v>
      </c>
      <c r="T13" s="64"/>
      <c r="U13" s="64"/>
      <c r="V13" s="64"/>
      <c r="W13" s="65"/>
    </row>
    <row r="14" spans="1:23" x14ac:dyDescent="0.3">
      <c r="A14" s="61">
        <v>45</v>
      </c>
      <c r="B14" s="62" t="s">
        <v>33</v>
      </c>
      <c r="C14" s="62" t="s">
        <v>115</v>
      </c>
      <c r="D14" s="62" t="s">
        <v>77</v>
      </c>
      <c r="E14" s="62" t="s">
        <v>152</v>
      </c>
      <c r="F14" s="62" t="s">
        <v>154</v>
      </c>
      <c r="G14" s="62">
        <v>1</v>
      </c>
      <c r="H14" s="62">
        <v>2</v>
      </c>
      <c r="I14" s="62">
        <v>7</v>
      </c>
      <c r="J14" s="62">
        <v>5</v>
      </c>
      <c r="K14" s="62">
        <v>35</v>
      </c>
      <c r="L14" s="75"/>
      <c r="M14" s="84" t="s">
        <v>107</v>
      </c>
      <c r="N14" s="84"/>
      <c r="O14" s="85">
        <v>6635.49</v>
      </c>
      <c r="P14" s="85"/>
      <c r="Q14" s="64" t="s">
        <v>124</v>
      </c>
      <c r="R14" s="64" t="s">
        <v>139</v>
      </c>
      <c r="S14" s="64" t="s">
        <v>139</v>
      </c>
      <c r="T14" s="64"/>
      <c r="U14" s="64" t="s">
        <v>127</v>
      </c>
      <c r="V14" s="64" t="s">
        <v>128</v>
      </c>
      <c r="W14" s="65" t="s">
        <v>140</v>
      </c>
    </row>
    <row r="15" spans="1:23" x14ac:dyDescent="0.3">
      <c r="A15" s="63"/>
      <c r="B15" s="62" t="s">
        <v>38</v>
      </c>
      <c r="C15" s="62" t="s">
        <v>115</v>
      </c>
      <c r="D15" s="62" t="s">
        <v>77</v>
      </c>
      <c r="E15" s="62" t="s">
        <v>79</v>
      </c>
      <c r="F15" s="62" t="s">
        <v>154</v>
      </c>
      <c r="G15" s="62">
        <v>2</v>
      </c>
      <c r="H15" s="62">
        <v>2</v>
      </c>
      <c r="I15" s="64"/>
      <c r="J15" s="72"/>
      <c r="K15" s="64"/>
      <c r="L15" s="76"/>
      <c r="M15" s="84" t="s">
        <v>148</v>
      </c>
      <c r="N15" s="84"/>
      <c r="O15" s="85">
        <v>6735</v>
      </c>
      <c r="P15" s="84"/>
      <c r="Q15" s="64" t="s">
        <v>141</v>
      </c>
      <c r="R15" s="64" t="s">
        <v>136</v>
      </c>
      <c r="S15" s="64" t="s">
        <v>126</v>
      </c>
      <c r="T15" s="64" t="s">
        <v>145</v>
      </c>
      <c r="U15" s="64" t="s">
        <v>127</v>
      </c>
      <c r="V15" s="64" t="s">
        <v>146</v>
      </c>
      <c r="W15" s="65" t="s">
        <v>143</v>
      </c>
    </row>
    <row r="16" spans="1:23" ht="15" thickBot="1" x14ac:dyDescent="0.35">
      <c r="A16" s="66"/>
      <c r="B16" s="67" t="s">
        <v>113</v>
      </c>
      <c r="C16" s="67" t="s">
        <v>115</v>
      </c>
      <c r="D16" s="67" t="s">
        <v>77</v>
      </c>
      <c r="E16" s="67" t="s">
        <v>92</v>
      </c>
      <c r="F16" s="67" t="s">
        <v>153</v>
      </c>
      <c r="G16" s="67">
        <v>2</v>
      </c>
      <c r="H16" s="67">
        <v>3</v>
      </c>
      <c r="I16" s="68" t="s">
        <v>155</v>
      </c>
      <c r="J16" s="77" t="s">
        <v>156</v>
      </c>
      <c r="K16" s="68">
        <v>56</v>
      </c>
      <c r="L16" s="78">
        <v>171</v>
      </c>
      <c r="M16" s="68" t="s">
        <v>147</v>
      </c>
      <c r="N16" s="68"/>
      <c r="O16" s="86">
        <v>18929.89</v>
      </c>
      <c r="P16" s="86">
        <v>9805.7199999999993</v>
      </c>
      <c r="Q16" s="68" t="s">
        <v>124</v>
      </c>
      <c r="R16" s="68" t="s">
        <v>125</v>
      </c>
      <c r="S16" s="68" t="s">
        <v>125</v>
      </c>
      <c r="T16" s="68" t="s">
        <v>149</v>
      </c>
      <c r="U16" s="68" t="s">
        <v>127</v>
      </c>
      <c r="V16" s="68" t="s">
        <v>128</v>
      </c>
      <c r="W16" s="69" t="s">
        <v>150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Indicadores</vt:lpstr>
      <vt:lpstr>Prazo Obras</vt:lpstr>
      <vt:lpstr>Custo Obras</vt:lpstr>
      <vt:lpstr>Informações gerais Obras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Luiz Maksymowicz</dc:creator>
  <cp:lastModifiedBy>Pedro Furman</cp:lastModifiedBy>
  <dcterms:created xsi:type="dcterms:W3CDTF">2024-06-17T08:39:03Z</dcterms:created>
  <dcterms:modified xsi:type="dcterms:W3CDTF">2026-07-24T02:42:27Z</dcterms:modified>
</cp:coreProperties>
</file>